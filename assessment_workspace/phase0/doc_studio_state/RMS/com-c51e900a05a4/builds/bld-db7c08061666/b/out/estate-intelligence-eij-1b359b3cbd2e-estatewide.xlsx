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Options" sheetId="3" state="visible" r:id="rId4"/>
    <sheet name="Series" sheetId="4" state="visible" r:id="rId5"/>
    <sheet name="Check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<sst xmlns="http://schemas.openxmlformats.org/spreadsheetml/2006/main" count="313" uniqueCount="180">
  <si>
    <t xml:space="preserve">RMS estate review: cost, condition and first data products</t>
  </si>
  <si>
    <t xml:space="preserve">RMS  ·  WB-eij-1b359b3cbd2e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</si>
  <si>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</si>
  <si>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</si>
  <si>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</si>
  <si>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</si>
  <si>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</si>
  <si>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</si>
  <si>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</si>
  <si>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</si>
  <si>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</si>
  <si>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</si>
  <si>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</si>
  <si>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</si>
  <si>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</si>
  <si>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</si>
  <si>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</si>
  <si>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</si>
  <si>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Databases</t>
  </si>
  <si>
    <t xml:space="preserve">databases</t>
  </si>
  <si>
    <t xml:space="preserve">measured</t>
  </si>
  <si>
    <t xml:space="preserve">R01</t>
  </si>
  <si>
    <t xml:space="preserve">Estate intelligence census eij-1b359b3cbd2e, digest-verified report (measured 2026-09-29), headline aggregates and per-database measures</t>
  </si>
  <si>
    <t xml:space="preserve">F002</t>
  </si>
  <si>
    <t xml:space="preserve">Tables</t>
  </si>
  <si>
    <t xml:space="preserve">tables</t>
  </si>
  <si>
    <t xml:space="preserve">F003</t>
  </si>
  <si>
    <t xml:space="preserve">Tables measured</t>
  </si>
  <si>
    <t xml:space="preserve">F004</t>
  </si>
  <si>
    <t xml:space="preserve">Data and index held</t>
  </si>
  <si>
    <t xml:space="preserve">GiB</t>
  </si>
  <si>
    <t xml:space="preserve">F005</t>
  </si>
  <si>
    <t xml:space="preserve">Reclaimable before pricing</t>
  </si>
  <si>
    <t xml:space="preserve">estimated</t>
  </si>
  <si>
    <t xml:space="preserve">F006</t>
  </si>
  <si>
    <t xml:space="preserve">Reclaimable share of bytes</t>
  </si>
  <si>
    <t xml:space="preserve">pct</t>
  </si>
  <si>
    <t xml:space="preserve">F007</t>
  </si>
  <si>
    <t xml:space="preserve">Exact duplicate rows</t>
  </si>
  <si>
    <t xml:space="preserve">F008</t>
  </si>
  <si>
    <t xml:space="preserve">Degraded rows</t>
  </si>
  <si>
    <t xml:space="preserve">F009</t>
  </si>
  <si>
    <t xml:space="preserve">Rows with empty required-looking fields</t>
  </si>
  <si>
    <t xml:space="preserve">F010</t>
  </si>
  <si>
    <t xml:space="preserve">Sampled rows with PII markers</t>
  </si>
  <si>
    <t xml:space="preserve">F011</t>
  </si>
  <si>
    <t xml:space="preserve">Rows sampled for PII</t>
  </si>
  <si>
    <t xml:space="preserve">m</t>
  </si>
  <si>
    <t xml:space="preserve">F012</t>
  </si>
  <si>
    <t xml:space="preserve">Bytes not written for over a year</t>
  </si>
  <si>
    <t xml:space="preserve">F013</t>
  </si>
  <si>
    <t xml:space="preserve">Rows held</t>
  </si>
  <si>
    <t xml:space="preserve">F014</t>
  </si>
  <si>
    <t xml:space="preserve">Duplicate table pairs</t>
  </si>
  <si>
    <t xml:space="preserve">pairs</t>
  </si>
  <si>
    <t xml:space="preserve">F015</t>
  </si>
  <si>
    <t xml:space="preserve">Empty tables</t>
  </si>
  <si>
    <t xml:space="preserve">F016</t>
  </si>
  <si>
    <t xml:space="preserve">Bytes in the largest databases</t>
  </si>
  <si>
    <t xml:space="preserve">F017</t>
  </si>
  <si>
    <t xml:space="preserve">Dead columns share</t>
  </si>
  <si>
    <t xml:space="preserve">F018</t>
  </si>
  <si>
    <t xml:space="preserve">Product candidates</t>
  </si>
  <si>
    <t xml:space="preserve">candidates</t>
  </si>
  <si>
    <t xml:space="preserve">R03</t>
  </si>
  <si>
    <t xml:space="preserve">Estate intelligence census eij-1b359b3cbd2e, data_products readiness scoring (dimensions, grades, blockers)</t>
  </si>
  <si>
    <t xml:space="preserve">F019</t>
  </si>
  <si>
    <t xml:space="preserve">Priced monthly saving (USD)</t>
  </si>
  <si>
    <t xml:space="preserve">USD</t>
  </si>
  <si>
    <t xml:space="preserve">R02</t>
  </si>
  <si>
    <t xml:space="preserve">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</si>
  <si>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F020</t>
  </si>
  <si>
    <t xml:space="preserve">Bytes addressed by the three largest strategies</t>
  </si>
  <si>
    <t xml:space="preserve">F021</t>
  </si>
  <si>
    <t xml:space="preserve">Bytes addressed by all cost strategies (databases, object and file stores)</t>
  </si>
  <si>
    <t xml:space="preserve">F030</t>
  </si>
  <si>
    <t xml:space="preserve">Object store (OBS) held</t>
  </si>
  <si>
    <t xml:space="preserve">TiB</t>
  </si>
  <si>
    <t xml:space="preserve">R04</t>
  </si>
  <si>
    <t xml:space="preserve">OBS bucket enumeration census run cr-f1415e395361 (22,975,591 objects, 130.3 TiB)</t>
  </si>
  <si>
    <t xml:space="preserve">F031</t>
  </si>
  <si>
    <t xml:space="preserve">Objects enumerated</t>
  </si>
  <si>
    <t xml:space="preserve">F032</t>
  </si>
  <si>
    <t xml:space="preserve">OBS buckets</t>
  </si>
  <si>
    <t xml:space="preserve">buckets</t>
  </si>
  <si>
    <t xml:space="preserve">F033</t>
  </si>
  <si>
    <t xml:space="preserve">OBS buckets unreadable</t>
  </si>
  <si>
    <t xml:space="preserve">F034</t>
  </si>
  <si>
    <t xml:space="preserve">OBS duplicate-candidate bytes</t>
  </si>
  <si>
    <t xml:space="preserve">F035</t>
  </si>
  <si>
    <t xml:space="preserve">OBS objects that are duplicate candidates</t>
  </si>
  <si>
    <t xml:space="preserve">F036</t>
  </si>
  <si>
    <t xml:space="preserve">OBS bytes not written for over a year</t>
  </si>
  <si>
    <t xml:space="preserve">F037</t>
  </si>
  <si>
    <t xml:space="preserve">OBS buckets cold for over a year</t>
  </si>
  <si>
    <t xml:space="preserve">F038</t>
  </si>
  <si>
    <t xml:space="preserve">Bytes in the largest OBS bucket</t>
  </si>
  <si>
    <t xml:space="preserve">F040</t>
  </si>
  <si>
    <t xml:space="preserve">File shares (NAS) held</t>
  </si>
  <si>
    <t xml:space="preserve">R05</t>
  </si>
  <si>
    <t xml:space="preserve">NAS share enumeration census run cr-cf4eef79995b (1,456,787 files, 43.6 TiB)</t>
  </si>
  <si>
    <t xml:space="preserve">F041</t>
  </si>
  <si>
    <t xml:space="preserve">Files enumerated</t>
  </si>
  <si>
    <t xml:space="preserve">F042</t>
  </si>
  <si>
    <t xml:space="preserve">NAS shares</t>
  </si>
  <si>
    <t xml:space="preserve">shares</t>
  </si>
  <si>
    <t xml:space="preserve">F050</t>
  </si>
  <si>
    <t xml:space="preserve">Whole estate held (databases, object store, file shares)</t>
  </si>
  <si>
    <t xml:space="preserve">F052</t>
  </si>
  <si>
    <t xml:space="preserve">Database data and index</t>
  </si>
  <si>
    <t xml:space="preserve">Line</t>
  </si>
  <si>
    <t xml:space="preserve">Move buckets not written for over a year to archive-class st</t>
  </si>
  <si>
    <t xml:space="preserve">Reconcile duplicate objects across OBS buckets</t>
  </si>
  <si>
    <t xml:space="preserve">Move tables not written for over a year to cold storage</t>
  </si>
  <si>
    <t xml:space="preserve">Bytes addressed</t>
  </si>
  <si>
    <t xml:space="preserve">Monthly saving</t>
  </si>
  <si>
    <t xml:space="preserve">Derived</t>
  </si>
  <si>
    <t xml:space="preserve">Share of bytes addressed by all strategies</t>
  </si>
  <si>
    <t xml:space="preserve">Annual saving (USD)</t>
  </si>
  <si>
    <t xml:space="preserve">S001  Data and index by database, GiB</t>
  </si>
  <si>
    <t xml:space="preserve">[measured] receipt R01: Estate intelligence census eij-1b359b3cbd2e, digest-verified report (measured 2026-09-29), headline aggregates and per-database measures</t>
  </si>
  <si>
    <t xml:space="preserve">viusasa_staging (D)</t>
  </si>
  <si>
    <t xml:space="preserve">razuna (D)</t>
  </si>
  <si>
    <t xml:space="preserve">db_visitors (D)</t>
  </si>
  <si>
    <t xml:space="preserve">kra_reports (D)</t>
  </si>
  <si>
    <t xml:space="preserve">viupay_agent_staging (A)</t>
  </si>
  <si>
    <t xml:space="preserve">news_vault (C)</t>
  </si>
  <si>
    <t xml:space="preserve">local (D)</t>
  </si>
  <si>
    <t xml:space="preserve">viutickets (B)</t>
  </si>
  <si>
    <t xml:space="preserve">S002  Condition of measured rows</t>
  </si>
  <si>
    <t xml:space="preserve">[estimated] receipt R01: Estate intelligence census eij-1b359b3cbd2e, digest-verified report (measured 2026-09-29), headline aggregates and per-database measures</t>
  </si>
  <si>
    <t xml:space="preserve">Exact duplicates</t>
  </si>
  <si>
    <t xml:space="preserve">Degraded</t>
  </si>
  <si>
    <t xml:space="preserve">Empty required fields</t>
  </si>
  <si>
    <t xml:space="preserve">PII markers (sampled)</t>
  </si>
  <si>
    <t xml:space="preserve">Stale bytes</t>
  </si>
  <si>
    <t xml:space="preserve">Share</t>
  </si>
  <si>
    <t xml:space="preserve">S003  Reclaimable GiB by cost strategy</t>
  </si>
  <si>
    <t xml:space="preserve">[estimated] receipt R02: 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</si>
  <si>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Move buckets not written for over a year</t>
  </si>
  <si>
    <t xml:space="preserve">Reconcile duplicate objects across OBS b</t>
  </si>
  <si>
    <t xml:space="preserve">Move tables not written for over a year </t>
  </si>
  <si>
    <t xml:space="preserve">Remove redundant (prefix-covered) indexe</t>
  </si>
  <si>
    <t xml:space="preserve">De-duplicate exact repeated rows inside </t>
  </si>
  <si>
    <t xml:space="preserve">Consolidate duplicate and staging copies</t>
  </si>
  <si>
    <t xml:space="preserve">Drop or archive empty tables</t>
  </si>
  <si>
    <t xml:space="preserve">S004  Estate bytes by store, TiB</t>
  </si>
  <si>
    <t xml:space="preserve">Object store (OBS)</t>
  </si>
  <si>
    <t xml:space="preserve">File shares (NAS)</t>
  </si>
  <si>
    <t xml:space="preserve">S005  Largest OBS buckets, TiB</t>
  </si>
  <si>
    <t xml:space="preserve">[measured] receipt R04: OBS bucket enumeration census run cr-f1415e395361 (22,975,591 objects, 130.3 TiB)</t>
  </si>
  <si>
    <t xml:space="preserve">2024offairrecs</t>
  </si>
  <si>
    <t xml:space="preserve">music-bucket-rms (cold)</t>
  </si>
  <si>
    <t xml:space="preserve">na7p43do (cold)</t>
  </si>
  <si>
    <t xml:space="preserve">na7p43js (cold)</t>
  </si>
  <si>
    <t xml:space="preserve">na7p434j (cold)</t>
  </si>
  <si>
    <t xml:space="preserve">na7p41hj (cold)</t>
  </si>
  <si>
    <t xml:space="preserve">na7p42xe (cold)</t>
  </si>
  <si>
    <t xml:space="preserve">na7p42xw (cold)</t>
  </si>
  <si>
    <t xml:space="preserve">S006  Largest NAS shares, TiB</t>
  </si>
  <si>
    <t xml:space="preserve">[measured] receipt R05: NAS share enumeration census run cr-cf4eef79995b (1,456,787 files, 43.6 TiB)</t>
  </si>
  <si>
    <t xml:space="preserve">channel01</t>
  </si>
  <si>
    <t xml:space="preserve">channel02</t>
  </si>
  <si>
    <t xml:space="preserve">channel16</t>
  </si>
  <si>
    <t xml:space="preserve">Channel15</t>
  </si>
  <si>
    <t xml:space="preserve">Channel14</t>
  </si>
  <si>
    <t xml:space="preserve">Channel11</t>
  </si>
  <si>
    <t xml:space="preserve">Channel12</t>
  </si>
  <si>
    <t xml:space="preserve">channel07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</si>
  <si>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</si>
  <si>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</si>
  <si>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</si>
  <si>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</si>
  <si>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</si>
  <si>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bytes in the largest databases</t>
  </si>
  <si>
    <t xml:space="preserve">K004 three largest strategies' share of bytes addressed</t>
  </si>
  <si>
    <t xml:space="preserve">K003 share of bytes addressed O1</t>
  </si>
  <si>
    <t xml:space="preserve">K003 share of bytes addressed O2</t>
  </si>
  <si>
    <t xml:space="preserve">K003 share of bytes addressed O3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</si>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</sst>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4324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2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20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1006</v>
      </c>
      <c r="D3" s="0" t="s">
        <v>25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6" t="n">
        <v>638</v>
      </c>
      <c r="D4" s="0" t="s">
        <v>25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28</v>
      </c>
      <c r="B5" s="0" t="s">
        <v>29</v>
      </c>
      <c r="C5" s="7" t="n">
        <v>351.3</v>
      </c>
      <c r="D5" s="0" t="s">
        <v>30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31</v>
      </c>
      <c r="B6" s="0" t="s">
        <v>32</v>
      </c>
      <c r="C6" s="8" t="n">
        <v>15.2</v>
      </c>
      <c r="D6" s="0" t="s">
        <v>30</v>
      </c>
      <c r="E6" s="0" t="s">
        <v>33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34</v>
      </c>
      <c r="B7" s="0" t="s">
        <v>35</v>
      </c>
      <c r="C7" s="9" t="n">
        <v>0.043</v>
      </c>
      <c r="D7" s="0" t="s">
        <v>36</v>
      </c>
      <c r="E7" s="0" t="s">
        <v>33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37</v>
      </c>
      <c r="B8" s="0" t="s">
        <v>38</v>
      </c>
      <c r="C8" s="9" t="n">
        <v>0.015</v>
      </c>
      <c r="D8" s="0" t="s">
        <v>36</v>
      </c>
      <c r="E8" s="0" t="s">
        <v>33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39</v>
      </c>
      <c r="B9" s="0" t="s">
        <v>40</v>
      </c>
      <c r="C9" s="9" t="n">
        <v>0.23</v>
      </c>
      <c r="D9" s="0" t="s">
        <v>36</v>
      </c>
      <c r="E9" s="0" t="s">
        <v>33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9" t="n">
        <v>0.817</v>
      </c>
      <c r="D10" s="0" t="s">
        <v>36</v>
      </c>
      <c r="E10" s="0" t="s">
        <v>33</v>
      </c>
      <c r="F10" s="0" t="s">
        <v>21</v>
      </c>
      <c r="G10" s="0" t="s">
        <v>22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9" t="n">
        <v>0.718</v>
      </c>
      <c r="D11" s="0" t="s">
        <v>36</v>
      </c>
      <c r="E11" s="0" t="s">
        <v>33</v>
      </c>
      <c r="F11" s="0" t="s">
        <v>21</v>
      </c>
      <c r="G11" s="0" t="s">
        <v>22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7" t="n">
        <v>1</v>
      </c>
      <c r="D12" s="0" t="s">
        <v>47</v>
      </c>
      <c r="E12" s="0" t="s">
        <v>20</v>
      </c>
      <c r="F12" s="0" t="s">
        <v>21</v>
      </c>
      <c r="G12" s="0" t="s">
        <v>22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10" t="n">
        <v>0.154</v>
      </c>
      <c r="D13" s="0" t="s">
        <v>36</v>
      </c>
      <c r="E13" s="0" t="s">
        <v>20</v>
      </c>
      <c r="F13" s="0" t="s">
        <v>21</v>
      </c>
      <c r="G13" s="0" t="s">
        <v>22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8" t="n">
        <v>259.3</v>
      </c>
      <c r="D14" s="0" t="s">
        <v>47</v>
      </c>
      <c r="E14" s="0" t="s">
        <v>33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71</v>
      </c>
      <c r="D15" s="0" t="s">
        <v>54</v>
      </c>
      <c r="E15" s="0" t="s">
        <v>20</v>
      </c>
      <c r="F15" s="0" t="s">
        <v>21</v>
      </c>
      <c r="G15" s="0" t="s">
        <v>22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368</v>
      </c>
      <c r="D16" s="0" t="s">
        <v>25</v>
      </c>
      <c r="E16" s="0" t="s">
        <v>20</v>
      </c>
      <c r="F16" s="0" t="s">
        <v>21</v>
      </c>
      <c r="G16" s="0" t="s">
        <v>22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7" t="n">
        <v>350.3</v>
      </c>
      <c r="D17" s="0" t="s">
        <v>30</v>
      </c>
      <c r="E17" s="0" t="s">
        <v>20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10" t="n">
        <v>0.13</v>
      </c>
      <c r="D18" s="0" t="s">
        <v>36</v>
      </c>
      <c r="E18" s="0" t="s">
        <v>20</v>
      </c>
      <c r="F18" s="0" t="s">
        <v>21</v>
      </c>
      <c r="G18" s="0" t="s">
        <v>22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8</v>
      </c>
      <c r="D19" s="0" t="s">
        <v>63</v>
      </c>
      <c r="E19" s="0" t="s">
        <v>20</v>
      </c>
      <c r="F19" s="0" t="s">
        <v>64</v>
      </c>
      <c r="G19" s="0" t="s">
        <v>65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8" t="n">
        <v>1174.4</v>
      </c>
      <c r="D20" s="0" t="s">
        <v>68</v>
      </c>
      <c r="E20" s="0" t="s">
        <v>33</v>
      </c>
      <c r="F20" s="0" t="s">
        <v>69</v>
      </c>
      <c r="G20" s="0" t="s">
        <v>70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8" t="n">
        <v>50784.6</v>
      </c>
      <c r="D21" s="0" t="s">
        <v>30</v>
      </c>
      <c r="E21" s="0" t="s">
        <v>33</v>
      </c>
      <c r="F21" s="0" t="s">
        <v>69</v>
      </c>
      <c r="G21" s="0" t="s">
        <v>70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8" t="n">
        <v>50799.8</v>
      </c>
      <c r="D22" s="0" t="s">
        <v>30</v>
      </c>
      <c r="E22" s="0" t="s">
        <v>33</v>
      </c>
      <c r="F22" s="0" t="s">
        <v>69</v>
      </c>
      <c r="G22" s="0" t="s">
        <v>70</v>
      </c>
    </row>
    <row r="23" customFormat="false" ht="15" hidden="false" customHeight="false" outlineLevel="0" collapsed="false">
      <c r="A23" s="0" t="s">
        <v>75</v>
      </c>
      <c r="B23" s="0" t="s">
        <v>76</v>
      </c>
      <c r="C23" s="7" t="n">
        <v>130.32</v>
      </c>
      <c r="D23" s="0" t="s">
        <v>77</v>
      </c>
      <c r="E23" s="0" t="s">
        <v>20</v>
      </c>
      <c r="F23" s="0" t="s">
        <v>78</v>
      </c>
      <c r="G23" s="0" t="s">
        <v>79</v>
      </c>
    </row>
    <row r="24" customFormat="false" ht="15" hidden="false" customHeight="false" outlineLevel="0" collapsed="false">
      <c r="A24" s="0" t="s">
        <v>80</v>
      </c>
      <c r="B24" s="0" t="s">
        <v>81</v>
      </c>
      <c r="C24" s="7" t="n">
        <v>23</v>
      </c>
      <c r="D24" s="0" t="s">
        <v>47</v>
      </c>
      <c r="E24" s="0" t="s">
        <v>20</v>
      </c>
      <c r="F24" s="0" t="s">
        <v>78</v>
      </c>
      <c r="G24" s="0" t="s">
        <v>79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6" t="n">
        <v>106</v>
      </c>
      <c r="D25" s="0" t="s">
        <v>84</v>
      </c>
      <c r="E25" s="0" t="s">
        <v>20</v>
      </c>
      <c r="F25" s="0" t="s">
        <v>78</v>
      </c>
      <c r="G25" s="0" t="s">
        <v>79</v>
      </c>
    </row>
    <row r="26" customFormat="false" ht="15" hidden="false" customHeight="false" outlineLevel="0" collapsed="false">
      <c r="A26" s="0" t="s">
        <v>85</v>
      </c>
      <c r="B26" s="0" t="s">
        <v>86</v>
      </c>
      <c r="C26" s="6" t="n">
        <v>40</v>
      </c>
      <c r="D26" s="0" t="s">
        <v>84</v>
      </c>
      <c r="E26" s="0" t="s">
        <v>20</v>
      </c>
      <c r="F26" s="0" t="s">
        <v>78</v>
      </c>
      <c r="G26" s="0" t="s">
        <v>79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8" t="n">
        <v>7.66</v>
      </c>
      <c r="D27" s="0" t="s">
        <v>77</v>
      </c>
      <c r="E27" s="0" t="s">
        <v>33</v>
      </c>
      <c r="F27" s="0" t="s">
        <v>78</v>
      </c>
      <c r="G27" s="0" t="s">
        <v>79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9" t="n">
        <v>0.05</v>
      </c>
      <c r="D28" s="0" t="s">
        <v>36</v>
      </c>
      <c r="E28" s="0" t="s">
        <v>33</v>
      </c>
      <c r="F28" s="0" t="s">
        <v>78</v>
      </c>
      <c r="G28" s="0" t="s">
        <v>79</v>
      </c>
    </row>
    <row r="29" customFormat="false" ht="15" hidden="false" customHeight="false" outlineLevel="0" collapsed="false">
      <c r="A29" s="0" t="s">
        <v>91</v>
      </c>
      <c r="B29" s="0" t="s">
        <v>92</v>
      </c>
      <c r="C29" s="7" t="n">
        <v>41.89</v>
      </c>
      <c r="D29" s="0" t="s">
        <v>77</v>
      </c>
      <c r="E29" s="0" t="s">
        <v>20</v>
      </c>
      <c r="F29" s="0" t="s">
        <v>78</v>
      </c>
      <c r="G29" s="0" t="s">
        <v>79</v>
      </c>
    </row>
    <row r="30" customFormat="false" ht="15" hidden="false" customHeight="false" outlineLevel="0" collapsed="false">
      <c r="A30" s="0" t="s">
        <v>93</v>
      </c>
      <c r="B30" s="0" t="s">
        <v>94</v>
      </c>
      <c r="C30" s="6" t="n">
        <v>43</v>
      </c>
      <c r="D30" s="0" t="s">
        <v>84</v>
      </c>
      <c r="E30" s="0" t="s">
        <v>20</v>
      </c>
      <c r="F30" s="0" t="s">
        <v>78</v>
      </c>
      <c r="G30" s="0" t="s">
        <v>79</v>
      </c>
    </row>
    <row r="31" customFormat="false" ht="15" hidden="false" customHeight="false" outlineLevel="0" collapsed="false">
      <c r="A31" s="0" t="s">
        <v>95</v>
      </c>
      <c r="B31" s="0" t="s">
        <v>96</v>
      </c>
      <c r="C31" s="7" t="n">
        <v>86.3</v>
      </c>
      <c r="D31" s="0" t="s">
        <v>77</v>
      </c>
      <c r="E31" s="0" t="s">
        <v>20</v>
      </c>
      <c r="F31" s="0" t="s">
        <v>78</v>
      </c>
      <c r="G31" s="0" t="s">
        <v>79</v>
      </c>
    </row>
    <row r="32" customFormat="false" ht="15" hidden="false" customHeight="false" outlineLevel="0" collapsed="false">
      <c r="A32" s="0" t="s">
        <v>97</v>
      </c>
      <c r="B32" s="0" t="s">
        <v>98</v>
      </c>
      <c r="C32" s="7" t="n">
        <v>43.65</v>
      </c>
      <c r="D32" s="0" t="s">
        <v>77</v>
      </c>
      <c r="E32" s="0" t="s">
        <v>20</v>
      </c>
      <c r="F32" s="0" t="s">
        <v>99</v>
      </c>
      <c r="G32" s="0" t="s">
        <v>100</v>
      </c>
    </row>
    <row r="33" customFormat="false" ht="15" hidden="false" customHeight="false" outlineLevel="0" collapsed="false">
      <c r="A33" s="0" t="s">
        <v>101</v>
      </c>
      <c r="B33" s="0" t="s">
        <v>102</v>
      </c>
      <c r="C33" s="7" t="n">
        <v>1.5</v>
      </c>
      <c r="D33" s="0" t="s">
        <v>47</v>
      </c>
      <c r="E33" s="0" t="s">
        <v>20</v>
      </c>
      <c r="F33" s="0" t="s">
        <v>99</v>
      </c>
      <c r="G33" s="0" t="s">
        <v>100</v>
      </c>
    </row>
    <row r="34" customFormat="false" ht="15" hidden="false" customHeight="false" outlineLevel="0" collapsed="false">
      <c r="A34" s="0" t="s">
        <v>103</v>
      </c>
      <c r="B34" s="0" t="s">
        <v>104</v>
      </c>
      <c r="C34" s="6" t="n">
        <v>16</v>
      </c>
      <c r="D34" s="0" t="s">
        <v>105</v>
      </c>
      <c r="E34" s="0" t="s">
        <v>20</v>
      </c>
      <c r="F34" s="0" t="s">
        <v>99</v>
      </c>
      <c r="G34" s="0" t="s">
        <v>100</v>
      </c>
    </row>
    <row r="35" customFormat="false" ht="15" hidden="false" customHeight="false" outlineLevel="0" collapsed="false">
      <c r="A35" s="0" t="s">
        <v>106</v>
      </c>
      <c r="B35" s="0" t="s">
        <v>107</v>
      </c>
      <c r="C35" s="7" t="n">
        <v>174.31</v>
      </c>
      <c r="D35" s="0" t="s">
        <v>77</v>
      </c>
      <c r="E35" s="0" t="s">
        <v>20</v>
      </c>
      <c r="F35" s="0" t="s">
        <v>21</v>
      </c>
      <c r="G35" s="0" t="s">
        <v>22</v>
      </c>
    </row>
    <row r="36" customFormat="false" ht="15" hidden="false" customHeight="false" outlineLevel="0" collapsed="false">
      <c r="A36" s="0" t="s">
        <v>108</v>
      </c>
      <c r="B36" s="0" t="s">
        <v>109</v>
      </c>
      <c r="C36" s="7" t="n">
        <v>0.34</v>
      </c>
      <c r="D36" s="0" t="s">
        <v>77</v>
      </c>
      <c r="E36" s="0" t="s">
        <v>20</v>
      </c>
      <c r="F36" s="0" t="s">
        <v>21</v>
      </c>
      <c r="G3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3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5" t="s">
        <v>110</v>
      </c>
      <c r="B1" s="5" t="s">
        <v>13</v>
      </c>
      <c r="C1" s="5" t="s">
        <v>111</v>
      </c>
      <c r="D1" s="5" t="s">
        <v>112</v>
      </c>
      <c r="E1" s="5" t="s">
        <v>113</v>
      </c>
      <c r="F1" s="5" t="s">
        <v>14</v>
      </c>
      <c r="G1" s="5" t="s">
        <v>15</v>
      </c>
    </row>
    <row r="2" customFormat="false" ht="15" hidden="false" customHeight="false" outlineLevel="0" collapsed="false">
      <c r="A2" s="0" t="s">
        <v>114</v>
      </c>
      <c r="B2" s="0" t="s">
        <v>30</v>
      </c>
      <c r="C2" s="8" t="n">
        <v>42891</v>
      </c>
      <c r="D2" s="8" t="n">
        <v>7839.5</v>
      </c>
      <c r="E2" s="8" t="n">
        <v>54.1</v>
      </c>
      <c r="F2" s="0" t="s">
        <v>33</v>
      </c>
      <c r="G2" s="0" t="s">
        <v>69</v>
      </c>
    </row>
    <row r="3" customFormat="false" ht="15" hidden="false" customHeight="false" outlineLevel="0" collapsed="false">
      <c r="A3" s="0" t="s">
        <v>115</v>
      </c>
      <c r="B3" s="0" t="s">
        <v>68</v>
      </c>
      <c r="C3" s="8" t="n">
        <v>986.5</v>
      </c>
      <c r="D3" s="8" t="n">
        <v>180.3</v>
      </c>
      <c r="E3" s="8" t="n">
        <v>5.9</v>
      </c>
      <c r="F3" s="0" t="s">
        <v>33</v>
      </c>
      <c r="G3" s="0" t="s">
        <v>69</v>
      </c>
    </row>
    <row r="4" customFormat="false" ht="15" hidden="false" customHeight="false" outlineLevel="0" collapsed="false">
      <c r="A4" s="2" t="s">
        <v>116</v>
      </c>
    </row>
    <row r="5" customFormat="false" ht="15" hidden="false" customHeight="false" outlineLevel="0" collapsed="false">
      <c r="A5" s="0" t="s">
        <v>117</v>
      </c>
      <c r="C5" s="11" t="n">
        <f aca="false">C$2 / Inputs!$C$22</f>
        <v>0.844314347694282</v>
      </c>
      <c r="D5" s="11" t="n">
        <f aca="false">D$2 / Inputs!$C$22</f>
        <v>0.154321473706589</v>
      </c>
      <c r="E5" s="11" t="n">
        <f aca="false">E$2 / Inputs!$C$22</f>
        <v>0.00106496482269615</v>
      </c>
    </row>
    <row r="6" customFormat="false" ht="15" hidden="false" customHeight="false" outlineLevel="0" collapsed="false">
      <c r="A6" s="0" t="s">
        <v>118</v>
      </c>
      <c r="C6" s="12" t="n">
        <f aca="false">12 * C$3</f>
        <v>11838</v>
      </c>
      <c r="D6" s="12" t="n">
        <f aca="false">12 * D$3</f>
        <v>2163.6</v>
      </c>
      <c r="E6" s="12" t="n">
        <f aca="false">12 * E$3</f>
        <v>70.8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119</v>
      </c>
      <c r="B1" s="0" t="s">
        <v>120</v>
      </c>
    </row>
    <row r="2" customFormat="false" ht="15" hidden="false" customHeight="false" outlineLevel="0" collapsed="false">
      <c r="A2" s="5"/>
      <c r="B2" s="5" t="s">
        <v>121</v>
      </c>
      <c r="C2" s="5" t="s">
        <v>122</v>
      </c>
      <c r="D2" s="5" t="s">
        <v>123</v>
      </c>
      <c r="E2" s="5" t="s">
        <v>124</v>
      </c>
      <c r="F2" s="5" t="s">
        <v>125</v>
      </c>
      <c r="G2" s="5" t="s">
        <v>126</v>
      </c>
      <c r="H2" s="5" t="s">
        <v>127</v>
      </c>
      <c r="I2" s="5" t="s">
        <v>128</v>
      </c>
    </row>
    <row r="3" customFormat="false" ht="15" hidden="false" customHeight="false" outlineLevel="0" collapsed="false">
      <c r="A3" s="0" t="s">
        <v>30</v>
      </c>
      <c r="B3" s="7" t="n">
        <v>338.5</v>
      </c>
      <c r="C3" s="7" t="n">
        <v>4.5</v>
      </c>
      <c r="D3" s="7" t="n">
        <v>2.7</v>
      </c>
      <c r="E3" s="7" t="n">
        <v>1.5</v>
      </c>
      <c r="F3" s="7" t="n">
        <v>1.2</v>
      </c>
      <c r="G3" s="7" t="n">
        <v>0.9</v>
      </c>
      <c r="H3" s="7" t="n">
        <v>0.5</v>
      </c>
      <c r="I3" s="7" t="n">
        <v>0.4</v>
      </c>
    </row>
    <row r="6" customFormat="false" ht="15" hidden="false" customHeight="false" outlineLevel="0" collapsed="false">
      <c r="A6" s="2" t="s">
        <v>129</v>
      </c>
      <c r="B6" s="0" t="s">
        <v>130</v>
      </c>
    </row>
    <row r="7" customFormat="false" ht="15" hidden="false" customHeight="false" outlineLevel="0" collapsed="false">
      <c r="A7" s="5"/>
      <c r="B7" s="5" t="s">
        <v>131</v>
      </c>
      <c r="C7" s="5" t="s">
        <v>132</v>
      </c>
      <c r="D7" s="5" t="s">
        <v>133</v>
      </c>
      <c r="E7" s="5" t="s">
        <v>134</v>
      </c>
      <c r="F7" s="5" t="s">
        <v>135</v>
      </c>
    </row>
    <row r="8" customFormat="false" ht="15" hidden="false" customHeight="false" outlineLevel="0" collapsed="false">
      <c r="A8" s="0" t="s">
        <v>136</v>
      </c>
      <c r="B8" s="10" t="n">
        <v>0.015</v>
      </c>
      <c r="C8" s="10" t="n">
        <v>0.23</v>
      </c>
      <c r="D8" s="10" t="n">
        <v>0.817</v>
      </c>
      <c r="E8" s="10" t="n">
        <v>0.718</v>
      </c>
      <c r="F8" s="10" t="n">
        <v>0.154</v>
      </c>
    </row>
    <row r="11" customFormat="false" ht="15" hidden="false" customHeight="false" outlineLevel="0" collapsed="false">
      <c r="A11" s="2" t="s">
        <v>137</v>
      </c>
      <c r="B11" s="0" t="s">
        <v>138</v>
      </c>
    </row>
    <row r="12" customFormat="false" ht="15" hidden="false" customHeight="false" outlineLevel="0" collapsed="false">
      <c r="A12" s="5"/>
      <c r="B12" s="5" t="s">
        <v>139</v>
      </c>
      <c r="C12" s="5" t="s">
        <v>140</v>
      </c>
      <c r="D12" s="5" t="s">
        <v>141</v>
      </c>
      <c r="E12" s="5" t="s">
        <v>142</v>
      </c>
      <c r="F12" s="5" t="s">
        <v>143</v>
      </c>
      <c r="G12" s="5" t="s">
        <v>144</v>
      </c>
      <c r="H12" s="5" t="s">
        <v>145</v>
      </c>
    </row>
    <row r="13" customFormat="false" ht="15" hidden="false" customHeight="false" outlineLevel="0" collapsed="false">
      <c r="A13" s="0" t="s">
        <v>30</v>
      </c>
      <c r="B13" s="7" t="n">
        <v>42891</v>
      </c>
      <c r="C13" s="7" t="n">
        <v>7839.5</v>
      </c>
      <c r="D13" s="7" t="n">
        <v>54.1</v>
      </c>
      <c r="E13" s="7" t="n">
        <v>14</v>
      </c>
      <c r="F13" s="7" t="n">
        <v>1.2</v>
      </c>
      <c r="G13" s="7" t="n">
        <v>0.1</v>
      </c>
      <c r="H13" s="7" t="n">
        <v>0</v>
      </c>
    </row>
    <row r="16" customFormat="false" ht="15" hidden="false" customHeight="false" outlineLevel="0" collapsed="false">
      <c r="A16" s="2" t="s">
        <v>146</v>
      </c>
      <c r="B16" s="0" t="s">
        <v>120</v>
      </c>
    </row>
    <row r="17" customFormat="false" ht="15" hidden="false" customHeight="false" outlineLevel="0" collapsed="false">
      <c r="A17" s="5"/>
      <c r="B17" s="5" t="s">
        <v>18</v>
      </c>
      <c r="C17" s="5" t="s">
        <v>147</v>
      </c>
      <c r="D17" s="5" t="s">
        <v>148</v>
      </c>
    </row>
    <row r="18" customFormat="false" ht="15" hidden="false" customHeight="false" outlineLevel="0" collapsed="false">
      <c r="A18" s="0" t="s">
        <v>77</v>
      </c>
      <c r="B18" s="7" t="n">
        <v>0.34</v>
      </c>
      <c r="C18" s="7" t="n">
        <v>130.32</v>
      </c>
      <c r="D18" s="7" t="n">
        <v>43.65</v>
      </c>
    </row>
    <row r="21" customFormat="false" ht="15" hidden="false" customHeight="false" outlineLevel="0" collapsed="false">
      <c r="A21" s="2" t="s">
        <v>149</v>
      </c>
      <c r="B21" s="0" t="s">
        <v>150</v>
      </c>
    </row>
    <row r="22" customFormat="false" ht="15" hidden="false" customHeight="false" outlineLevel="0" collapsed="false">
      <c r="A22" s="5"/>
      <c r="B22" s="5" t="s">
        <v>151</v>
      </c>
      <c r="C22" s="5" t="s">
        <v>152</v>
      </c>
      <c r="D22" s="5" t="s">
        <v>153</v>
      </c>
      <c r="E22" s="5" t="s">
        <v>154</v>
      </c>
      <c r="F22" s="5" t="s">
        <v>155</v>
      </c>
      <c r="G22" s="5" t="s">
        <v>156</v>
      </c>
      <c r="H22" s="5" t="s">
        <v>157</v>
      </c>
      <c r="I22" s="5" t="s">
        <v>158</v>
      </c>
    </row>
    <row r="23" customFormat="false" ht="15" hidden="false" customHeight="false" outlineLevel="0" collapsed="false">
      <c r="A23" s="0" t="s">
        <v>77</v>
      </c>
      <c r="B23" s="7" t="n">
        <v>86.3</v>
      </c>
      <c r="C23" s="7" t="n">
        <v>4.93</v>
      </c>
      <c r="D23" s="7" t="n">
        <v>4.1</v>
      </c>
      <c r="E23" s="7" t="n">
        <v>3.57</v>
      </c>
      <c r="F23" s="7" t="n">
        <v>3.5</v>
      </c>
      <c r="G23" s="7" t="n">
        <v>3.48</v>
      </c>
      <c r="H23" s="7" t="n">
        <v>3.44</v>
      </c>
      <c r="I23" s="7" t="n">
        <v>3.4</v>
      </c>
    </row>
    <row r="26" customFormat="false" ht="15" hidden="false" customHeight="false" outlineLevel="0" collapsed="false">
      <c r="A26" s="2" t="s">
        <v>159</v>
      </c>
      <c r="B26" s="0" t="s">
        <v>160</v>
      </c>
    </row>
    <row r="27" customFormat="false" ht="15" hidden="false" customHeight="false" outlineLevel="0" collapsed="false">
      <c r="A27" s="5"/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165</v>
      </c>
      <c r="G27" s="5" t="s">
        <v>166</v>
      </c>
      <c r="H27" s="5" t="s">
        <v>167</v>
      </c>
      <c r="I27" s="5" t="s">
        <v>168</v>
      </c>
    </row>
    <row r="28" customFormat="false" ht="15" hidden="false" customHeight="false" outlineLevel="0" collapsed="false">
      <c r="A28" s="0" t="s">
        <v>77</v>
      </c>
      <c r="B28" s="7" t="n">
        <v>6.87</v>
      </c>
      <c r="C28" s="7" t="n">
        <v>6.87</v>
      </c>
      <c r="D28" s="7" t="n">
        <v>6.81</v>
      </c>
      <c r="E28" s="7" t="n">
        <v>1.91</v>
      </c>
      <c r="F28" s="7" t="n">
        <v>1.91</v>
      </c>
      <c r="G28" s="7" t="n">
        <v>1.91</v>
      </c>
      <c r="H28" s="7" t="n">
        <v>1.91</v>
      </c>
      <c r="I28" s="7" t="n">
        <v>1.91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169</v>
      </c>
      <c r="B1" s="5" t="s">
        <v>170</v>
      </c>
      <c r="C1" s="5" t="s">
        <v>171</v>
      </c>
      <c r="D1" s="5" t="s">
        <v>172</v>
      </c>
    </row>
    <row r="2" customFormat="false" ht="15" hidden="false" customHeight="false" outlineLevel="0" collapsed="false">
      <c r="A2" s="0" t="s">
        <v>173</v>
      </c>
      <c r="B2" s="13" t="n">
        <f aca="false">Inputs!$C$4/Inputs!$C$3</f>
        <v>0.634194831013917</v>
      </c>
      <c r="C2" s="13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174</v>
      </c>
      <c r="B3" s="13" t="n">
        <f aca="false">Inputs!$C$17/Inputs!$C$5</f>
        <v>0.997153430116709</v>
      </c>
      <c r="C3" s="13" t="n">
        <v>0.997153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175</v>
      </c>
      <c r="B4" s="13" t="n">
        <f aca="false">Inputs!$C$21/Inputs!$C$22</f>
        <v>0.999700786223568</v>
      </c>
      <c r="C4" s="13" t="n">
        <v>0.999701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176</v>
      </c>
      <c r="B5" s="13" t="n">
        <f aca="false">Options!C$5</f>
        <v>0.844314347694282</v>
      </c>
      <c r="C5" s="13" t="n">
        <v>0.844314</v>
      </c>
      <c r="D5" s="0" t="str">
        <f aca="false">IF(ABS(B5-C5)&lt;0.0005,"OK","MISMATCH")</f>
        <v>OK</v>
      </c>
    </row>
    <row r="6" customFormat="false" ht="15" hidden="false" customHeight="false" outlineLevel="0" collapsed="false">
      <c r="A6" s="0" t="s">
        <v>177</v>
      </c>
      <c r="B6" s="13" t="n">
        <f aca="false">Options!D$5</f>
        <v>0.154321473706589</v>
      </c>
      <c r="C6" s="13" t="n">
        <v>0.154321</v>
      </c>
      <c r="D6" s="0" t="str">
        <f aca="false">IF(ABS(B6-C6)&lt;0.0005,"OK","MISMATCH")</f>
        <v>OK</v>
      </c>
    </row>
    <row r="7" customFormat="false" ht="15" hidden="false" customHeight="false" outlineLevel="0" collapsed="false">
      <c r="A7" s="0" t="s">
        <v>178</v>
      </c>
      <c r="B7" s="13" t="n">
        <f aca="false">Options!E$5</f>
        <v>0.00106496482269615</v>
      </c>
      <c r="C7" s="13" t="n">
        <v>0.001065</v>
      </c>
      <c r="D7" s="0" t="str">
        <f aca="false">IF(ABS(B7-C7)&lt;0.0005,"OK","MISMATCH")</f>
        <v>OK</v>
      </c>
    </row>
    <row r="9" customFormat="false" ht="15" hidden="false" customHeight="false" outlineLevel="0" collapsed="false">
      <c r="A9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2026-10-02T07:26:31Z</dcterms:created>
  <dc:creator>doc-studio</dc:creator>
  <dc:description/>
  <dc:language>en-US</dc:language>
  <cp:lastModifiedBy>doc-studio</cp:lastModifiedBy>
  <dcterms:modified xsi:type="dcterms:W3CDTF">2026-10-02T07:26:31Z</dcterms:modified>
  <cp:revision>0</cp:revision>
  <dc:subject/>
  <dc:title>RMS estate review: cost, condition and first data products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