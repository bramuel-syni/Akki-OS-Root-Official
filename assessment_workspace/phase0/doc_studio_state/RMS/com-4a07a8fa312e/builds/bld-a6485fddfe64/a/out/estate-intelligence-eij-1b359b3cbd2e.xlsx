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Options" sheetId="3" state="visible" r:id="rId4"/>
    <sheet name="Series" sheetId="4" state="visible" r:id="rId5"/>
    <sheet name="Check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<sst xmlns="http://schemas.openxmlformats.org/spreadsheetml/2006/main" count="201" uniqueCount="122">
  <si>
    <t xml:space="preserve">Estate cost and data-product decision pack</t>
  </si>
  <si>
    <t xml:space="preserve">RMS  ·  WB-eij-1b359b3cbd2e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</si>
  <si>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</si>
  <si>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</si>
  <si>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</si>
  <si>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</si>
  <si>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</si>
  <si>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</si>
  <si>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</si>
  <si>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</si>
  <si>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</si>
  <si>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</si>
  <si>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</si>
  <si>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</si>
  <si>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</si>
  <si>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</si>
  <si>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</si>
  <si>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</si>
  <si>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Databases</t>
  </si>
  <si>
    <t xml:space="preserve">databases</t>
  </si>
  <si>
    <t xml:space="preserve">measured</t>
  </si>
  <si>
    <t xml:space="preserve">R01</t>
  </si>
  <si>
    <t xml:space="preserve">Estate intelligence census eij-1b359b3cbd2e, digest-verified report (measured 2026-09-29), headline aggregates and per-database measures</t>
  </si>
  <si>
    <t xml:space="preserve">F002</t>
  </si>
  <si>
    <t xml:space="preserve">Tables</t>
  </si>
  <si>
    <t xml:space="preserve">tables</t>
  </si>
  <si>
    <t xml:space="preserve">F003</t>
  </si>
  <si>
    <t xml:space="preserve">Tables measured</t>
  </si>
  <si>
    <t xml:space="preserve">F004</t>
  </si>
  <si>
    <t xml:space="preserve">Data and index held</t>
  </si>
  <si>
    <t xml:space="preserve">GiB</t>
  </si>
  <si>
    <t xml:space="preserve">F005</t>
  </si>
  <si>
    <t xml:space="preserve">Reclaimable before pricing</t>
  </si>
  <si>
    <t xml:space="preserve">estimated</t>
  </si>
  <si>
    <t xml:space="preserve">F006</t>
  </si>
  <si>
    <t xml:space="preserve">Reclaimable share of bytes</t>
  </si>
  <si>
    <t xml:space="preserve">pct</t>
  </si>
  <si>
    <t xml:space="preserve">F007</t>
  </si>
  <si>
    <t xml:space="preserve">Exact duplicate rows</t>
  </si>
  <si>
    <t xml:space="preserve">F008</t>
  </si>
  <si>
    <t xml:space="preserve">Degraded rows</t>
  </si>
  <si>
    <t xml:space="preserve">F009</t>
  </si>
  <si>
    <t xml:space="preserve">Rows with empty required-looking fields</t>
  </si>
  <si>
    <t xml:space="preserve">F010</t>
  </si>
  <si>
    <t xml:space="preserve">Sampled rows with PII markers</t>
  </si>
  <si>
    <t xml:space="preserve">F011</t>
  </si>
  <si>
    <t xml:space="preserve">Rows sampled for PII</t>
  </si>
  <si>
    <t xml:space="preserve">m</t>
  </si>
  <si>
    <t xml:space="preserve">F012</t>
  </si>
  <si>
    <t xml:space="preserve">Bytes not written for over a year</t>
  </si>
  <si>
    <t xml:space="preserve">F013</t>
  </si>
  <si>
    <t xml:space="preserve">Rows held</t>
  </si>
  <si>
    <t xml:space="preserve">F014</t>
  </si>
  <si>
    <t xml:space="preserve">Duplicate table pairs</t>
  </si>
  <si>
    <t xml:space="preserve">pairs</t>
  </si>
  <si>
    <t xml:space="preserve">F015</t>
  </si>
  <si>
    <t xml:space="preserve">Empty tables</t>
  </si>
  <si>
    <t xml:space="preserve">F016</t>
  </si>
  <si>
    <t xml:space="preserve">Bytes in the largest databases</t>
  </si>
  <si>
    <t xml:space="preserve">F017</t>
  </si>
  <si>
    <t xml:space="preserve">Dead columns share</t>
  </si>
  <si>
    <t xml:space="preserve">F018</t>
  </si>
  <si>
    <t xml:space="preserve">Product candidates</t>
  </si>
  <si>
    <t xml:space="preserve">candidates</t>
  </si>
  <si>
    <t xml:space="preserve">R03</t>
  </si>
  <si>
    <t xml:space="preserve">Estate intelligence census eij-1b359b3cbd2e, data_products readiness scoring (dimensions, grades, blockers)</t>
  </si>
  <si>
    <t xml:space="preserve">F019</t>
  </si>
  <si>
    <t xml:space="preserve">Priced monthly saving (USD)</t>
  </si>
  <si>
    <t xml:space="preserve">USD</t>
  </si>
  <si>
    <t xml:space="preserve">R02</t>
  </si>
  <si>
    <t xml:space="preserve">Estate intelligence census eij-1b359b3cbd2e, cost_strategies priced at reference list prices, not the owner's invoice: Huawei Cloud RDS for MySQL cloud SSD AF-Johannesburg 0.00015 USD/GB-hour x 730 h; OBS Standard 0.023 USD/GB-month</t>
  </si>
  <si>
    <t xml:space="preserve">F020</t>
  </si>
  <si>
    <t xml:space="preserve">Bytes addressed by the three largest strategies</t>
  </si>
  <si>
    <t xml:space="preserve">F021</t>
  </si>
  <si>
    <t xml:space="preserve">Bytes addressed by all cost strategies (databases, object and file stores)</t>
  </si>
  <si>
    <t xml:space="preserve">Line</t>
  </si>
  <si>
    <t xml:space="preserve">Move buckets not written for over a year to archive-class st</t>
  </si>
  <si>
    <t xml:space="preserve">Reconcile duplicate objects across OBS buckets</t>
  </si>
  <si>
    <t xml:space="preserve">Move tables not written for over a year to cold storage</t>
  </si>
  <si>
    <t xml:space="preserve">Bytes addressed</t>
  </si>
  <si>
    <t xml:space="preserve">Monthly saving</t>
  </si>
  <si>
    <t xml:space="preserve">Derived</t>
  </si>
  <si>
    <t xml:space="preserve">Share of bytes addressed by all strategies</t>
  </si>
  <si>
    <t xml:space="preserve">Annual saving (USD)</t>
  </si>
  <si>
    <t xml:space="preserve">S001  Data and index by database, GiB</t>
  </si>
  <si>
    <t xml:space="preserve">[measured] receipt R01: Estate intelligence census eij-1b359b3cbd2e, digest-verified report (measured 2026-09-29), headline aggregates and per-database measures</t>
  </si>
  <si>
    <t xml:space="preserve">viusasa_staging (D)</t>
  </si>
  <si>
    <t xml:space="preserve">razuna (D)</t>
  </si>
  <si>
    <t xml:space="preserve">db_visitors (D)</t>
  </si>
  <si>
    <t xml:space="preserve">kra_reports (D)</t>
  </si>
  <si>
    <t xml:space="preserve">viupay_agent_staging (A)</t>
  </si>
  <si>
    <t xml:space="preserve">news_vault (C)</t>
  </si>
  <si>
    <t xml:space="preserve">local (D)</t>
  </si>
  <si>
    <t xml:space="preserve">viutickets (B)</t>
  </si>
  <si>
    <t xml:space="preserve">S002  Condition of measured rows</t>
  </si>
  <si>
    <t xml:space="preserve">[estimated] receipt R01: Estate intelligence census eij-1b359b3cbd2e, digest-verified report (measured 2026-09-29), headline aggregates and per-database measures</t>
  </si>
  <si>
    <t xml:space="preserve">Exact duplicates</t>
  </si>
  <si>
    <t xml:space="preserve">Degraded</t>
  </si>
  <si>
    <t xml:space="preserve">Empty required fields</t>
  </si>
  <si>
    <t xml:space="preserve">PII markers (sampled)</t>
  </si>
  <si>
    <t xml:space="preserve">Stale bytes</t>
  </si>
  <si>
    <t xml:space="preserve">Share</t>
  </si>
  <si>
    <t xml:space="preserve">S003  Reclaimable GiB by cost strategy</t>
  </si>
  <si>
    <t xml:space="preserve">[estimated] receipt R02: Estate intelligence census eij-1b359b3cbd2e, cost_strategies priced at reference list prices, not the owner's invoice: Huawei Cloud RDS for MySQL cloud SSD AF-Johannesburg 0.00015 USD/GB-hour x 730 h; OBS Standard 0.023 USD/GB-month</t>
  </si>
  <si>
    <t xml:space="preserve">Move buckets not written for over a year</t>
  </si>
  <si>
    <t xml:space="preserve">Reconcile duplicate objects across OBS b</t>
  </si>
  <si>
    <t xml:space="preserve">Move tables not written for over a year </t>
  </si>
  <si>
    <t xml:space="preserve">Remove redundant (prefix-covered) indexe</t>
  </si>
  <si>
    <t xml:space="preserve">De-duplicate exact repeated rows inside </t>
  </si>
  <si>
    <t xml:space="preserve">Consolidate duplicate and staging copies</t>
  </si>
  <si>
    <t xml:space="preserve">Drop or archive empty tables</t>
  </si>
  <si>
    <t xml:space="preserve">Check</t>
  </si>
  <si>
    <t xml:space="preserve">Workbook</t>
  </si>
  <si>
    <t xml:space="preserve">Content model</t>
  </si>
  <si>
    <t xml:space="preserve">Match</t>
  </si>
  <si>
    <t xml:space="preserve">K001 share of tables measured</t>
  </si>
  <si>
    <t xml:space="preserve">K002 share of bytes in the largest databases</t>
  </si>
  <si>
    <t xml:space="preserve">K004 three largest strategies' share of bytes addressed</t>
  </si>
  <si>
    <t xml:space="preserve">K003 share of bytes addressed O1</t>
  </si>
  <si>
    <t xml:space="preserve">K003 share of bytes addressed O2</t>
  </si>
  <si>
    <t xml:space="preserve">K003 share of bytes addressed O3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</si>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</sst>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0.0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4" t="s">
        <v>7</v>
      </c>
      <c r="B7" s="0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6" t="n">
        <v>20</v>
      </c>
      <c r="D2" s="0" t="s">
        <v>19</v>
      </c>
      <c r="E2" s="0" t="s">
        <v>20</v>
      </c>
      <c r="F2" s="0" t="s">
        <v>21</v>
      </c>
      <c r="G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6" t="n">
        <v>1006</v>
      </c>
      <c r="D3" s="0" t="s">
        <v>25</v>
      </c>
      <c r="E3" s="0" t="s">
        <v>20</v>
      </c>
      <c r="F3" s="0" t="s">
        <v>21</v>
      </c>
      <c r="G3" s="0" t="s">
        <v>22</v>
      </c>
    </row>
    <row r="4" customFormat="false" ht="15" hidden="false" customHeight="false" outlineLevel="0" collapsed="false">
      <c r="A4" s="0" t="s">
        <v>26</v>
      </c>
      <c r="B4" s="0" t="s">
        <v>27</v>
      </c>
      <c r="C4" s="6" t="n">
        <v>638</v>
      </c>
      <c r="D4" s="0" t="s">
        <v>25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28</v>
      </c>
      <c r="B5" s="0" t="s">
        <v>29</v>
      </c>
      <c r="C5" s="7" t="n">
        <v>351.3</v>
      </c>
      <c r="D5" s="0" t="s">
        <v>30</v>
      </c>
      <c r="E5" s="0" t="s">
        <v>20</v>
      </c>
      <c r="F5" s="0" t="s">
        <v>21</v>
      </c>
      <c r="G5" s="0" t="s">
        <v>22</v>
      </c>
    </row>
    <row r="6" customFormat="false" ht="15" hidden="false" customHeight="false" outlineLevel="0" collapsed="false">
      <c r="A6" s="0" t="s">
        <v>31</v>
      </c>
      <c r="B6" s="0" t="s">
        <v>32</v>
      </c>
      <c r="C6" s="8" t="n">
        <v>15.2</v>
      </c>
      <c r="D6" s="0" t="s">
        <v>30</v>
      </c>
      <c r="E6" s="0" t="s">
        <v>33</v>
      </c>
      <c r="F6" s="0" t="s">
        <v>21</v>
      </c>
      <c r="G6" s="0" t="s">
        <v>22</v>
      </c>
    </row>
    <row r="7" customFormat="false" ht="15" hidden="false" customHeight="false" outlineLevel="0" collapsed="false">
      <c r="A7" s="0" t="s">
        <v>34</v>
      </c>
      <c r="B7" s="0" t="s">
        <v>35</v>
      </c>
      <c r="C7" s="9" t="n">
        <v>0.043</v>
      </c>
      <c r="D7" s="0" t="s">
        <v>36</v>
      </c>
      <c r="E7" s="0" t="s">
        <v>33</v>
      </c>
      <c r="F7" s="0" t="s">
        <v>21</v>
      </c>
      <c r="G7" s="0" t="s">
        <v>22</v>
      </c>
    </row>
    <row r="8" customFormat="false" ht="15" hidden="false" customHeight="false" outlineLevel="0" collapsed="false">
      <c r="A8" s="0" t="s">
        <v>37</v>
      </c>
      <c r="B8" s="0" t="s">
        <v>38</v>
      </c>
      <c r="C8" s="9" t="n">
        <v>0.015</v>
      </c>
      <c r="D8" s="0" t="s">
        <v>36</v>
      </c>
      <c r="E8" s="0" t="s">
        <v>33</v>
      </c>
      <c r="F8" s="0" t="s">
        <v>21</v>
      </c>
      <c r="G8" s="0" t="s">
        <v>22</v>
      </c>
    </row>
    <row r="9" customFormat="false" ht="15" hidden="false" customHeight="false" outlineLevel="0" collapsed="false">
      <c r="A9" s="0" t="s">
        <v>39</v>
      </c>
      <c r="B9" s="0" t="s">
        <v>40</v>
      </c>
      <c r="C9" s="9" t="n">
        <v>0.23</v>
      </c>
      <c r="D9" s="0" t="s">
        <v>36</v>
      </c>
      <c r="E9" s="0" t="s">
        <v>33</v>
      </c>
      <c r="F9" s="0" t="s">
        <v>21</v>
      </c>
      <c r="G9" s="0" t="s">
        <v>22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9" t="n">
        <v>0.817</v>
      </c>
      <c r="D10" s="0" t="s">
        <v>36</v>
      </c>
      <c r="E10" s="0" t="s">
        <v>33</v>
      </c>
      <c r="F10" s="0" t="s">
        <v>21</v>
      </c>
      <c r="G10" s="0" t="s">
        <v>22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9" t="n">
        <v>0.718</v>
      </c>
      <c r="D11" s="0" t="s">
        <v>36</v>
      </c>
      <c r="E11" s="0" t="s">
        <v>33</v>
      </c>
      <c r="F11" s="0" t="s">
        <v>21</v>
      </c>
      <c r="G11" s="0" t="s">
        <v>22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7" t="n">
        <v>1</v>
      </c>
      <c r="D12" s="0" t="s">
        <v>47</v>
      </c>
      <c r="E12" s="0" t="s">
        <v>20</v>
      </c>
      <c r="F12" s="0" t="s">
        <v>21</v>
      </c>
      <c r="G12" s="0" t="s">
        <v>22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10" t="n">
        <v>0.154</v>
      </c>
      <c r="D13" s="0" t="s">
        <v>36</v>
      </c>
      <c r="E13" s="0" t="s">
        <v>20</v>
      </c>
      <c r="F13" s="0" t="s">
        <v>21</v>
      </c>
      <c r="G13" s="0" t="s">
        <v>22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8" t="n">
        <v>259.3</v>
      </c>
      <c r="D14" s="0" t="s">
        <v>47</v>
      </c>
      <c r="E14" s="0" t="s">
        <v>33</v>
      </c>
      <c r="F14" s="0" t="s">
        <v>21</v>
      </c>
      <c r="G14" s="0" t="s">
        <v>22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6" t="n">
        <v>71</v>
      </c>
      <c r="D15" s="0" t="s">
        <v>54</v>
      </c>
      <c r="E15" s="0" t="s">
        <v>20</v>
      </c>
      <c r="F15" s="0" t="s">
        <v>21</v>
      </c>
      <c r="G15" s="0" t="s">
        <v>22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6" t="n">
        <v>368</v>
      </c>
      <c r="D16" s="0" t="s">
        <v>25</v>
      </c>
      <c r="E16" s="0" t="s">
        <v>20</v>
      </c>
      <c r="F16" s="0" t="s">
        <v>21</v>
      </c>
      <c r="G16" s="0" t="s">
        <v>22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7" t="n">
        <v>350.3</v>
      </c>
      <c r="D17" s="0" t="s">
        <v>30</v>
      </c>
      <c r="E17" s="0" t="s">
        <v>20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10" t="n">
        <v>0.13</v>
      </c>
      <c r="D18" s="0" t="s">
        <v>36</v>
      </c>
      <c r="E18" s="0" t="s">
        <v>20</v>
      </c>
      <c r="F18" s="0" t="s">
        <v>21</v>
      </c>
      <c r="G18" s="0" t="s">
        <v>22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6" t="n">
        <v>8</v>
      </c>
      <c r="D19" s="0" t="s">
        <v>63</v>
      </c>
      <c r="E19" s="0" t="s">
        <v>20</v>
      </c>
      <c r="F19" s="0" t="s">
        <v>64</v>
      </c>
      <c r="G19" s="0" t="s">
        <v>65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8" t="n">
        <v>1174.4</v>
      </c>
      <c r="D20" s="0" t="s">
        <v>68</v>
      </c>
      <c r="E20" s="0" t="s">
        <v>33</v>
      </c>
      <c r="F20" s="0" t="s">
        <v>69</v>
      </c>
      <c r="G20" s="0" t="s">
        <v>70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8" t="n">
        <v>50784.6</v>
      </c>
      <c r="D21" s="0" t="s">
        <v>30</v>
      </c>
      <c r="E21" s="0" t="s">
        <v>33</v>
      </c>
      <c r="F21" s="0" t="s">
        <v>69</v>
      </c>
      <c r="G21" s="0" t="s">
        <v>70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8" t="n">
        <v>50799.8</v>
      </c>
      <c r="D22" s="0" t="s">
        <v>30</v>
      </c>
      <c r="E22" s="0" t="s">
        <v>33</v>
      </c>
      <c r="F22" s="0" t="s">
        <v>69</v>
      </c>
      <c r="G22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5" min="3" style="0" width="30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5" t="s">
        <v>75</v>
      </c>
      <c r="B1" s="5" t="s">
        <v>13</v>
      </c>
      <c r="C1" s="5" t="s">
        <v>76</v>
      </c>
      <c r="D1" s="5" t="s">
        <v>77</v>
      </c>
      <c r="E1" s="5" t="s">
        <v>78</v>
      </c>
      <c r="F1" s="5" t="s">
        <v>14</v>
      </c>
      <c r="G1" s="5" t="s">
        <v>15</v>
      </c>
    </row>
    <row r="2" customFormat="false" ht="15" hidden="false" customHeight="false" outlineLevel="0" collapsed="false">
      <c r="A2" s="0" t="s">
        <v>79</v>
      </c>
      <c r="B2" s="0" t="s">
        <v>30</v>
      </c>
      <c r="C2" s="8" t="n">
        <v>42891</v>
      </c>
      <c r="D2" s="8" t="n">
        <v>7839.5</v>
      </c>
      <c r="E2" s="8" t="n">
        <v>54.1</v>
      </c>
      <c r="F2" s="0" t="s">
        <v>33</v>
      </c>
      <c r="G2" s="0" t="s">
        <v>69</v>
      </c>
    </row>
    <row r="3" customFormat="false" ht="15" hidden="false" customHeight="false" outlineLevel="0" collapsed="false">
      <c r="A3" s="0" t="s">
        <v>80</v>
      </c>
      <c r="B3" s="0" t="s">
        <v>68</v>
      </c>
      <c r="C3" s="8" t="n">
        <v>986.5</v>
      </c>
      <c r="D3" s="8" t="n">
        <v>180.3</v>
      </c>
      <c r="E3" s="8" t="n">
        <v>5.9</v>
      </c>
      <c r="F3" s="0" t="s">
        <v>33</v>
      </c>
      <c r="G3" s="0" t="s">
        <v>69</v>
      </c>
    </row>
    <row r="4" customFormat="false" ht="15" hidden="false" customHeight="false" outlineLevel="0" collapsed="false">
      <c r="A4" s="2" t="s">
        <v>81</v>
      </c>
    </row>
    <row r="5" customFormat="false" ht="15" hidden="false" customHeight="false" outlineLevel="0" collapsed="false">
      <c r="A5" s="0" t="s">
        <v>82</v>
      </c>
      <c r="C5" s="11" t="n">
        <f aca="false">C$2 / Inputs!$C$22</f>
        <v>0.844314347694282</v>
      </c>
      <c r="D5" s="11" t="n">
        <f aca="false">D$2 / Inputs!$C$22</f>
        <v>0.154321473706589</v>
      </c>
      <c r="E5" s="11" t="n">
        <f aca="false">E$2 / Inputs!$C$22</f>
        <v>0.00106496482269615</v>
      </c>
    </row>
    <row r="6" customFormat="false" ht="15" hidden="false" customHeight="false" outlineLevel="0" collapsed="false">
      <c r="A6" s="0" t="s">
        <v>83</v>
      </c>
      <c r="C6" s="12" t="n">
        <f aca="false">12 * C$3</f>
        <v>11838</v>
      </c>
      <c r="D6" s="12" t="n">
        <f aca="false">12 * D$3</f>
        <v>2163.6</v>
      </c>
      <c r="E6" s="12" t="n">
        <f aca="false">12 * E$3</f>
        <v>70.8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84</v>
      </c>
      <c r="B1" s="0" t="s">
        <v>85</v>
      </c>
    </row>
    <row r="2" customFormat="false" ht="15" hidden="false" customHeight="false" outlineLevel="0" collapsed="false">
      <c r="A2" s="5"/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</row>
    <row r="3" customFormat="false" ht="15" hidden="false" customHeight="false" outlineLevel="0" collapsed="false">
      <c r="A3" s="0" t="s">
        <v>30</v>
      </c>
      <c r="B3" s="7" t="n">
        <v>338.5</v>
      </c>
      <c r="C3" s="7" t="n">
        <v>4.5</v>
      </c>
      <c r="D3" s="7" t="n">
        <v>2.7</v>
      </c>
      <c r="E3" s="7" t="n">
        <v>1.5</v>
      </c>
      <c r="F3" s="7" t="n">
        <v>1.2</v>
      </c>
      <c r="G3" s="7" t="n">
        <v>0.9</v>
      </c>
      <c r="H3" s="7" t="n">
        <v>0.5</v>
      </c>
      <c r="I3" s="7" t="n">
        <v>0.4</v>
      </c>
    </row>
    <row r="6" customFormat="false" ht="15" hidden="false" customHeight="false" outlineLevel="0" collapsed="false">
      <c r="A6" s="2" t="s">
        <v>94</v>
      </c>
      <c r="B6" s="0" t="s">
        <v>95</v>
      </c>
    </row>
    <row r="7" customFormat="false" ht="15" hidden="false" customHeight="false" outlineLevel="0" collapsed="false">
      <c r="A7" s="5"/>
      <c r="B7" s="5" t="s">
        <v>96</v>
      </c>
      <c r="C7" s="5" t="s">
        <v>97</v>
      </c>
      <c r="D7" s="5" t="s">
        <v>98</v>
      </c>
      <c r="E7" s="5" t="s">
        <v>99</v>
      </c>
      <c r="F7" s="5" t="s">
        <v>100</v>
      </c>
    </row>
    <row r="8" customFormat="false" ht="15" hidden="false" customHeight="false" outlineLevel="0" collapsed="false">
      <c r="A8" s="0" t="s">
        <v>101</v>
      </c>
      <c r="B8" s="10" t="n">
        <v>0.015</v>
      </c>
      <c r="C8" s="10" t="n">
        <v>0.23</v>
      </c>
      <c r="D8" s="10" t="n">
        <v>0.817</v>
      </c>
      <c r="E8" s="10" t="n">
        <v>0.718</v>
      </c>
      <c r="F8" s="10" t="n">
        <v>0.154</v>
      </c>
    </row>
    <row r="11" customFormat="false" ht="15" hidden="false" customHeight="false" outlineLevel="0" collapsed="false">
      <c r="A11" s="2" t="s">
        <v>102</v>
      </c>
      <c r="B11" s="0" t="s">
        <v>103</v>
      </c>
    </row>
    <row r="12" customFormat="false" ht="15" hidden="false" customHeight="false" outlineLevel="0" collapsed="false">
      <c r="A12" s="5"/>
      <c r="B12" s="5" t="s">
        <v>104</v>
      </c>
      <c r="C12" s="5" t="s">
        <v>105</v>
      </c>
      <c r="D12" s="5" t="s">
        <v>106</v>
      </c>
      <c r="E12" s="5" t="s">
        <v>107</v>
      </c>
      <c r="F12" s="5" t="s">
        <v>108</v>
      </c>
      <c r="G12" s="5" t="s">
        <v>109</v>
      </c>
      <c r="H12" s="5" t="s">
        <v>110</v>
      </c>
    </row>
    <row r="13" customFormat="false" ht="15" hidden="false" customHeight="false" outlineLevel="0" collapsed="false">
      <c r="A13" s="0" t="s">
        <v>30</v>
      </c>
      <c r="B13" s="7" t="n">
        <v>42891</v>
      </c>
      <c r="C13" s="7" t="n">
        <v>7839.5</v>
      </c>
      <c r="D13" s="7" t="n">
        <v>54.1</v>
      </c>
      <c r="E13" s="7" t="n">
        <v>14</v>
      </c>
      <c r="F13" s="7" t="n">
        <v>1.2</v>
      </c>
      <c r="G13" s="7" t="n">
        <v>0.1</v>
      </c>
      <c r="H13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111</v>
      </c>
      <c r="B1" s="5" t="s">
        <v>112</v>
      </c>
      <c r="C1" s="5" t="s">
        <v>113</v>
      </c>
      <c r="D1" s="5" t="s">
        <v>114</v>
      </c>
    </row>
    <row r="2" customFormat="false" ht="15" hidden="false" customHeight="false" outlineLevel="0" collapsed="false">
      <c r="A2" s="0" t="s">
        <v>115</v>
      </c>
      <c r="B2" s="13" t="n">
        <f aca="false">Inputs!$C$4/Inputs!$C$3</f>
        <v>0.634194831013917</v>
      </c>
      <c r="C2" s="13" t="n">
        <v>0.634195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116</v>
      </c>
      <c r="B3" s="13" t="n">
        <f aca="false">Inputs!$C$17/Inputs!$C$5</f>
        <v>0.997153430116709</v>
      </c>
      <c r="C3" s="13" t="n">
        <v>0.997153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117</v>
      </c>
      <c r="B4" s="13" t="n">
        <f aca="false">Inputs!$C$21/Inputs!$C$22</f>
        <v>0.999700786223568</v>
      </c>
      <c r="C4" s="13" t="n">
        <v>0.999701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118</v>
      </c>
      <c r="B5" s="13" t="n">
        <f aca="false">Options!C$5</f>
        <v>0.844314347694282</v>
      </c>
      <c r="C5" s="13" t="n">
        <v>0.844314</v>
      </c>
      <c r="D5" s="0" t="str">
        <f aca="false">IF(ABS(B5-C5)&lt;0.0005,"OK","MISMATCH")</f>
        <v>OK</v>
      </c>
    </row>
    <row r="6" customFormat="false" ht="15" hidden="false" customHeight="false" outlineLevel="0" collapsed="false">
      <c r="A6" s="0" t="s">
        <v>119</v>
      </c>
      <c r="B6" s="13" t="n">
        <f aca="false">Options!D$5</f>
        <v>0.154321473706589</v>
      </c>
      <c r="C6" s="13" t="n">
        <v>0.154321</v>
      </c>
      <c r="D6" s="0" t="str">
        <f aca="false">IF(ABS(B6-C6)&lt;0.0005,"OK","MISMATCH")</f>
        <v>OK</v>
      </c>
    </row>
    <row r="7" customFormat="false" ht="15" hidden="false" customHeight="false" outlineLevel="0" collapsed="false">
      <c r="A7" s="0" t="s">
        <v>120</v>
      </c>
      <c r="B7" s="13" t="n">
        <f aca="false">Options!E$5</f>
        <v>0.00106496482269615</v>
      </c>
      <c r="C7" s="13" t="n">
        <v>0.001065</v>
      </c>
      <c r="D7" s="0" t="str">
        <f aca="false">IF(ABS(B7-C7)&lt;0.0005,"OK","MISMATCH")</f>
        <v>OK</v>
      </c>
    </row>
    <row r="9" customFormat="false" ht="15" hidden="false" customHeight="false" outlineLevel="0" collapsed="false">
      <c r="A9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2026-10-02T05:53:40Z</dcterms:created>
  <dc:creator>doc-studio</dc:creator>
  <dc:description/>
  <dc:language>en-US</dc:language>
  <cp:lastModifiedBy>doc-studio</cp:lastModifiedBy>
  <dcterms:modified xsi:type="dcterms:W3CDTF">2026-10-02T05:53:40Z</dcterms:modified>
  <cp:revision>0</cp:revision>
  <dc:subject/>
  <dc:title>Estate cost and data-product decision pack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