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2"/>
    <sheet name="Inputs" sheetId="2" state="visible" r:id="rId3"/>
    <sheet name="Series" sheetId="3" state="visible" r:id="rId4"/>
    <sheet name="Check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<sst xmlns="http://schemas.openxmlformats.org/spreadsheetml/2006/main" count="172" uniqueCount="110">
  <si>
    <t xml:space="preserve">Estate census: partial delivery, commission open</t>
  </si>
  <si>
    <t xml:space="preserve">RMS  ·  WB-close-eij-1b359b3cbd2e  ·  direction D1</t>
  </si>
  <si>
    <t xml:space="preserve">Legend</t>
  </si>
  <si>
    <t xml:space="preserve">Blue text</t>
  </si>
  <si>
    <t xml:space="preserve">hardcoded input, receipt alongside; edit only these</t>
  </si>
  <si>
    <t xml:space="preserve">Black text</t>
  </si>
  <si>
    <t xml:space="preserve">formula; do not overwrite</t>
  </si>
  <si>
    <t xml:space="preserve">Yellow fill</t>
  </si>
  <si>
    <t xml:space="preserve">key assumption the reader should confirm</t>
  </si>
  <si>
    <t xml:space="preserve">Sheets: Inputs (facts) → Options (model) → Series (exhibit data) → Checks (cross-checks against the content model)</t>
  </si>
  <si>
    <t xml:space="preserve">ID</t>
  </si>
  <si>
    <t xml:space="preserve">Label</t>
  </si>
  <si>
    <t xml:space="preserve">Value</t>
  </si>
  <si>
    <t xml:space="preserve">Unit</t>
  </si>
  <si>
    <t xml:space="preserve">Class</t>
  </si>
  <si>
    <t xml:space="preserve">Receipt</t>
  </si>
  <si>
    <t xml:space="preserve">Resolves to</t>
  </si>
  <si>
    <t xml:space="preserve">F001</t>
  </si>
  <si>
    <t xml:space="preserve">Tables in scope</t>
  </si>
  <si>
    <t xml:space="preserve">tables</t>
  </si>
  <si>
    <t xml:space="preserve">measured</t>
  </si>
  <si>
    <t xml:space="preserve">R01</t>
  </si>
  <si>
    <t xml:space="preserve">Estate intelligence job record eij-1b359b3cbd2e: submitted 2026-09-29T18:56:40Z by principal 6ab56dd48894abb269135ca2, runtime akki-vm, code 90322d4a826d, result receipt digest-verified (d9c99a632278)</t>
  </si>
  <si>
    <t xml:space="preserve">F002</t>
  </si>
  <si>
    <t xml:space="preserve">Tables measured</t>
  </si>
  <si>
    <t xml:space="preserve">F003</t>
  </si>
  <si>
    <t xml:space="preserve">Tables measured by complete pass</t>
  </si>
  <si>
    <t xml:space="preserve">F004</t>
  </si>
  <si>
    <t xml:space="preserve">Tables measured by stratified sample</t>
  </si>
  <si>
    <t xml:space="preserve">F005</t>
  </si>
  <si>
    <t xml:space="preserve">Tables measured by head sample</t>
  </si>
  <si>
    <t xml:space="preserve">F006</t>
  </si>
  <si>
    <t xml:space="preserve">Tables that failed</t>
  </si>
  <si>
    <t xml:space="preserve">F007</t>
  </si>
  <si>
    <t xml:space="preserve">Rows measured</t>
  </si>
  <si>
    <t xml:space="preserve">m</t>
  </si>
  <si>
    <t xml:space="preserve">F008</t>
  </si>
  <si>
    <t xml:space="preserve">Wall clock on the runtime</t>
  </si>
  <si>
    <t xml:space="preserve">minutes</t>
  </si>
  <si>
    <t xml:space="preserve">F009</t>
  </si>
  <si>
    <t xml:space="preserve">Connections in scope</t>
  </si>
  <si>
    <t xml:space="preserve">connections</t>
  </si>
  <si>
    <t xml:space="preserve">R02</t>
  </si>
  <si>
    <t xml:space="preserve">Estate intelligence report v3 for eij-1b359b3cbd2e, built 2026-09-30T03:41:37Z; connection table and coverage notes</t>
  </si>
  <si>
    <t xml:space="preserve">F010</t>
  </si>
  <si>
    <t xml:space="preserve">Connections complete</t>
  </si>
  <si>
    <t xml:space="preserve">F011</t>
  </si>
  <si>
    <t xml:space="preserve">Connections partial</t>
  </si>
  <si>
    <t xml:space="preserve">F012</t>
  </si>
  <si>
    <t xml:space="preserve">Connections blocked</t>
  </si>
  <si>
    <t xml:space="preserve">F013</t>
  </si>
  <si>
    <t xml:space="preserve">Data and index measured</t>
  </si>
  <si>
    <t xml:space="preserve">GiB</t>
  </si>
  <si>
    <t xml:space="preserve">F014</t>
  </si>
  <si>
    <t xml:space="preserve">Databases measured</t>
  </si>
  <si>
    <t xml:space="preserve">databases</t>
  </si>
  <si>
    <t xml:space="preserve">F015</t>
  </si>
  <si>
    <t xml:space="preserve">Ledger rows for the run</t>
  </si>
  <si>
    <t xml:space="preserve">rows</t>
  </si>
  <si>
    <t xml:space="preserve">R04</t>
  </si>
  <si>
    <t xml:space="preserve">Ledger rows led-398166457377, led-4e9f184f9601, led-6067b8b42dc7: admit:admitted → gate:warm → converge:terminate_success</t>
  </si>
  <si>
    <t xml:space="preserve">F016</t>
  </si>
  <si>
    <t xml:space="preserve">Rows held (estimate)</t>
  </si>
  <si>
    <t xml:space="preserve">estimated</t>
  </si>
  <si>
    <t xml:space="preserve">F017</t>
  </si>
  <si>
    <t xml:space="preserve">Dossier tokens in</t>
  </si>
  <si>
    <t xml:space="preserve">tokens</t>
  </si>
  <si>
    <t xml:space="preserve">R05</t>
  </si>
  <si>
    <t xml:space="preserve">Executive dossier receipt rcp-f3b244641843: gpt-5-mini via emergent, 17679 tokens in / 4583 out, prompt 354fd68cd5d4</t>
  </si>
  <si>
    <t xml:space="preserve">F018</t>
  </si>
  <si>
    <t xml:space="preserve">Dossier tokens out</t>
  </si>
  <si>
    <t xml:space="preserve">F019</t>
  </si>
  <si>
    <t xml:space="preserve">OBS buckets enumerated</t>
  </si>
  <si>
    <t xml:space="preserve">buckets</t>
  </si>
  <si>
    <t xml:space="preserve">R06</t>
  </si>
  <si>
    <t xml:space="preserve">OBS bucket enumeration census run cr-f1415e395361 (22,975,591 objects, 130.3 TiB)</t>
  </si>
  <si>
    <t xml:space="preserve">F020</t>
  </si>
  <si>
    <t xml:space="preserve">OBS buckets unreachable</t>
  </si>
  <si>
    <t xml:space="preserve">S001  Tables measured by connection</t>
  </si>
  <si>
    <t xml:space="preserve">[measured] receipt R02: Estate intelligence report v3 for eij-1b359b3cbd2e, built 2026-09-30T03:41:37Z; connection table and coverage notes</t>
  </si>
  <si>
    <t xml:space="preserve">iebc_forms (complete)</t>
  </si>
  <si>
    <t xml:space="preserve">artists_app (blocked)</t>
  </si>
  <si>
    <t xml:space="preserve">viupay (complete)</t>
  </si>
  <si>
    <t xml:space="preserve">citizen_digital (partial)</t>
  </si>
  <si>
    <t xml:space="preserve">citizen-pulse (partial)</t>
  </si>
  <si>
    <t xml:space="preserve">Razuna (Library Content) &amp; N (complete)</t>
  </si>
  <si>
    <t xml:space="preserve">Tables</t>
  </si>
  <si>
    <t xml:space="preserve">S002  How tables were measured</t>
  </si>
  <si>
    <t xml:space="preserve">[measured] receipt R01: Estate intelligence job record eij-1b359b3cbd2e: submitted 2026-09-29T18:56:40Z by principal 6ab56dd48894abb269135ca2, runtime akki-vm, code 90322d4a826d, result receipt digest-verified (d9c99a632278)</t>
  </si>
  <si>
    <t xml:space="preserve">Complete pass</t>
  </si>
  <si>
    <t xml:space="preserve">Stratified sample</t>
  </si>
  <si>
    <t xml:space="preserve">Head sample</t>
  </si>
  <si>
    <t xml:space="preserve">Failed</t>
  </si>
  <si>
    <t xml:space="preserve">Not reached</t>
  </si>
  <si>
    <t xml:space="preserve">S003  Data and index by connection, GiB</t>
  </si>
  <si>
    <t xml:space="preserve">iebc_forms</t>
  </si>
  <si>
    <t xml:space="preserve">artists_app</t>
  </si>
  <si>
    <t xml:space="preserve">viupay</t>
  </si>
  <si>
    <t xml:space="preserve">citizen_digital</t>
  </si>
  <si>
    <t xml:space="preserve">citizen-pulse</t>
  </si>
  <si>
    <t xml:space="preserve">Razuna (Library Content) &amp; N</t>
  </si>
  <si>
    <t xml:space="preserve">Check</t>
  </si>
  <si>
    <t xml:space="preserve">Workbook</t>
  </si>
  <si>
    <t xml:space="preserve">Content model</t>
  </si>
  <si>
    <t xml:space="preserve">Match</t>
  </si>
  <si>
    <t xml:space="preserve">K001 share of tables measured</t>
  </si>
  <si>
    <t xml:space="preserve">K002 share of tables by complete pass</t>
  </si>
  <si>
    <t xml:space="preserve">K003 share of connections complete</t>
  </si>
  <si>
    <t xml:space="preserve">K004 share of tables that failed</t>
  </si>
  <si>
    <t xml:space="preserve">Any MISMATCH is a release blocker (qa.py reads this sheet).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</si>
</sst>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0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2313F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31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3" t="s">
        <v>3</v>
      </c>
      <c r="B5" s="0" t="s">
        <v>4</v>
      </c>
    </row>
    <row r="6" customFormat="false" ht="15" hidden="false" customHeight="false" outlineLevel="0" collapsed="false">
      <c r="A6" s="0" t="s">
        <v>5</v>
      </c>
      <c r="B6" s="0" t="s">
        <v>6</v>
      </c>
    </row>
    <row r="7" customFormat="false" ht="15" hidden="false" customHeight="false" outlineLevel="0" collapsed="false">
      <c r="A7" s="4" t="s">
        <v>7</v>
      </c>
      <c r="B7" s="0" t="s">
        <v>8</v>
      </c>
    </row>
    <row r="9" customFormat="false" ht="15" hidden="false" customHeight="false" outlineLevel="0" collapsed="false">
      <c r="A9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</row>
    <row r="2" customFormat="false" ht="15" hidden="false" customHeight="false" outlineLevel="0" collapsed="false">
      <c r="A2" s="0" t="s">
        <v>17</v>
      </c>
      <c r="B2" s="0" t="s">
        <v>18</v>
      </c>
      <c r="C2" s="6" t="n">
        <v>1006</v>
      </c>
      <c r="D2" s="0" t="s">
        <v>19</v>
      </c>
      <c r="E2" s="0" t="s">
        <v>20</v>
      </c>
      <c r="F2" s="0" t="s">
        <v>21</v>
      </c>
      <c r="G2" s="0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6" t="n">
        <v>638</v>
      </c>
      <c r="D3" s="0" t="s">
        <v>19</v>
      </c>
      <c r="E3" s="0" t="s">
        <v>20</v>
      </c>
      <c r="F3" s="0" t="s">
        <v>21</v>
      </c>
      <c r="G3" s="0" t="s">
        <v>22</v>
      </c>
    </row>
    <row r="4" customFormat="false" ht="15" hidden="false" customHeight="false" outlineLevel="0" collapsed="false">
      <c r="A4" s="0" t="s">
        <v>25</v>
      </c>
      <c r="B4" s="0" t="s">
        <v>26</v>
      </c>
      <c r="C4" s="6" t="n">
        <v>513</v>
      </c>
      <c r="D4" s="0" t="s">
        <v>19</v>
      </c>
      <c r="E4" s="0" t="s">
        <v>20</v>
      </c>
      <c r="F4" s="0" t="s">
        <v>21</v>
      </c>
      <c r="G4" s="0" t="s">
        <v>22</v>
      </c>
    </row>
    <row r="5" customFormat="false" ht="15" hidden="false" customHeight="false" outlineLevel="0" collapsed="false">
      <c r="A5" s="0" t="s">
        <v>27</v>
      </c>
      <c r="B5" s="0" t="s">
        <v>28</v>
      </c>
      <c r="C5" s="6" t="n">
        <v>83</v>
      </c>
      <c r="D5" s="0" t="s">
        <v>19</v>
      </c>
      <c r="E5" s="0" t="s">
        <v>20</v>
      </c>
      <c r="F5" s="0" t="s">
        <v>21</v>
      </c>
      <c r="G5" s="0" t="s">
        <v>22</v>
      </c>
    </row>
    <row r="6" customFormat="false" ht="15" hidden="false" customHeight="false" outlineLevel="0" collapsed="false">
      <c r="A6" s="0" t="s">
        <v>29</v>
      </c>
      <c r="B6" s="0" t="s">
        <v>30</v>
      </c>
      <c r="C6" s="6" t="n">
        <v>41</v>
      </c>
      <c r="D6" s="0" t="s">
        <v>19</v>
      </c>
      <c r="E6" s="0" t="s">
        <v>20</v>
      </c>
      <c r="F6" s="0" t="s">
        <v>21</v>
      </c>
      <c r="G6" s="0" t="s">
        <v>22</v>
      </c>
    </row>
    <row r="7" customFormat="false" ht="15" hidden="false" customHeight="false" outlineLevel="0" collapsed="false">
      <c r="A7" s="0" t="s">
        <v>31</v>
      </c>
      <c r="B7" s="0" t="s">
        <v>32</v>
      </c>
      <c r="C7" s="6" t="n">
        <v>44</v>
      </c>
      <c r="D7" s="0" t="s">
        <v>19</v>
      </c>
      <c r="E7" s="0" t="s">
        <v>20</v>
      </c>
      <c r="F7" s="0" t="s">
        <v>21</v>
      </c>
      <c r="G7" s="0" t="s">
        <v>22</v>
      </c>
    </row>
    <row r="8" customFormat="false" ht="15" hidden="false" customHeight="false" outlineLevel="0" collapsed="false">
      <c r="A8" s="0" t="s">
        <v>33</v>
      </c>
      <c r="B8" s="0" t="s">
        <v>34</v>
      </c>
      <c r="C8" s="7" t="n">
        <v>5.9</v>
      </c>
      <c r="D8" s="0" t="s">
        <v>35</v>
      </c>
      <c r="E8" s="0" t="s">
        <v>20</v>
      </c>
      <c r="F8" s="0" t="s">
        <v>21</v>
      </c>
      <c r="G8" s="0" t="s">
        <v>22</v>
      </c>
    </row>
    <row r="9" customFormat="false" ht="15" hidden="false" customHeight="false" outlineLevel="0" collapsed="false">
      <c r="A9" s="0" t="s">
        <v>36</v>
      </c>
      <c r="B9" s="0" t="s">
        <v>37</v>
      </c>
      <c r="C9" s="7" t="n">
        <v>15.5</v>
      </c>
      <c r="D9" s="0" t="s">
        <v>38</v>
      </c>
      <c r="E9" s="0" t="s">
        <v>20</v>
      </c>
      <c r="F9" s="0" t="s">
        <v>21</v>
      </c>
      <c r="G9" s="0" t="s">
        <v>22</v>
      </c>
    </row>
    <row r="10" customFormat="false" ht="15" hidden="false" customHeight="false" outlineLevel="0" collapsed="false">
      <c r="A10" s="0" t="s">
        <v>39</v>
      </c>
      <c r="B10" s="0" t="s">
        <v>40</v>
      </c>
      <c r="C10" s="6" t="n">
        <v>6</v>
      </c>
      <c r="D10" s="0" t="s">
        <v>41</v>
      </c>
      <c r="E10" s="0" t="s">
        <v>20</v>
      </c>
      <c r="F10" s="0" t="s">
        <v>42</v>
      </c>
      <c r="G10" s="0" t="s">
        <v>43</v>
      </c>
    </row>
    <row r="11" customFormat="false" ht="15" hidden="false" customHeight="false" outlineLevel="0" collapsed="false">
      <c r="A11" s="0" t="s">
        <v>44</v>
      </c>
      <c r="B11" s="0" t="s">
        <v>45</v>
      </c>
      <c r="C11" s="6" t="n">
        <v>3</v>
      </c>
      <c r="D11" s="0" t="s">
        <v>41</v>
      </c>
      <c r="E11" s="0" t="s">
        <v>20</v>
      </c>
      <c r="F11" s="0" t="s">
        <v>42</v>
      </c>
      <c r="G11" s="0" t="s">
        <v>43</v>
      </c>
    </row>
    <row r="12" customFormat="false" ht="15" hidden="false" customHeight="false" outlineLevel="0" collapsed="false">
      <c r="A12" s="0" t="s">
        <v>46</v>
      </c>
      <c r="B12" s="0" t="s">
        <v>47</v>
      </c>
      <c r="C12" s="6" t="n">
        <v>2</v>
      </c>
      <c r="D12" s="0" t="s">
        <v>41</v>
      </c>
      <c r="E12" s="0" t="s">
        <v>20</v>
      </c>
      <c r="F12" s="0" t="s">
        <v>42</v>
      </c>
      <c r="G12" s="0" t="s">
        <v>43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6" t="n">
        <v>1</v>
      </c>
      <c r="D13" s="0" t="s">
        <v>41</v>
      </c>
      <c r="E13" s="0" t="s">
        <v>20</v>
      </c>
      <c r="F13" s="0" t="s">
        <v>42</v>
      </c>
      <c r="G13" s="0" t="s">
        <v>43</v>
      </c>
    </row>
    <row r="14" customFormat="false" ht="15" hidden="false" customHeight="false" outlineLevel="0" collapsed="false">
      <c r="A14" s="0" t="s">
        <v>50</v>
      </c>
      <c r="B14" s="0" t="s">
        <v>51</v>
      </c>
      <c r="C14" s="7" t="n">
        <v>351.3</v>
      </c>
      <c r="D14" s="0" t="s">
        <v>52</v>
      </c>
      <c r="E14" s="0" t="s">
        <v>20</v>
      </c>
      <c r="F14" s="0" t="s">
        <v>21</v>
      </c>
      <c r="G14" s="0" t="s">
        <v>22</v>
      </c>
    </row>
    <row r="15" customFormat="false" ht="15" hidden="false" customHeight="false" outlineLevel="0" collapsed="false">
      <c r="A15" s="0" t="s">
        <v>53</v>
      </c>
      <c r="B15" s="0" t="s">
        <v>54</v>
      </c>
      <c r="C15" s="6" t="n">
        <v>20</v>
      </c>
      <c r="D15" s="0" t="s">
        <v>55</v>
      </c>
      <c r="E15" s="0" t="s">
        <v>20</v>
      </c>
      <c r="F15" s="0" t="s">
        <v>42</v>
      </c>
      <c r="G15" s="0" t="s">
        <v>43</v>
      </c>
    </row>
    <row r="16" customFormat="false" ht="15" hidden="false" customHeight="false" outlineLevel="0" collapsed="false">
      <c r="A16" s="0" t="s">
        <v>56</v>
      </c>
      <c r="B16" s="0" t="s">
        <v>57</v>
      </c>
      <c r="C16" s="6" t="n">
        <v>3</v>
      </c>
      <c r="D16" s="0" t="s">
        <v>58</v>
      </c>
      <c r="E16" s="0" t="s">
        <v>20</v>
      </c>
      <c r="F16" s="0" t="s">
        <v>59</v>
      </c>
      <c r="G16" s="0" t="s">
        <v>60</v>
      </c>
    </row>
    <row r="17" customFormat="false" ht="15" hidden="false" customHeight="false" outlineLevel="0" collapsed="false">
      <c r="A17" s="0" t="s">
        <v>61</v>
      </c>
      <c r="B17" s="0" t="s">
        <v>62</v>
      </c>
      <c r="C17" s="8" t="n">
        <v>259.3</v>
      </c>
      <c r="D17" s="0" t="s">
        <v>35</v>
      </c>
      <c r="E17" s="0" t="s">
        <v>63</v>
      </c>
      <c r="F17" s="0" t="s">
        <v>21</v>
      </c>
      <c r="G17" s="0" t="s">
        <v>22</v>
      </c>
    </row>
    <row r="18" customFormat="false" ht="15" hidden="false" customHeight="false" outlineLevel="0" collapsed="false">
      <c r="A18" s="0" t="s">
        <v>64</v>
      </c>
      <c r="B18" s="0" t="s">
        <v>65</v>
      </c>
      <c r="C18" s="6" t="n">
        <v>17679</v>
      </c>
      <c r="D18" s="0" t="s">
        <v>66</v>
      </c>
      <c r="E18" s="0" t="s">
        <v>20</v>
      </c>
      <c r="F18" s="0" t="s">
        <v>67</v>
      </c>
      <c r="G18" s="0" t="s">
        <v>68</v>
      </c>
    </row>
    <row r="19" customFormat="false" ht="15" hidden="false" customHeight="false" outlineLevel="0" collapsed="false">
      <c r="A19" s="0" t="s">
        <v>69</v>
      </c>
      <c r="B19" s="0" t="s">
        <v>70</v>
      </c>
      <c r="C19" s="6" t="n">
        <v>4583</v>
      </c>
      <c r="D19" s="0" t="s">
        <v>66</v>
      </c>
      <c r="E19" s="0" t="s">
        <v>20</v>
      </c>
      <c r="F19" s="0" t="s">
        <v>67</v>
      </c>
      <c r="G19" s="0" t="s">
        <v>68</v>
      </c>
    </row>
    <row r="20" customFormat="false" ht="15" hidden="false" customHeight="false" outlineLevel="0" collapsed="false">
      <c r="A20" s="0" t="s">
        <v>71</v>
      </c>
      <c r="B20" s="0" t="s">
        <v>72</v>
      </c>
      <c r="C20" s="6" t="n">
        <v>106</v>
      </c>
      <c r="D20" s="0" t="s">
        <v>73</v>
      </c>
      <c r="E20" s="0" t="s">
        <v>20</v>
      </c>
      <c r="F20" s="0" t="s">
        <v>74</v>
      </c>
      <c r="G20" s="0" t="s">
        <v>75</v>
      </c>
    </row>
    <row r="21" customFormat="false" ht="15" hidden="false" customHeight="false" outlineLevel="0" collapsed="false">
      <c r="A21" s="0" t="s">
        <v>76</v>
      </c>
      <c r="B21" s="0" t="s">
        <v>77</v>
      </c>
      <c r="C21" s="6" t="n">
        <v>40</v>
      </c>
      <c r="D21" s="0" t="s">
        <v>73</v>
      </c>
      <c r="E21" s="0" t="s">
        <v>20</v>
      </c>
      <c r="F21" s="0" t="s">
        <v>74</v>
      </c>
      <c r="G21" s="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2"/>
  </cols>
  <sheetData>
    <row r="1" customFormat="false" ht="15" hidden="false" customHeight="false" outlineLevel="0" collapsed="false">
      <c r="A1" s="2" t="s">
        <v>78</v>
      </c>
      <c r="B1" s="0" t="s">
        <v>79</v>
      </c>
    </row>
    <row r="2" customFormat="false" ht="15" hidden="false" customHeight="false" outlineLevel="0" collapsed="false">
      <c r="A2" s="5"/>
      <c r="B2" s="5" t="s">
        <v>80</v>
      </c>
      <c r="C2" s="5" t="s">
        <v>81</v>
      </c>
      <c r="D2" s="5" t="s">
        <v>82</v>
      </c>
      <c r="E2" s="5" t="s">
        <v>83</v>
      </c>
      <c r="F2" s="5" t="s">
        <v>84</v>
      </c>
      <c r="G2" s="5" t="s">
        <v>85</v>
      </c>
    </row>
    <row r="3" customFormat="false" ht="15" hidden="false" customHeight="false" outlineLevel="0" collapsed="false">
      <c r="A3" s="0" t="s">
        <v>86</v>
      </c>
      <c r="B3" s="7" t="n">
        <v>630</v>
      </c>
      <c r="C3" s="7" t="n">
        <v>0</v>
      </c>
      <c r="D3" s="7" t="n">
        <v>123</v>
      </c>
      <c r="E3" s="7" t="n">
        <v>64</v>
      </c>
      <c r="F3" s="7" t="n">
        <v>77</v>
      </c>
      <c r="G3" s="7" t="n">
        <v>112</v>
      </c>
    </row>
    <row r="6" customFormat="false" ht="15" hidden="false" customHeight="false" outlineLevel="0" collapsed="false">
      <c r="A6" s="2" t="s">
        <v>87</v>
      </c>
      <c r="B6" s="0" t="s">
        <v>88</v>
      </c>
    </row>
    <row r="7" customFormat="false" ht="15" hidden="false" customHeight="false" outlineLevel="0" collapsed="false">
      <c r="A7" s="5"/>
      <c r="B7" s="5" t="s">
        <v>89</v>
      </c>
      <c r="C7" s="5" t="s">
        <v>90</v>
      </c>
      <c r="D7" s="5" t="s">
        <v>91</v>
      </c>
      <c r="E7" s="5" t="s">
        <v>92</v>
      </c>
      <c r="F7" s="5" t="s">
        <v>93</v>
      </c>
    </row>
    <row r="8" customFormat="false" ht="15" hidden="false" customHeight="false" outlineLevel="0" collapsed="false">
      <c r="A8" s="0" t="s">
        <v>86</v>
      </c>
      <c r="B8" s="7" t="n">
        <v>513</v>
      </c>
      <c r="C8" s="7" t="n">
        <v>83</v>
      </c>
      <c r="D8" s="7" t="n">
        <v>41</v>
      </c>
      <c r="E8" s="7" t="n">
        <v>44</v>
      </c>
      <c r="F8" s="7" t="n">
        <v>324</v>
      </c>
    </row>
    <row r="11" customFormat="false" ht="15" hidden="false" customHeight="false" outlineLevel="0" collapsed="false">
      <c r="A11" s="2" t="s">
        <v>94</v>
      </c>
      <c r="B11" s="0" t="s">
        <v>79</v>
      </c>
    </row>
    <row r="12" customFormat="false" ht="15" hidden="false" customHeight="false" outlineLevel="0" collapsed="false">
      <c r="A12" s="5"/>
      <c r="B12" s="5" t="s">
        <v>95</v>
      </c>
      <c r="C12" s="5" t="s">
        <v>96</v>
      </c>
      <c r="D12" s="5" t="s">
        <v>97</v>
      </c>
      <c r="E12" s="5" t="s">
        <v>98</v>
      </c>
      <c r="F12" s="5" t="s">
        <v>99</v>
      </c>
      <c r="G12" s="5" t="s">
        <v>100</v>
      </c>
    </row>
    <row r="13" customFormat="false" ht="15" hidden="false" customHeight="false" outlineLevel="0" collapsed="false">
      <c r="A13" s="0" t="s">
        <v>52</v>
      </c>
      <c r="B13" s="7" t="n">
        <v>340.4</v>
      </c>
      <c r="C13" s="7" t="n">
        <v>0</v>
      </c>
      <c r="D13" s="7" t="n">
        <v>2</v>
      </c>
      <c r="E13" s="7" t="n">
        <v>3.3</v>
      </c>
      <c r="F13" s="7" t="n">
        <v>0.2</v>
      </c>
      <c r="G13" s="7" t="n">
        <v>5.4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5" t="s">
        <v>101</v>
      </c>
      <c r="B1" s="5" t="s">
        <v>102</v>
      </c>
      <c r="C1" s="5" t="s">
        <v>103</v>
      </c>
      <c r="D1" s="5" t="s">
        <v>104</v>
      </c>
    </row>
    <row r="2" customFormat="false" ht="15" hidden="false" customHeight="false" outlineLevel="0" collapsed="false">
      <c r="A2" s="0" t="s">
        <v>105</v>
      </c>
      <c r="B2" s="9" t="n">
        <f aca="false">Inputs!$C$3/Inputs!$C$2</f>
        <v>0.634194831013917</v>
      </c>
      <c r="C2" s="9" t="n">
        <v>0.634195</v>
      </c>
      <c r="D2" s="0" t="str">
        <f aca="false">IF(ABS(B2-C2)&lt;0.0005,"OK","MISMATCH")</f>
        <v>OK</v>
      </c>
    </row>
    <row r="3" customFormat="false" ht="15" hidden="false" customHeight="false" outlineLevel="0" collapsed="false">
      <c r="A3" s="0" t="s">
        <v>106</v>
      </c>
      <c r="B3" s="9" t="n">
        <f aca="false">Inputs!$C$4/Inputs!$C$2</f>
        <v>0.509940357852883</v>
      </c>
      <c r="C3" s="9" t="n">
        <v>0.50994</v>
      </c>
      <c r="D3" s="0" t="str">
        <f aca="false">IF(ABS(B3-C3)&lt;0.0005,"OK","MISMATCH")</f>
        <v>OK</v>
      </c>
    </row>
    <row r="4" customFormat="false" ht="15" hidden="false" customHeight="false" outlineLevel="0" collapsed="false">
      <c r="A4" s="0" t="s">
        <v>107</v>
      </c>
      <c r="B4" s="9" t="n">
        <f aca="false">Inputs!$C$11/Inputs!$C$10</f>
        <v>0.5</v>
      </c>
      <c r="C4" s="9" t="n">
        <v>0.5</v>
      </c>
      <c r="D4" s="0" t="str">
        <f aca="false">IF(ABS(B4-C4)&lt;0.0005,"OK","MISMATCH")</f>
        <v>OK</v>
      </c>
    </row>
    <row r="5" customFormat="false" ht="15" hidden="false" customHeight="false" outlineLevel="0" collapsed="false">
      <c r="A5" s="0" t="s">
        <v>108</v>
      </c>
      <c r="B5" s="9" t="n">
        <f aca="false">Inputs!$C$7/Inputs!$C$2</f>
        <v>0.0437375745526839</v>
      </c>
      <c r="C5" s="9" t="n">
        <v>0.043738</v>
      </c>
      <c r="D5" s="0" t="str">
        <f aca="false">IF(ABS(B5-C5)&lt;0.0005,"OK","MISMATCH")</f>
        <v>OK</v>
      </c>
    </row>
    <row r="7" customFormat="false" ht="15" hidden="false" customHeight="false" outlineLevel="0" collapsed="false">
      <c r="A7" s="0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2026-10-02T11:23:12Z</dcterms:created>
  <dc:creator>doc-studio</dc:creator>
  <dc:description/>
  <dc:language>en-US</dc:language>
  <cp:lastModifiedBy>doc-studio</cp:lastModifiedBy>
  <dcterms:modified xsi:type="dcterms:W3CDTF">2026-10-02T11:23:12Z</dcterms:modified>
  <cp:revision>0</cp:revision>
  <dc:subject/>
  <dc:title>Estate census: partial delivery, commission open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