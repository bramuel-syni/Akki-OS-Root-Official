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Options" sheetId="3" state="visible" r:id="rId5"/>
    <sheet name="Series" sheetId="4" state="visible" r:id="rId6"/>
    <sheet name="Chec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<sst xmlns="http://schemas.openxmlformats.org/spreadsheetml/2006/main" count="132" uniqueCount="90">
  <si>
    <t xml:space="preserve">Depot automation programme: decision pack</t>
  </si>
  <si>
    <t xml:space="preserve">Northline Logistics  ·  WB-northline-2026-10  ·  direction D1</t>
  </si>
  <si>
    <t xml:space="preserve">Legend</t>
  </si>
  <si>
    <t xml:space="preserve">Blue text</t>
  </si>
  <si>
    <t xml:space="preserve">hardcoded input, receipt alongside; edit only these</t>
  </si>
  <si>
    <t xml:space="preserve">Black text</t>
  </si>
  <si>
    <t xml:space="preserve">formula; do not overwrite</t>
  </si>
  <si>
    <t xml:space="preserve">Yellow fill</t>
  </si>
  <si>
    <t xml:space="preserve">key assumption the reader should confirm</t>
  </si>
  <si>
    <t xml:space="preserve">Sheets: Inputs (facts) → Options (model) → Series (exhibit data) → Checks (cross-checks against the content model)</t>
  </si>
  <si>
    <t xml:space="preserve">ID</t>
  </si>
  <si>
    <t xml:space="preserve">Label</t>
  </si>
  <si>
    <t xml:space="preserve">Value</t>
  </si>
  <si>
    <t xml:space="preserve">Unit</t>
  </si>
  <si>
    <t xml:space="preserve">Class</t>
  </si>
  <si>
    <t xml:space="preserve">Receipt</t>
  </si>
  <si>
    <t xml:space="preserve">Resolves to</t>
  </si>
  <si>
    <t xml:space="preserve">F001</t>
  </si>
  <si>
    <t xml:space="preserve">FY24 revenue</t>
  </si>
  <si>
    <t xml:space="preserve">GBPm</t>
  </si>
  <si>
    <t xml:space="preserve">measured</t>
  </si>
  <si>
    <t xml:space="preserve">R01</t>
  </si>
  <si>
    <t xml:space="preserve">Northline management accounts FY24–FY26, P&amp;L summary, rows 4–9</t>
  </si>
  <si>
    <t xml:space="preserve">F002</t>
  </si>
  <si>
    <t xml:space="preserve">FY25 revenue</t>
  </si>
  <si>
    <t xml:space="preserve">F003</t>
  </si>
  <si>
    <t xml:space="preserve">FY26 revenue</t>
  </si>
  <si>
    <t xml:space="preserve">F004</t>
  </si>
  <si>
    <t xml:space="preserve">FY26 operating margin</t>
  </si>
  <si>
    <t xml:space="preserve">pct</t>
  </si>
  <si>
    <t xml:space="preserve">F005</t>
  </si>
  <si>
    <t xml:space="preserve">FY24 operating margin</t>
  </si>
  <si>
    <t xml:space="preserve">F006</t>
  </si>
  <si>
    <t xml:space="preserve">Network average cost per parcel</t>
  </si>
  <si>
    <t xml:space="preserve">GBP</t>
  </si>
  <si>
    <t xml:space="preserve">R02</t>
  </si>
  <si>
    <t xml:space="preserve">Depot cost ledger export 2026-09-12, cost-per-parcel by site</t>
  </si>
  <si>
    <t xml:space="preserve">F007</t>
  </si>
  <si>
    <t xml:space="preserve">Manual-depot cost per parcel</t>
  </si>
  <si>
    <t xml:space="preserve">F008</t>
  </si>
  <si>
    <t xml:space="preserve">Parcels handled FY26</t>
  </si>
  <si>
    <t xml:space="preserve">m</t>
  </si>
  <si>
    <t xml:space="preserve">F009</t>
  </si>
  <si>
    <t xml:space="preserve">Headcount ceiling FY27</t>
  </si>
  <si>
    <t xml:space="preserve">FTE</t>
  </si>
  <si>
    <t xml:space="preserve">R05</t>
  </si>
  <si>
    <t xml:space="preserve">Board paper BP-2026-07, approved headcount ceiling</t>
  </si>
  <si>
    <t xml:space="preserve">F010</t>
  </si>
  <si>
    <t xml:space="preserve">Vendor lead time</t>
  </si>
  <si>
    <t xml:space="preserve">months</t>
  </si>
  <si>
    <t xml:space="preserve">estimated</t>
  </si>
  <si>
    <t xml:space="preserve">R03</t>
  </si>
  <si>
    <t xml:space="preserve">Vendor quotations Q3-2026 (Kardex, Swisslog, Dematic), capex schedules</t>
  </si>
  <si>
    <t xml:space="preserve">Line</t>
  </si>
  <si>
    <t xml:space="preserve">Full automation, 6 manual sites</t>
  </si>
  <si>
    <t xml:space="preserve">Phased: 3 sites now, 3 in FY28</t>
  </si>
  <si>
    <t xml:space="preserve">Semi-automate all 6 sites</t>
  </si>
  <si>
    <t xml:space="preserve">Capex</t>
  </si>
  <si>
    <t xml:space="preserve">R03, R04</t>
  </si>
  <si>
    <t xml:space="preserve">Annual saving</t>
  </si>
  <si>
    <t xml:space="preserve">Lead time</t>
  </si>
  <si>
    <t xml:space="preserve">Headcount change</t>
  </si>
  <si>
    <t xml:space="preserve">Derived</t>
  </si>
  <si>
    <t xml:space="preserve">Simple payback (years)</t>
  </si>
  <si>
    <t xml:space="preserve">Three-year net (GBPm)</t>
  </si>
  <si>
    <t xml:space="preserve">Within headcount ceiling?</t>
  </si>
  <si>
    <t xml:space="preserve">S001  Revenue and operating margin, FY24–FY26</t>
  </si>
  <si>
    <t xml:space="preserve">[measured] receipt R01: Northline management accounts FY24–FY26, P&amp;L summary, rows 4–9</t>
  </si>
  <si>
    <t xml:space="preserve">FY24</t>
  </si>
  <si>
    <t xml:space="preserve">FY25</t>
  </si>
  <si>
    <t xml:space="preserve">FY26</t>
  </si>
  <si>
    <t xml:space="preserve">Revenue (GBPm)</t>
  </si>
  <si>
    <t xml:space="preserve">S002  Cost per parcel by depot type</t>
  </si>
  <si>
    <t xml:space="preserve">[measured] receipt R02: Depot cost ledger export 2026-09-12, cost-per-parcel by site</t>
  </si>
  <si>
    <t xml:space="preserve">Manual (6 sites)</t>
  </si>
  <si>
    <t xml:space="preserve">Semi-automated (3 sites)</t>
  </si>
  <si>
    <t xml:space="preserve">Automated (1 site)</t>
  </si>
  <si>
    <t xml:space="preserve">GBP per parcel</t>
  </si>
  <si>
    <t xml:space="preserve">S003  Operating margin, FY24–FY26</t>
  </si>
  <si>
    <t xml:space="preserve">Operating margin</t>
  </si>
  <si>
    <t xml:space="preserve">Check</t>
  </si>
  <si>
    <t xml:space="preserve">Workbook</t>
  </si>
  <si>
    <t xml:space="preserve">Content model</t>
  </si>
  <si>
    <t xml:space="preserve">Match</t>
  </si>
  <si>
    <t xml:space="preserve">K001 revenue growth</t>
  </si>
  <si>
    <t xml:space="preserve">K003 manual cost premium</t>
  </si>
  <si>
    <t xml:space="preserve">K004 payback O1</t>
  </si>
  <si>
    <t xml:space="preserve">K004 payback O2</t>
  </si>
  <si>
    <t xml:space="preserve">K004 payback O3</t>
  </si>
  <si>
    <t xml:space="preserve">Any MISMATCH is a release blocker (qa.py reads this sheet).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</si>
</sst>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.0%"/>
    <numFmt numFmtId="167" formatCode="#,##0.00"/>
    <numFmt numFmtId="168" formatCode="#,##0"/>
    <numFmt numFmtId="169" formatCode="0.0"/>
    <numFmt numFmtId="170" formatCode="@"/>
    <numFmt numFmtId="171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2313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1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9" customFormat="false" ht="15" hidden="false" customHeight="false" outlineLevel="0" collapsed="false">
      <c r="A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7" t="n">
        <v>118.4</v>
      </c>
      <c r="D2" s="4" t="s">
        <v>19</v>
      </c>
      <c r="E2" s="4" t="s">
        <v>20</v>
      </c>
      <c r="F2" s="4" t="s">
        <v>21</v>
      </c>
      <c r="G2" s="4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7" t="n">
        <v>127.9</v>
      </c>
      <c r="D3" s="4" t="s">
        <v>19</v>
      </c>
      <c r="E3" s="4" t="s">
        <v>20</v>
      </c>
      <c r="F3" s="4" t="s">
        <v>21</v>
      </c>
      <c r="G3" s="4" t="s">
        <v>22</v>
      </c>
    </row>
    <row r="4" customFormat="false" ht="15" hidden="false" customHeight="false" outlineLevel="0" collapsed="false">
      <c r="A4" s="0" t="s">
        <v>25</v>
      </c>
      <c r="B4" s="0" t="s">
        <v>26</v>
      </c>
      <c r="C4" s="7" t="n">
        <v>142.3</v>
      </c>
      <c r="D4" s="4" t="s">
        <v>19</v>
      </c>
      <c r="E4" s="4" t="s">
        <v>20</v>
      </c>
      <c r="F4" s="4" t="s">
        <v>21</v>
      </c>
      <c r="G4" s="4" t="s">
        <v>22</v>
      </c>
    </row>
    <row r="5" customFormat="false" ht="15" hidden="false" customHeight="false" outlineLevel="0" collapsed="false">
      <c r="A5" s="0" t="s">
        <v>27</v>
      </c>
      <c r="B5" s="0" t="s">
        <v>28</v>
      </c>
      <c r="C5" s="8" t="n">
        <v>0.061</v>
      </c>
      <c r="D5" s="4" t="s">
        <v>29</v>
      </c>
      <c r="E5" s="4" t="s">
        <v>20</v>
      </c>
      <c r="F5" s="4" t="s">
        <v>21</v>
      </c>
      <c r="G5" s="4" t="s">
        <v>22</v>
      </c>
    </row>
    <row r="6" customFormat="false" ht="15" hidden="false" customHeight="false" outlineLevel="0" collapsed="false">
      <c r="A6" s="0" t="s">
        <v>30</v>
      </c>
      <c r="B6" s="0" t="s">
        <v>31</v>
      </c>
      <c r="C6" s="8" t="n">
        <v>0.083</v>
      </c>
      <c r="D6" s="4" t="s">
        <v>29</v>
      </c>
      <c r="E6" s="4" t="s">
        <v>20</v>
      </c>
      <c r="F6" s="4" t="s">
        <v>21</v>
      </c>
      <c r="G6" s="4" t="s">
        <v>22</v>
      </c>
    </row>
    <row r="7" customFormat="false" ht="15" hidden="false" customHeight="false" outlineLevel="0" collapsed="false">
      <c r="A7" s="0" t="s">
        <v>32</v>
      </c>
      <c r="B7" s="0" t="s">
        <v>33</v>
      </c>
      <c r="C7" s="9" t="n">
        <v>1.42</v>
      </c>
      <c r="D7" s="4" t="s">
        <v>34</v>
      </c>
      <c r="E7" s="4" t="s">
        <v>20</v>
      </c>
      <c r="F7" s="4" t="s">
        <v>35</v>
      </c>
      <c r="G7" s="4" t="s">
        <v>36</v>
      </c>
    </row>
    <row r="8" customFormat="false" ht="15" hidden="false" customHeight="false" outlineLevel="0" collapsed="false">
      <c r="A8" s="0" t="s">
        <v>37</v>
      </c>
      <c r="B8" s="0" t="s">
        <v>38</v>
      </c>
      <c r="C8" s="9" t="n">
        <v>1.71</v>
      </c>
      <c r="D8" s="4" t="s">
        <v>34</v>
      </c>
      <c r="E8" s="4" t="s">
        <v>20</v>
      </c>
      <c r="F8" s="4" t="s">
        <v>35</v>
      </c>
      <c r="G8" s="4" t="s">
        <v>36</v>
      </c>
    </row>
    <row r="9" customFormat="false" ht="15" hidden="false" customHeight="false" outlineLevel="0" collapsed="false">
      <c r="A9" s="0" t="s">
        <v>39</v>
      </c>
      <c r="B9" s="0" t="s">
        <v>40</v>
      </c>
      <c r="C9" s="7" t="n">
        <v>61.2</v>
      </c>
      <c r="D9" s="4" t="s">
        <v>41</v>
      </c>
      <c r="E9" s="4" t="s">
        <v>20</v>
      </c>
      <c r="F9" s="4" t="s">
        <v>35</v>
      </c>
      <c r="G9" s="4" t="s">
        <v>36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10" t="n">
        <v>2140</v>
      </c>
      <c r="D10" s="4" t="s">
        <v>44</v>
      </c>
      <c r="E10" s="4" t="s">
        <v>20</v>
      </c>
      <c r="F10" s="4" t="s">
        <v>45</v>
      </c>
      <c r="G10" s="4" t="s">
        <v>46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11" t="n">
        <v>11</v>
      </c>
      <c r="D11" s="4" t="s">
        <v>49</v>
      </c>
      <c r="E11" s="4" t="s">
        <v>50</v>
      </c>
      <c r="F11" s="4" t="s">
        <v>51</v>
      </c>
      <c r="G11" s="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5" min="3" style="0" width="30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6" t="s">
        <v>53</v>
      </c>
      <c r="B1" s="6" t="s">
        <v>13</v>
      </c>
      <c r="C1" s="6" t="s">
        <v>54</v>
      </c>
      <c r="D1" s="6" t="s">
        <v>55</v>
      </c>
      <c r="E1" s="6" t="s">
        <v>56</v>
      </c>
      <c r="F1" s="6" t="s">
        <v>14</v>
      </c>
      <c r="G1" s="6" t="s">
        <v>15</v>
      </c>
    </row>
    <row r="2" customFormat="false" ht="15" hidden="false" customHeight="false" outlineLevel="0" collapsed="false">
      <c r="A2" s="0" t="s">
        <v>57</v>
      </c>
      <c r="B2" s="0" t="s">
        <v>19</v>
      </c>
      <c r="C2" s="12" t="n">
        <v>48</v>
      </c>
      <c r="D2" s="12" t="n">
        <v>26</v>
      </c>
      <c r="E2" s="12" t="n">
        <v>19.5</v>
      </c>
      <c r="F2" s="4" t="s">
        <v>50</v>
      </c>
      <c r="G2" s="4" t="s">
        <v>58</v>
      </c>
    </row>
    <row r="3" customFormat="false" ht="15" hidden="false" customHeight="false" outlineLevel="0" collapsed="false">
      <c r="A3" s="0" t="s">
        <v>59</v>
      </c>
      <c r="B3" s="0" t="s">
        <v>19</v>
      </c>
      <c r="C3" s="12" t="n">
        <v>14.6</v>
      </c>
      <c r="D3" s="12" t="n">
        <v>7.9</v>
      </c>
      <c r="E3" s="12" t="n">
        <v>6.1</v>
      </c>
      <c r="F3" s="4" t="s">
        <v>50</v>
      </c>
      <c r="G3" s="4" t="s">
        <v>58</v>
      </c>
    </row>
    <row r="4" customFormat="false" ht="15" hidden="false" customHeight="false" outlineLevel="0" collapsed="false">
      <c r="A4" s="0" t="s">
        <v>60</v>
      </c>
      <c r="B4" s="0" t="s">
        <v>49</v>
      </c>
      <c r="C4" s="11" t="n">
        <v>11</v>
      </c>
      <c r="D4" s="11" t="n">
        <v>11</v>
      </c>
      <c r="E4" s="11" t="n">
        <v>7</v>
      </c>
      <c r="F4" s="4" t="s">
        <v>50</v>
      </c>
      <c r="G4" s="4" t="s">
        <v>58</v>
      </c>
    </row>
    <row r="5" customFormat="false" ht="15" hidden="false" customHeight="false" outlineLevel="0" collapsed="false">
      <c r="A5" s="0" t="s">
        <v>61</v>
      </c>
      <c r="B5" s="0" t="s">
        <v>44</v>
      </c>
      <c r="C5" s="11" t="n">
        <v>-310</v>
      </c>
      <c r="D5" s="11" t="n">
        <v>-160</v>
      </c>
      <c r="E5" s="11" t="n">
        <v>-120</v>
      </c>
      <c r="F5" s="4" t="s">
        <v>50</v>
      </c>
      <c r="G5" s="4" t="s">
        <v>58</v>
      </c>
    </row>
    <row r="6" customFormat="false" ht="15" hidden="false" customHeight="false" outlineLevel="0" collapsed="false">
      <c r="A6" s="2" t="s">
        <v>62</v>
      </c>
    </row>
    <row r="7" customFormat="false" ht="15" hidden="false" customHeight="false" outlineLevel="0" collapsed="false">
      <c r="A7" s="0" t="s">
        <v>63</v>
      </c>
      <c r="C7" s="13" t="n">
        <f aca="false">C$2 / C$3</f>
        <v>3.28767123287671</v>
      </c>
      <c r="D7" s="13" t="n">
        <f aca="false">D$2 / D$3</f>
        <v>3.29113924050633</v>
      </c>
      <c r="E7" s="13" t="n">
        <f aca="false">E$2 / E$3</f>
        <v>3.19672131147541</v>
      </c>
    </row>
    <row r="8" customFormat="false" ht="15" hidden="false" customHeight="false" outlineLevel="0" collapsed="false">
      <c r="A8" s="0" t="s">
        <v>64</v>
      </c>
      <c r="C8" s="13" t="n">
        <f aca="false">3 * C$3 - C$2</f>
        <v>-4.2</v>
      </c>
      <c r="D8" s="13" t="n">
        <f aca="false">3 * D$3 - D$2</f>
        <v>-2.3</v>
      </c>
      <c r="E8" s="13" t="n">
        <f aca="false">3 * E$3 - E$2</f>
        <v>-1.2</v>
      </c>
    </row>
    <row r="9" customFormat="false" ht="15" hidden="false" customHeight="false" outlineLevel="0" collapsed="false">
      <c r="A9" s="0" t="s">
        <v>65</v>
      </c>
      <c r="C9" s="14" t="str">
        <f aca="false">IF(ABS(C$5) &lt; Inputs!$C$10, "Yes", "No")</f>
        <v>Yes</v>
      </c>
      <c r="D9" s="14" t="str">
        <f aca="false">IF(ABS(D$5) &lt; Inputs!$C$10, "Yes", "No")</f>
        <v>Yes</v>
      </c>
      <c r="E9" s="14" t="str">
        <f aca="false">IF(ABS(E$5) &lt; Inputs!$C$10, "Yes", 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2" t="s">
        <v>66</v>
      </c>
      <c r="B1" s="4" t="s">
        <v>67</v>
      </c>
    </row>
    <row r="2" customFormat="false" ht="15" hidden="false" customHeight="false" outlineLevel="0" collapsed="false">
      <c r="A2" s="6"/>
      <c r="B2" s="6" t="s">
        <v>68</v>
      </c>
      <c r="C2" s="6" t="s">
        <v>69</v>
      </c>
      <c r="D2" s="6" t="s">
        <v>70</v>
      </c>
    </row>
    <row r="3" customFormat="false" ht="15" hidden="false" customHeight="false" outlineLevel="0" collapsed="false">
      <c r="A3" s="0" t="s">
        <v>71</v>
      </c>
      <c r="B3" s="7" t="n">
        <v>118.4</v>
      </c>
      <c r="C3" s="7" t="n">
        <v>127.9</v>
      </c>
      <c r="D3" s="7" t="n">
        <v>142.3</v>
      </c>
    </row>
    <row r="6" customFormat="false" ht="15" hidden="false" customHeight="false" outlineLevel="0" collapsed="false">
      <c r="A6" s="2" t="s">
        <v>72</v>
      </c>
      <c r="B6" s="4" t="s">
        <v>73</v>
      </c>
    </row>
    <row r="7" customFormat="false" ht="15" hidden="false" customHeight="false" outlineLevel="0" collapsed="false">
      <c r="A7" s="6"/>
      <c r="B7" s="6" t="s">
        <v>74</v>
      </c>
      <c r="C7" s="6" t="s">
        <v>75</v>
      </c>
      <c r="D7" s="6" t="s">
        <v>76</v>
      </c>
    </row>
    <row r="8" customFormat="false" ht="15" hidden="false" customHeight="false" outlineLevel="0" collapsed="false">
      <c r="A8" s="0" t="s">
        <v>77</v>
      </c>
      <c r="B8" s="9" t="n">
        <v>1.71</v>
      </c>
      <c r="C8" s="9" t="n">
        <v>1.38</v>
      </c>
      <c r="D8" s="9" t="n">
        <v>0.94</v>
      </c>
    </row>
    <row r="11" customFormat="false" ht="15" hidden="false" customHeight="false" outlineLevel="0" collapsed="false">
      <c r="A11" s="2" t="s">
        <v>78</v>
      </c>
      <c r="B11" s="4" t="s">
        <v>67</v>
      </c>
    </row>
    <row r="12" customFormat="false" ht="15" hidden="false" customHeight="false" outlineLevel="0" collapsed="false">
      <c r="A12" s="6"/>
      <c r="B12" s="6" t="s">
        <v>68</v>
      </c>
      <c r="C12" s="6" t="s">
        <v>69</v>
      </c>
      <c r="D12" s="6" t="s">
        <v>70</v>
      </c>
    </row>
    <row r="13" customFormat="false" ht="15" hidden="false" customHeight="false" outlineLevel="0" collapsed="false">
      <c r="A13" s="0" t="s">
        <v>79</v>
      </c>
      <c r="B13" s="8" t="n">
        <v>0.083</v>
      </c>
      <c r="C13" s="8" t="n">
        <v>0.074</v>
      </c>
      <c r="D13" s="8" t="n">
        <v>0.061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6" t="s">
        <v>80</v>
      </c>
      <c r="B1" s="6" t="s">
        <v>81</v>
      </c>
      <c r="C1" s="6" t="s">
        <v>82</v>
      </c>
      <c r="D1" s="6" t="s">
        <v>83</v>
      </c>
    </row>
    <row r="2" customFormat="false" ht="15" hidden="false" customHeight="false" outlineLevel="0" collapsed="false">
      <c r="A2" s="0" t="s">
        <v>84</v>
      </c>
      <c r="B2" s="15" t="n">
        <f aca="false">(Inputs!$C$4-Inputs!$C$2)/Inputs!$C$2</f>
        <v>0.201858108108108</v>
      </c>
      <c r="C2" s="15" t="n">
        <v>0.201858</v>
      </c>
      <c r="D2" s="0" t="str">
        <f aca="false">IF(ABS(B2-C2)&lt;0.0005,"OK","MISMATCH")</f>
        <v>OK</v>
      </c>
    </row>
    <row r="3" customFormat="false" ht="15" hidden="false" customHeight="false" outlineLevel="0" collapsed="false">
      <c r="A3" s="0" t="s">
        <v>85</v>
      </c>
      <c r="B3" s="15" t="n">
        <f aca="false">(Inputs!$C$8-Inputs!$C$7)/Inputs!$C$7</f>
        <v>0.204225352112676</v>
      </c>
      <c r="C3" s="15" t="n">
        <v>0.204225</v>
      </c>
      <c r="D3" s="0" t="str">
        <f aca="false">IF(ABS(B3-C3)&lt;0.0005,"OK","MISMATCH")</f>
        <v>OK</v>
      </c>
    </row>
    <row r="4" customFormat="false" ht="15" hidden="false" customHeight="false" outlineLevel="0" collapsed="false">
      <c r="A4" s="0" t="s">
        <v>86</v>
      </c>
      <c r="B4" s="15" t="n">
        <f aca="false">Options!C$7</f>
        <v>3.28767123287671</v>
      </c>
      <c r="C4" s="15" t="n">
        <v>3.287671</v>
      </c>
      <c r="D4" s="0" t="str">
        <f aca="false">IF(ABS(B4-C4)&lt;0.0005,"OK","MISMATCH")</f>
        <v>OK</v>
      </c>
    </row>
    <row r="5" customFormat="false" ht="15" hidden="false" customHeight="false" outlineLevel="0" collapsed="false">
      <c r="A5" s="0" t="s">
        <v>87</v>
      </c>
      <c r="B5" s="15" t="n">
        <f aca="false">Options!D$7</f>
        <v>3.29113924050633</v>
      </c>
      <c r="C5" s="15" t="n">
        <v>3.291139</v>
      </c>
      <c r="D5" s="0" t="str">
        <f aca="false">IF(ABS(B5-C5)&lt;0.0005,"OK","MISMATCH")</f>
        <v>OK</v>
      </c>
    </row>
    <row r="6" customFormat="false" ht="15" hidden="false" customHeight="false" outlineLevel="0" collapsed="false">
      <c r="A6" s="0" t="s">
        <v>88</v>
      </c>
      <c r="B6" s="15" t="n">
        <f aca="false">Options!E$7</f>
        <v>3.19672131147541</v>
      </c>
      <c r="C6" s="15" t="n">
        <v>3.196721</v>
      </c>
      <c r="D6" s="0" t="str">
        <f aca="false">IF(ABS(B6-C6)&lt;0.0005,"OK","MISMATCH")</f>
        <v>OK</v>
      </c>
    </row>
    <row r="8" customFormat="false" ht="15" hidden="false" customHeight="false" outlineLevel="0" collapsed="false">
      <c r="A8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2026-09-30T00:00:00Z</dcterms:created>
  <dc:creator>doc-studio</dc:creator>
  <dc:description/>
  <dc:language>en-US</dc:language>
  <cp:lastModifiedBy>doc-studio</cp:lastModifiedBy>
  <dcterms:modified xsi:type="dcterms:W3CDTF">2026-09-30T00:00:00Z</dcterms:modified>
  <cp:revision>0</cp:revision>
  <dc:subject/>
  <dc:title>Depot automation programme: decision pack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