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Build Status" sheetId="1" state="visible" r:id="rId1"/>
    <sheet xmlns:r="http://schemas.openxmlformats.org/officeDocument/2006/relationships" name="Audit Summary" sheetId="2" state="visible" r:id="rId2"/>
    <sheet xmlns:r="http://schemas.openxmlformats.org/officeDocument/2006/relationships" name="QA Verification" sheetId="3" state="visible" r:id="rId3"/>
    <sheet xmlns:r="http://schemas.openxmlformats.org/officeDocument/2006/relationships" name="Status Map" sheetId="4" state="visible" r:id="rId4"/>
    <sheet xmlns:r="http://schemas.openxmlformats.org/officeDocument/2006/relationships" name="Check Register" sheetId="5" state="visible" r:id="rId5"/>
    <sheet xmlns:r="http://schemas.openxmlformats.org/officeDocument/2006/relationships" name="Registry Defects" sheetId="6" state="visible" r:id="rId6"/>
    <sheet xmlns:r="http://schemas.openxmlformats.org/officeDocument/2006/relationships" name="QA Legend" sheetId="7" state="visible" r:id="rId7"/>
    <sheet xmlns:r="http://schemas.openxmlformats.org/officeDocument/2006/relationships" name="System Rules Registry" sheetId="8" state="visible" r:id="rId8"/>
    <sheet xmlns:r="http://schemas.openxmlformats.org/officeDocument/2006/relationships" name="Objectives" sheetId="9" state="visible" r:id="rId9"/>
    <sheet xmlns:r="http://schemas.openxmlformats.org/officeDocument/2006/relationships" name="Legend" sheetId="10" state="visible" r:id="rId10"/>
  </sheets>
  <definedNames>
    <definedName name="_xlnm._FilterDatabase" localSheetId="2" hidden="1">'QA Verification'!$A$1:$X$603</definedName>
    <definedName name="_xlnm._FilterDatabase" localSheetId="4" hidden="1">'Check Register'!$A$1:$O$181</definedName>
    <definedName name="_xlnm._FilterDatabase" localSheetId="7" hidden="1">'System Rules Registry'!$A$1:$K$603</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12294E"/>
      <sz val="14"/>
    </font>
    <font>
      <name val="Arial"/>
      <charset val="1"/>
      <family val="0"/>
      <i val="1"/>
      <color rgb="FF777777"/>
      <sz val="10"/>
    </font>
    <font>
      <name val="Arial"/>
      <charset val="1"/>
      <family val="0"/>
      <b val="1"/>
      <color rgb="FF12294E"/>
      <sz val="12"/>
    </font>
    <font>
      <name val="Cambria"/>
      <charset val="1"/>
      <family val="0"/>
      <b val="1"/>
      <color rgb="FFFFFFFF"/>
      <sz val="9"/>
    </font>
    <font>
      <name val="Arial"/>
      <charset val="1"/>
      <family val="0"/>
      <b val="1"/>
      <sz val="10"/>
    </font>
    <font>
      <name val="Arial"/>
      <charset val="1"/>
      <family val="0"/>
      <b val="1"/>
      <color rgb="FF12294E"/>
      <sz val="10"/>
    </font>
    <font>
      <name val="Cambria"/>
      <charset val="1"/>
      <family val="0"/>
      <b val="1"/>
      <color rgb="FF12294E"/>
      <sz val="10"/>
    </font>
    <font>
      <name val="Arial"/>
      <charset val="1"/>
      <family val="0"/>
      <i val="1"/>
      <color rgb="FF8A6D1A"/>
      <sz val="9"/>
    </font>
    <font>
      <name val="Cambria"/>
      <charset val="1"/>
      <family val="0"/>
      <sz val="9"/>
    </font>
    <font>
      <name val="Cambria"/>
      <charset val="1"/>
      <family val="0"/>
      <i val="1"/>
      <color rgb="FFB71C1C"/>
      <sz val="9"/>
    </font>
    <font>
      <name val="Cambria"/>
      <charset val="1"/>
      <family val="0"/>
      <i val="1"/>
      <color rgb="FF8A6D1A"/>
      <sz val="9"/>
    </font>
    <font>
      <name val="Cambria"/>
      <charset val="1"/>
      <family val="0"/>
      <i val="1"/>
      <color rgb="FF2E6B3F"/>
      <sz val="9"/>
    </font>
    <font>
      <name val="Cambria"/>
      <charset val="1"/>
      <family val="0"/>
      <i val="1"/>
      <color rgb="FF12294E"/>
      <sz val="10"/>
    </font>
    <font>
      <name val="Cambria"/>
      <charset val="1"/>
      <family val="0"/>
      <i val="1"/>
      <color rgb="FF777777"/>
      <sz val="9"/>
    </font>
    <font>
      <name val="Arial"/>
      <charset val="1"/>
      <family val="0"/>
      <color rgb="FF777777"/>
      <sz val="10"/>
    </font>
    <font>
      <name val="Arial"/>
      <charset val="1"/>
      <family val="0"/>
      <b val="1"/>
      <color rgb="FFFFFFFF"/>
      <sz val="9"/>
    </font>
    <font>
      <name val="Arial"/>
      <charset val="1"/>
      <family val="0"/>
      <b val="1"/>
      <color rgb="FF12294E"/>
      <sz val="9"/>
    </font>
    <font>
      <name val="Arial"/>
      <charset val="1"/>
      <family val="0"/>
      <sz val="9"/>
    </font>
    <font>
      <name val="Arial"/>
      <charset val="1"/>
      <family val="0"/>
      <i val="1"/>
      <color rgb="FF55606E"/>
      <sz val="9"/>
    </font>
    <font>
      <name val="Arial"/>
      <charset val="1"/>
      <family val="0"/>
      <b val="1"/>
      <color rgb="FFFFFFFF"/>
      <sz val="10"/>
    </font>
    <font>
      <name val="Arial"/>
      <charset val="1"/>
      <family val="0"/>
      <b val="1"/>
      <color rgb="FF2E7D32"/>
      <sz val="9"/>
    </font>
    <font>
      <name val="Arial"/>
      <charset val="1"/>
      <family val="0"/>
      <color rgb="FF777777"/>
      <sz val="9"/>
    </font>
    <font>
      <name val="Arial"/>
      <charset val="1"/>
      <family val="0"/>
      <b val="1"/>
      <color rgb="FFB36B00"/>
      <sz val="9"/>
    </font>
    <font>
      <name val="Arial"/>
      <charset val="1"/>
      <family val="0"/>
      <b val="1"/>
      <color rgb="FF1565C0"/>
      <sz val="9"/>
    </font>
    <font>
      <name val="Arial"/>
      <charset val="1"/>
      <family val="0"/>
      <b val="1"/>
      <color rgb="FF8A6D1A"/>
      <sz val="9"/>
    </font>
    <font>
      <name val="Arial"/>
      <charset val="1"/>
      <family val="0"/>
      <b val="1"/>
      <color rgb="FFB71C1C"/>
      <sz val="9"/>
    </font>
    <font>
      <name val="Arial"/>
      <charset val="1"/>
      <family val="0"/>
      <i val="1"/>
      <sz val="10"/>
    </font>
    <font>
      <name val="Arial"/>
      <charset val="1"/>
      <family val="0"/>
      <sz val="10"/>
    </font>
  </fonts>
  <fills count="10">
    <fill>
      <patternFill/>
    </fill>
    <fill>
      <patternFill patternType="gray125"/>
    </fill>
    <fill>
      <patternFill patternType="solid">
        <fgColor rgb="FF12294E"/>
        <bgColor rgb="FF333333"/>
      </patternFill>
    </fill>
    <fill>
      <patternFill patternType="solid">
        <fgColor rgb="FFF5F7FA"/>
        <bgColor rgb="FFFFFFFF"/>
      </patternFill>
    </fill>
    <fill>
      <patternFill patternType="solid">
        <fgColor rgb="FFFFF9DB"/>
        <bgColor rgb="FFFFF8E1"/>
      </patternFill>
    </fill>
    <fill>
      <patternFill patternType="solid">
        <fgColor rgb="FFE8F5E9"/>
        <bgColor rgb="FFE3F2FD"/>
      </patternFill>
    </fill>
    <fill>
      <patternFill patternType="solid">
        <fgColor rgb="FFFFF3E0"/>
        <bgColor rgb="FFFFF8E1"/>
      </patternFill>
    </fill>
    <fill>
      <patternFill patternType="solid">
        <fgColor rgb="FFE3F2FD"/>
        <bgColor rgb="FFE8F5E9"/>
      </patternFill>
    </fill>
    <fill>
      <patternFill patternType="solid">
        <fgColor rgb="FFFFF8E1"/>
        <bgColor rgb="FFFFF9DB"/>
      </patternFill>
    </fill>
    <fill>
      <patternFill patternType="solid">
        <fgColor rgb="FFFDECEA"/>
        <bgColor rgb="FFFFF3E0"/>
      </patternFill>
    </fill>
  </fills>
  <borders count="3">
    <border>
      <left/>
      <right/>
      <top/>
      <bottom/>
      <diagonal/>
    </border>
    <border>
      <left style="thin">
        <color rgb="FFBFC5CE"/>
      </left>
      <right style="thin">
        <color rgb="FFBFC5CE"/>
      </right>
      <top style="thin">
        <color rgb="FFBFC5CE"/>
      </top>
      <bottom style="thin">
        <color rgb="FFBFC5CE"/>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1" fillId="0" borderId="0" applyAlignment="1" pivotButton="0" quotePrefix="0" xfId="0">
      <alignment horizontal="general" vertical="bottom"/>
    </xf>
    <xf numFmtId="0" fontId="7" fillId="2"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2"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top" wrapText="1"/>
    </xf>
    <xf numFmtId="0" fontId="20" fillId="0" borderId="1" applyAlignment="1" pivotButton="0" quotePrefix="0" xfId="0">
      <alignment horizontal="general" vertical="top" wrapText="1"/>
    </xf>
    <xf numFmtId="0" fontId="21" fillId="3" borderId="1" applyAlignment="1" pivotButton="0" quotePrefix="0" xfId="0">
      <alignment horizontal="general" vertical="top" wrapText="1"/>
    </xf>
    <xf numFmtId="0" fontId="20" fillId="0" borderId="2" applyAlignment="1" pivotButton="0" quotePrefix="0" xfId="0">
      <alignment horizontal="general" vertical="top" wrapText="1"/>
    </xf>
    <xf numFmtId="0" fontId="21" fillId="0" borderId="2" applyAlignment="1" pivotButton="0" quotePrefix="0" xfId="0">
      <alignment horizontal="general" vertical="top" wrapText="1"/>
    </xf>
    <xf numFmtId="0" fontId="21" fillId="4" borderId="1" applyAlignment="1" pivotButton="0" quotePrefix="0" xfId="0">
      <alignment horizontal="general"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top" wrapText="1"/>
    </xf>
    <xf numFmtId="0" fontId="19" fillId="2" borderId="2" applyAlignment="1" pivotButton="0" quotePrefix="0" xfId="0">
      <alignment horizontal="general" vertical="center" wrapText="1"/>
    </xf>
    <xf numFmtId="0" fontId="23" fillId="2" borderId="2" applyAlignment="1" pivotButton="0" quotePrefix="0" xfId="0">
      <alignment horizontal="general" vertical="center" wrapText="1"/>
    </xf>
    <xf numFmtId="0" fontId="23" fillId="2" borderId="2" applyAlignment="1" pivotButton="0" quotePrefix="0" xfId="0">
      <alignment horizontal="general" vertical="bottom"/>
    </xf>
    <xf numFmtId="0" fontId="24" fillId="5" borderId="2" applyAlignment="1" pivotButton="0" quotePrefix="0" xfId="0">
      <alignment horizontal="general" vertical="top" wrapText="1"/>
    </xf>
    <xf numFmtId="0" fontId="25" fillId="0" borderId="2" applyAlignment="1" pivotButton="0" quotePrefix="0" xfId="0">
      <alignment horizontal="general" vertical="bottom"/>
    </xf>
    <xf numFmtId="0" fontId="0" fillId="0" borderId="2" applyAlignment="1" pivotButton="0" quotePrefix="0" xfId="0">
      <alignment horizontal="general" vertical="bottom"/>
    </xf>
    <xf numFmtId="0" fontId="26" fillId="6" borderId="2" applyAlignment="1" pivotButton="0" quotePrefix="0" xfId="0">
      <alignment horizontal="general" vertical="top" wrapText="1"/>
    </xf>
    <xf numFmtId="0" fontId="27" fillId="7" borderId="2" applyAlignment="1" pivotButton="0" quotePrefix="0" xfId="0">
      <alignment horizontal="general" vertical="top" wrapText="1"/>
    </xf>
    <xf numFmtId="0" fontId="28" fillId="8" borderId="2" applyAlignment="1" pivotButton="0" quotePrefix="0" xfId="0">
      <alignment horizontal="general" vertical="top" wrapText="1"/>
    </xf>
    <xf numFmtId="0" fontId="29" fillId="9" borderId="2" applyAlignment="1" pivotButton="0" quotePrefix="0" xfId="0">
      <alignment horizontal="general" vertical="top" wrapText="1"/>
    </xf>
    <xf numFmtId="0" fontId="11" fillId="0" borderId="2" applyAlignment="1" pivotButton="0" quotePrefix="0" xfId="0">
      <alignment horizontal="general" vertical="top" wrapText="1"/>
    </xf>
    <xf numFmtId="0" fontId="6" fillId="0" borderId="0" applyAlignment="1" pivotButton="0" quotePrefix="0" xfId="0">
      <alignment horizontal="general" vertical="bottom"/>
    </xf>
    <xf numFmtId="0" fontId="23" fillId="2" borderId="0" applyAlignment="1" pivotButton="0" quotePrefix="0" xfId="0">
      <alignment horizontal="general" vertical="bottom"/>
    </xf>
    <xf numFmtId="0" fontId="0" fillId="0" borderId="0" applyAlignment="1" pivotButton="0" quotePrefix="0" xfId="0">
      <alignment horizontal="general" vertical="top" wrapText="1"/>
    </xf>
    <xf numFmtId="0" fontId="30" fillId="0" borderId="0" applyAlignment="1" pivotButton="0" quotePrefix="0" xfId="0">
      <alignment horizontal="general" vertical="bottom"/>
    </xf>
    <xf numFmtId="0" fontId="3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general" vertical="bottom"/>
    </xf>
    <xf numFmtId="0" fontId="17" fillId="0" borderId="0" applyAlignment="1" pivotButton="0" quotePrefix="0" xfId="0">
      <alignment horizontal="general" vertical="bottom"/>
    </xf>
    <xf numFmtId="0" fontId="18" fillId="0" borderId="0" applyAlignment="1" pivotButton="0" quotePrefix="0" xfId="0">
      <alignment horizontal="general" vertical="bottom"/>
    </xf>
    <xf numFmtId="0" fontId="19" fillId="2" borderId="1" applyAlignment="1" pivotButton="0" quotePrefix="0" xfId="0">
      <alignment horizontal="general" vertical="top" wrapText="1"/>
    </xf>
    <xf numFmtId="0" fontId="20" fillId="0" borderId="1" applyAlignment="1" pivotButton="0" quotePrefix="0" xfId="0">
      <alignment horizontal="general" vertical="top" wrapText="1"/>
    </xf>
    <xf numFmtId="0" fontId="21" fillId="3" borderId="1" applyAlignment="1" pivotButton="0" quotePrefix="0" xfId="0">
      <alignment horizontal="general" vertical="top" wrapText="1"/>
    </xf>
    <xf numFmtId="0" fontId="20" fillId="0" borderId="2" applyAlignment="1" pivotButton="0" quotePrefix="0" xfId="0">
      <alignment horizontal="general" vertical="top" wrapText="1"/>
    </xf>
    <xf numFmtId="0" fontId="21" fillId="0" borderId="2" applyAlignment="1" pivotButton="0" quotePrefix="0" xfId="0">
      <alignment horizontal="general" vertical="top" wrapText="1"/>
    </xf>
    <xf numFmtId="0" fontId="21" fillId="4" borderId="1" applyAlignment="1" pivotButton="0" quotePrefix="0" xfId="0">
      <alignment horizontal="general" vertical="top" wrapText="1"/>
    </xf>
    <xf numFmtId="0" fontId="21" fillId="0" borderId="1" applyAlignment="1" pivotButton="0" quotePrefix="0" xfId="0">
      <alignment horizontal="general" vertical="top" wrapText="1"/>
    </xf>
    <xf numFmtId="0" fontId="22" fillId="0" borderId="0" applyAlignment="1" pivotButton="0" quotePrefix="0" xfId="0">
      <alignment horizontal="general" vertical="top" wrapText="1"/>
    </xf>
    <xf numFmtId="0" fontId="19" fillId="2" borderId="2" applyAlignment="1" pivotButton="0" quotePrefix="0" xfId="0">
      <alignment horizontal="general" vertical="center" wrapText="1"/>
    </xf>
    <xf numFmtId="0" fontId="23" fillId="2" borderId="2" applyAlignment="1" pivotButton="0" quotePrefix="0" xfId="0">
      <alignment horizontal="general" vertical="center" wrapText="1"/>
    </xf>
    <xf numFmtId="0" fontId="23" fillId="2" borderId="2" applyAlignment="1" pivotButton="0" quotePrefix="0" xfId="0">
      <alignment horizontal="general" vertical="bottom"/>
    </xf>
    <xf numFmtId="0" fontId="24" fillId="5" borderId="2" applyAlignment="1" pivotButton="0" quotePrefix="0" xfId="0">
      <alignment horizontal="general" vertical="top" wrapText="1"/>
    </xf>
    <xf numFmtId="0" fontId="25" fillId="0" borderId="2" applyAlignment="1" pivotButton="0" quotePrefix="0" xfId="0">
      <alignment horizontal="general" vertical="bottom"/>
    </xf>
    <xf numFmtId="0" fontId="0" fillId="0" borderId="2" applyAlignment="1" pivotButton="0" quotePrefix="0" xfId="0">
      <alignment horizontal="general" vertical="bottom"/>
    </xf>
    <xf numFmtId="0" fontId="26" fillId="6" borderId="2" applyAlignment="1" pivotButton="0" quotePrefix="0" xfId="0">
      <alignment horizontal="general" vertical="top" wrapText="1"/>
    </xf>
    <xf numFmtId="0" fontId="27" fillId="7" borderId="2" applyAlignment="1" pivotButton="0" quotePrefix="0" xfId="0">
      <alignment horizontal="general" vertical="top" wrapText="1"/>
    </xf>
    <xf numFmtId="0" fontId="28" fillId="8" borderId="2" applyAlignment="1" pivotButton="0" quotePrefix="0" xfId="0">
      <alignment horizontal="general" vertical="top" wrapText="1"/>
    </xf>
    <xf numFmtId="0" fontId="29" fillId="9" borderId="2" applyAlignment="1" pivotButton="0" quotePrefix="0" xfId="0">
      <alignment horizontal="general" vertical="top" wrapText="1"/>
    </xf>
    <xf numFmtId="0" fontId="11" fillId="0" borderId="2" applyAlignment="1" pivotButton="0" quotePrefix="0" xfId="0">
      <alignment horizontal="general" vertical="top" wrapText="1"/>
    </xf>
    <xf numFmtId="0" fontId="23" fillId="2" borderId="0" applyAlignment="1" pivotButton="0" quotePrefix="0" xfId="0">
      <alignment horizontal="general" vertical="bottom"/>
    </xf>
    <xf numFmtId="0" fontId="0" fillId="0" borderId="0" applyAlignment="1" pivotButton="0" quotePrefix="0" xfId="0">
      <alignment horizontal="general" vertical="top" wrapText="1"/>
    </xf>
    <xf numFmtId="0" fontId="30" fillId="0" borderId="0" applyAlignment="1" pivotButton="0" quotePrefix="0" xfId="0">
      <alignment horizontal="general" vertical="bottom"/>
    </xf>
    <xf numFmtId="0" fontId="3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7">
    <dxf>
      <fill>
        <patternFill patternType="solid">
          <fgColor rgb="FF12294E"/>
          <bgColor rgb="FF000000"/>
        </patternFill>
      </fill>
    </dxf>
    <dxf>
      <fill>
        <patternFill patternType="solid">
          <bgColor rgb="FF000000"/>
        </patternFill>
      </fill>
    </dxf>
    <dxf>
      <fill>
        <patternFill patternType="solid">
          <fgColor rgb="FFFFFFFF"/>
          <bgColor rgb="FF000000"/>
        </patternFill>
      </fill>
    </dxf>
    <dxf>
      <fill>
        <patternFill patternType="solid">
          <fgColor rgb="FFFFF9DB"/>
          <bgColor rgb="FF000000"/>
        </patternFill>
      </fill>
    </dxf>
    <dxf>
      <fill>
        <patternFill patternType="solid">
          <fgColor rgb="FFF5F7FA"/>
          <bgColor rgb="FF000000"/>
        </patternFill>
      </fill>
    </dxf>
    <dxf>
      <fill>
        <patternFill patternType="solid">
          <fgColor rgb="FFE3F2FD"/>
          <bgColor rgb="FF000000"/>
        </patternFill>
      </fill>
    </dxf>
    <dxf>
      <fill>
        <patternFill patternType="solid">
          <fgColor rgb="FFE8F5E9"/>
          <bgColor rgb="FF000000"/>
        </patternFill>
      </fill>
    </dxf>
    <dxf>
      <fill>
        <patternFill patternType="solid">
          <fgColor rgb="FFFDECEA"/>
          <bgColor rgb="FF000000"/>
        </patternFill>
      </fill>
    </dxf>
    <dxf>
      <fill>
        <patternFill patternType="solid">
          <fgColor rgb="FFFFF3E0"/>
          <bgColor rgb="FF000000"/>
        </patternFill>
      </fill>
    </dxf>
    <dxf>
      <fill>
        <patternFill patternType="solid">
          <fgColor rgb="FFFFF8E1"/>
          <bgColor rgb="FF000000"/>
        </patternFill>
      </fill>
    </dxf>
    <dxf>
      <fill>
        <patternFill patternType="solid">
          <fgColor rgb="FF1565C0"/>
          <bgColor rgb="FF000000"/>
        </patternFill>
      </fill>
    </dxf>
    <dxf>
      <fill>
        <patternFill patternType="solid">
          <fgColor rgb="FF2E7D32"/>
          <bgColor rgb="FF000000"/>
        </patternFill>
      </fill>
    </dxf>
    <dxf>
      <fill>
        <patternFill patternType="solid">
          <fgColor rgb="FF8A6D1A"/>
          <bgColor rgb="FF000000"/>
        </patternFill>
      </fill>
    </dxf>
    <dxf>
      <fill>
        <patternFill patternType="solid">
          <fgColor rgb="FFB36B00"/>
          <bgColor rgb="FF000000"/>
        </patternFill>
      </fill>
    </dxf>
    <dxf>
      <fill>
        <patternFill patternType="solid">
          <fgColor rgb="FFB71C1C"/>
          <bgColor rgb="FF000000"/>
        </patternFill>
      </fill>
    </dxf>
    <dxf>
      <fill>
        <patternFill patternType="solid">
          <fgColor rgb="FF777777"/>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2E6B3F"/>
      <rgbColor rgb="FF000080"/>
      <rgbColor rgb="FF8A6D1A"/>
      <rgbColor rgb="FF800080"/>
      <rgbColor rgb="FF008080"/>
      <rgbColor rgb="FFBFC5CE"/>
      <rgbColor rgb="FF777777"/>
      <rgbColor rgb="FF9999FF"/>
      <rgbColor rgb="FF993366"/>
      <rgbColor rgb="FFFFF9DB"/>
      <rgbColor rgb="FFE3F2FD"/>
      <rgbColor rgb="FF660066"/>
      <rgbColor rgb="FFFF8080"/>
      <rgbColor rgb="FF1565C0"/>
      <rgbColor rgb="FFD9D9D9"/>
      <rgbColor rgb="FF000080"/>
      <rgbColor rgb="FFFF00FF"/>
      <rgbColor rgb="FFFFFF00"/>
      <rgbColor rgb="FF00FFFF"/>
      <rgbColor rgb="FF800080"/>
      <rgbColor rgb="FF800000"/>
      <rgbColor rgb="FF008080"/>
      <rgbColor rgb="FF0000FF"/>
      <rgbColor rgb="FF00CCFF"/>
      <rgbColor rgb="FFE8F5E9"/>
      <rgbColor rgb="FFF5F7FA"/>
      <rgbColor rgb="FFFFF8E1"/>
      <rgbColor rgb="FFFFF3E0"/>
      <rgbColor rgb="FFFF99CC"/>
      <rgbColor rgb="FFCC99FF"/>
      <rgbColor rgb="FFFDECEA"/>
      <rgbColor rgb="FF3366FF"/>
      <rgbColor rgb="FF33CCCC"/>
      <rgbColor rgb="FF99CC00"/>
      <rgbColor rgb="FFFFCC00"/>
      <rgbColor rgb="FFFF9900"/>
      <rgbColor rgb="FFB36B00"/>
      <rgbColor rgb="FF55606E"/>
      <rgbColor rgb="FF969696"/>
      <rgbColor rgb="FF12294E"/>
      <rgbColor rgb="FF2E7D32"/>
      <rgbColor rgb="FF003300"/>
      <rgbColor rgb="FF333300"/>
      <rgbColor rgb="FFB71C1C"/>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5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44" min="1" max="1"/>
    <col width="26" customWidth="1" style="44" min="2" max="2"/>
    <col width="20" customWidth="1" style="44" min="3" max="3"/>
    <col width="12" customWidth="1" style="44" min="4" max="4"/>
  </cols>
  <sheetData>
    <row r="1" ht="17.35" customHeight="1" s="45">
      <c r="A1" s="46" t="inlineStr">
        <is>
          <t>Akki OS — Build Status</t>
        </is>
      </c>
    </row>
    <row r="2" ht="15" customHeight="1" s="45">
      <c r="A2" s="47" t="inlineStr">
        <is>
          <t>20 September 2026 (refresh)</t>
        </is>
      </c>
    </row>
    <row r="4" ht="15" customHeight="1" s="45">
      <c r="A4" s="48" t="inlineStr">
        <is>
          <t>1 — What We're Building</t>
        </is>
      </c>
    </row>
    <row r="6" ht="15" customHeight="1" s="45">
      <c r="A6" s="49" t="inlineStr">
        <is>
          <t>Component</t>
        </is>
      </c>
      <c r="B6" s="49" t="inlineStr">
        <is>
          <t>What it does</t>
        </is>
      </c>
      <c r="D6" s="49" t="inlineStr">
        <is>
          <t>Reqs</t>
        </is>
      </c>
    </row>
    <row r="7" ht="41.75" customHeight="1" s="45">
      <c r="A7" s="50" t="inlineStr">
        <is>
          <t>Akki OS core</t>
        </is>
      </c>
      <c r="B7" s="51" t="inlineStr">
        <is>
          <t>Six engines (SyniSense, Solva, Northena, Mtafiti, Targeta, Mkondo) + the Watch + the Ledger — the governed platform. Docs 1–20 and extensions.</t>
        </is>
      </c>
      <c r="D7" s="52" t="inlineStr">
        <is>
          <t>286</t>
        </is>
      </c>
    </row>
    <row r="8" ht="28.35" customHeight="1" s="45">
      <c r="A8" s="50" t="inlineStr">
        <is>
          <t>Rules Service</t>
        </is>
      </c>
      <c r="B8" s="51" t="inlineStr">
        <is>
          <t>The Policy Administration Point — rule authoring, ceremony, adoption, the Registry.</t>
        </is>
      </c>
      <c r="D8" s="52" t="inlineStr">
        <is>
          <t>27</t>
        </is>
      </c>
    </row>
    <row r="9" ht="28.35" customHeight="1" s="45">
      <c r="A9" s="50" t="inlineStr">
        <is>
          <t>DAP</t>
        </is>
      </c>
      <c r="B9" s="51" t="inlineStr">
        <is>
          <t>External-party acquisition portal built on Akki — browse, connect, extract, fine-tune, download.</t>
        </is>
      </c>
      <c r="D9" s="52" t="inlineStr">
        <is>
          <t>30</t>
        </is>
      </c>
    </row>
    <row r="10" ht="41.75" customHeight="1" s="45">
      <c r="A10" s="50" t="inlineStr">
        <is>
          <t>Security hardening</t>
        </is>
      </c>
      <c r="B10" s="51" t="inlineStr">
        <is>
          <t>Assurance promises (Watch conduct) plus Trojan/whisper amendments (artefact and output-content threats).</t>
        </is>
      </c>
      <c r="D10" s="52" t="inlineStr">
        <is>
          <t>35</t>
        </is>
      </c>
    </row>
    <row r="11" ht="41.75" customHeight="1" s="45">
      <c r="A11" s="50" t="inlineStr">
        <is>
          <t>Governance Architecture</t>
        </is>
      </c>
      <c r="B11" s="51" t="inlineStr">
        <is>
          <t>The standard (Part 1) everything above is measured against, translated into per-component build targets (Part 2).</t>
        </is>
      </c>
      <c r="D11" s="52" t="inlineStr">
        <is>
          <t>41</t>
        </is>
      </c>
    </row>
    <row r="12" ht="55.2" customHeight="1" s="45">
      <c r="A12" s="50" t="inlineStr">
        <is>
          <t>Agent &amp; Swarm Containment</t>
        </is>
      </c>
      <c r="B12" s="51" t="inlineStr">
        <is>
          <t>Contains a lab's own deployed agent(s) — capability ceilings, earned scope, coalition bounding. Governance model only; integration layer explicitly out of scope.</t>
        </is>
      </c>
      <c r="D12" s="52" t="inlineStr">
        <is>
          <t>12</t>
        </is>
      </c>
    </row>
    <row r="14" ht="15" customHeight="1" s="45">
      <c r="A14" s="53" t="inlineStr">
        <is>
          <t>Total, defined and buildable today</t>
        </is>
      </c>
      <c r="D14" s="53" t="inlineStr">
        <is>
          <t>589</t>
        </is>
      </c>
    </row>
    <row r="15" ht="15" customHeight="1" s="45">
      <c r="A15" s="54" t="inlineStr">
        <is>
          <t>Refreshed 18 Sep 2026: +47 (SEC, DET, FP, TD, HR, BC, DAP-37/38, serving integrity, watch learning, S-26–S-29). Previous baseline 431 / 444 rows.</t>
        </is>
      </c>
    </row>
    <row r="16" ht="15" customHeight="1" s="45">
      <c r="A16" s="54" t="inlineStr">
        <is>
          <t>Refreshed 20 Sep 2026: +73 (ENT-1–49 entitlement; MEM-1–11 memory compaction; PRIN-1–13 principal model). Previous total 478.</t>
        </is>
      </c>
    </row>
    <row r="17" ht="15" customHeight="1" s="45">
      <c r="A17" s="54" t="inlineStr">
        <is>
          <t>Refreshed 20 Sep 2026 (b): +31 (CON-1–31 content registry). Previous total 551.</t>
        </is>
      </c>
    </row>
    <row r="19" ht="15" customHeight="1" s="45">
      <c r="A19" s="49" t="inlineStr">
        <is>
          <t>Gap</t>
        </is>
      </c>
      <c r="B19" s="49" t="inlineStr">
        <is>
          <t>State</t>
        </is>
      </c>
    </row>
    <row r="20" ht="15" customHeight="1" s="45">
      <c r="A20" s="55" t="inlineStr">
        <is>
          <t>G-1 — No enumerated Trusted Computing Base</t>
        </is>
      </c>
      <c r="B20" s="56" t="inlineStr">
        <is>
          <t>OPEN</t>
        </is>
      </c>
    </row>
    <row r="21" ht="15" customHeight="1" s="45">
      <c r="A21" s="55" t="inlineStr">
        <is>
          <t>G-2 — No architecture description</t>
        </is>
      </c>
      <c r="B21" s="56" t="inlineStr">
        <is>
          <t>OPEN</t>
        </is>
      </c>
    </row>
    <row r="22" ht="15" customHeight="1" s="45">
      <c r="A22" s="55" t="inlineStr">
        <is>
          <t>G-3 — Asset inventory covers estate sources only</t>
        </is>
      </c>
      <c r="B22" s="57" t="inlineStr">
        <is>
          <t>PARTIAL — DAP-1/2 close it for external parties</t>
        </is>
      </c>
    </row>
    <row r="23" ht="15" customHeight="1" s="45">
      <c r="A23" s="55" t="inlineStr">
        <is>
          <t>G-4 — No assessment procedure on any base rule</t>
        </is>
      </c>
      <c r="B23" s="56" t="inlineStr">
        <is>
          <t>OPEN</t>
        </is>
      </c>
    </row>
    <row r="24" ht="15" customHeight="1" s="45">
      <c r="A24" s="55" t="inlineStr">
        <is>
          <t>G-5 — Checkpoint roles named only for the Watch</t>
        </is>
      </c>
      <c r="B24" s="57" t="inlineStr">
        <is>
          <t>PARTIAL — DAP §4 names them for every DAP operation</t>
        </is>
      </c>
    </row>
    <row r="25" ht="15" customHeight="1" s="45">
      <c r="A25" s="55" t="inlineStr">
        <is>
          <t>G-6 — No security architecture description</t>
        </is>
      </c>
      <c r="B25" s="57" t="inlineStr">
        <is>
          <t>PARTIAL — Watch confirmed to meet all 3 reference-monitor properties; not yet written up</t>
        </is>
      </c>
    </row>
    <row r="26" ht="15" customHeight="1" s="45">
      <c r="A26" s="55" t="inlineStr">
        <is>
          <t>G-7 — No named SFPs; lower-the-standard is subject-alterable</t>
        </is>
      </c>
      <c r="B26" s="56" t="inlineStr">
        <is>
          <t>OPEN — ruling pending (R-2)</t>
        </is>
      </c>
    </row>
    <row r="27" ht="15" customHeight="1" s="45">
      <c r="A27" s="55" t="inlineStr">
        <is>
          <t>G-8 — Receipt omits identity, timestamp</t>
        </is>
      </c>
      <c r="B27" s="58" t="inlineStr">
        <is>
          <t>SPEC-CLOSED — Security_Promise_Set_Amendments Amendment 3. Not built.</t>
        </is>
      </c>
    </row>
    <row r="28" ht="15" customHeight="1" s="45">
      <c r="A28" s="55" t="inlineStr">
        <is>
          <t>G-9 — No change-control procedure for system rules</t>
        </is>
      </c>
      <c r="B28" s="58" t="inlineStr">
        <is>
          <t>SPEC-CLOSED — Rules Service RBM-7/RBM-8. Not built.</t>
        </is>
      </c>
    </row>
    <row r="29" ht="15" customHeight="1" s="45">
      <c r="A29" s="55" t="inlineStr">
        <is>
          <t>G-10 — No determinism inventory</t>
        </is>
      </c>
      <c r="B29" s="56" t="inlineStr">
        <is>
          <t>OPEN</t>
        </is>
      </c>
    </row>
    <row r="30" ht="15" customHeight="1" s="45">
      <c r="A30" s="55" t="inlineStr">
        <is>
          <t>G-11 — No failure-type enumeration</t>
        </is>
      </c>
      <c r="B30" s="57" t="inlineStr">
        <is>
          <t>PARTIAL — DAP-28/29/30 specify it for DAP; not platform-wide</t>
        </is>
      </c>
    </row>
    <row r="31" ht="15" customHeight="1" s="45">
      <c r="A31" s="55" t="inlineStr">
        <is>
          <t>G-12 — Trust domains not described; deployment model unstated</t>
        </is>
      </c>
      <c r="B31" s="57" t="inlineStr">
        <is>
          <t>PARTIAL — DAP-5 closes it for DAP; general case open</t>
        </is>
      </c>
    </row>
    <row r="32" ht="15" customHeight="1" s="45">
      <c r="A32" s="55" t="inlineStr">
        <is>
          <t>G-13 — Hand-off contract instantiated once, not generalised</t>
        </is>
      </c>
      <c r="B32" s="56" t="inlineStr">
        <is>
          <t>OPEN</t>
        </is>
      </c>
    </row>
    <row r="33" ht="15" customHeight="1" s="45">
      <c r="A33" s="55" t="inlineStr">
        <is>
          <t>Business Continuity Annex</t>
        </is>
      </c>
      <c r="B33" s="56" t="inlineStr">
        <is>
          <t>MISSING — no document exists</t>
        </is>
      </c>
    </row>
    <row r="34" ht="15" customHeight="1" s="45">
      <c r="A34" s="55" t="inlineStr">
        <is>
          <t>Pruning &amp; unlearning on rights withdrawal</t>
        </is>
      </c>
      <c r="B34" s="56" t="inlineStr">
        <is>
          <t>PROPOSED — not yet built (awaiting go-ahead)</t>
        </is>
      </c>
    </row>
    <row r="35" ht="15" customHeight="1" s="45">
      <c r="A35" s="55" t="inlineStr">
        <is>
          <t>Security monitoring implementation (builder's audit)</t>
        </is>
      </c>
      <c r="B35" s="56" t="inlineStr">
        <is>
          <t>62 of 82 requirements unbuilt</t>
        </is>
      </c>
    </row>
    <row r="36" ht="15" customHeight="1" s="45">
      <c r="A36" s="55" t="inlineStr">
        <is>
          <t>Rules Service implementation (builder's audit)</t>
        </is>
      </c>
      <c r="B36" s="56" t="inlineStr">
        <is>
          <t>Nothing built — spec complete, code not started</t>
        </is>
      </c>
    </row>
    <row r="39" ht="15" customHeight="1" s="45">
      <c r="A39" s="48" t="inlineStr">
        <is>
          <t>3 — Missing Requirements — Fully Open, No Spec Yet</t>
        </is>
      </c>
    </row>
    <row r="41" ht="15" customHeight="1" s="45">
      <c r="A41" s="55" t="inlineStr">
        <is>
          <t>— TCB Enumeration — apply Attribute 1's test to every Doc 0 component, publish the list (closes G-1)</t>
        </is>
      </c>
    </row>
    <row r="42" ht="15" customHeight="1" s="45">
      <c r="A42" s="55" t="inlineStr">
        <is>
          <t>— Security Architecture Description — ADV_ARC-style write-up for MOAC, distance gate, format gate (closes G-6 fully)</t>
        </is>
      </c>
    </row>
    <row r="43" ht="15" customHeight="1" s="45">
      <c r="A43" s="55" t="inlineStr">
        <is>
          <t>— Named Security Function Policies + the lower-the-standard ruling (closes G-7)</t>
        </is>
      </c>
    </row>
    <row r="44" ht="15" customHeight="1" s="45">
      <c r="A44" s="55" t="inlineStr">
        <is>
          <t>— Determinism Inventory — classify every component deterministic/learned in one place, map to EU AI Act Art. 14 (closes G-10)</t>
        </is>
      </c>
    </row>
    <row r="45" ht="15" customHeight="1" s="45">
      <c r="A45" s="55" t="inlineStr">
        <is>
          <t>— Failure Posture Enumeration — platform-wide, not only DAP's slice (closes G-11 fully)</t>
        </is>
      </c>
    </row>
    <row r="46" ht="15" customHeight="1" s="45">
      <c r="A46" s="55" t="inlineStr">
        <is>
          <t>— Trust Domain Description + deployment-model ruling, general case (closes G-12 fully)</t>
        </is>
      </c>
    </row>
    <row r="47" ht="15" customHeight="1" s="45">
      <c r="A47" s="55" t="inlineStr">
        <is>
          <t>— Hand-off Generalisation spec for Mkondo (closes G-13)</t>
        </is>
      </c>
    </row>
    <row r="48" ht="15" customHeight="1" s="45">
      <c r="A48" s="55" t="inlineStr">
        <is>
          <t>— Business Continuity Annex</t>
        </is>
      </c>
    </row>
    <row r="49" ht="15" customHeight="1" s="45">
      <c r="A49" s="55" t="inlineStr">
        <is>
          <t>— Pruning &amp; Unlearning Amendment (DAP-37/38, S-26)</t>
        </is>
      </c>
    </row>
    <row r="52" ht="15" customHeight="1" s="45">
      <c r="A52" s="48" t="inlineStr">
        <is>
          <t>4 — Generate Next</t>
        </is>
      </c>
    </row>
    <row r="54" ht="15" customHeight="1" s="45">
      <c r="A54" s="59" t="inlineStr">
        <is>
          <t>Say which, and it's the next document built. Recommended first: TCB Enumeration + Security Architecture Description — both foundational, both referenced by other open gaps (G-2, G-5, G-6, G-10 all depend on one or both existing first).</t>
        </is>
      </c>
    </row>
    <row r="56" ht="15" customHeight="1" s="45">
      <c r="A56" s="60" t="inlineStr">
        <is>
          <t>Full requirement-level detail, every ID, every citation: the System Rules Registry sheet.</t>
        </is>
      </c>
    </row>
  </sheetData>
  <mergeCells count="39">
    <mergeCell ref="A17:D17"/>
    <mergeCell ref="B7:C7"/>
    <mergeCell ref="B23:D23"/>
    <mergeCell ref="A4:D4"/>
    <mergeCell ref="A52:D52"/>
    <mergeCell ref="A43:D43"/>
    <mergeCell ref="B29:D29"/>
    <mergeCell ref="B34:D34"/>
    <mergeCell ref="A44:D44"/>
    <mergeCell ref="B12:C12"/>
    <mergeCell ref="B28:D28"/>
    <mergeCell ref="B19:D19"/>
    <mergeCell ref="B11:C11"/>
    <mergeCell ref="A48:D48"/>
    <mergeCell ref="A39:D39"/>
    <mergeCell ref="B30:D30"/>
    <mergeCell ref="A49:D49"/>
    <mergeCell ref="B8:C8"/>
    <mergeCell ref="B24:D24"/>
    <mergeCell ref="B20:D20"/>
    <mergeCell ref="B33:D33"/>
    <mergeCell ref="A45:D45"/>
    <mergeCell ref="B36:D36"/>
    <mergeCell ref="B32:D32"/>
    <mergeCell ref="B10:C10"/>
    <mergeCell ref="B35:D35"/>
    <mergeCell ref="B26:D26"/>
    <mergeCell ref="A54:D54"/>
    <mergeCell ref="A41:D41"/>
    <mergeCell ref="B9:C9"/>
    <mergeCell ref="B25:D25"/>
    <mergeCell ref="A46:D46"/>
    <mergeCell ref="A56:D56"/>
    <mergeCell ref="B31:D31"/>
    <mergeCell ref="B22:D22"/>
    <mergeCell ref="B27:D27"/>
    <mergeCell ref="B21:D21"/>
    <mergeCell ref="A47:D47"/>
    <mergeCell ref="A42:D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70" customWidth="1" style="44" min="1" max="1"/>
    <col width="14" customWidth="1" style="44" min="2" max="6"/>
  </cols>
  <sheetData>
    <row r="1" ht="17.35" customHeight="1" s="45">
      <c r="A1" s="46" t="inlineStr">
        <is>
          <t>Akki OS — Audit Summary</t>
        </is>
      </c>
    </row>
    <row r="2" ht="15" customHeight="1" s="45">
      <c r="A2" s="61" t="inlineStr">
        <is>
          <t>Every figure is a formula over QA Verification and Check Register. Nothing is entered here.</t>
        </is>
      </c>
    </row>
    <row r="4" ht="15" customHeight="1" s="45">
      <c r="A4" s="62" t="inlineStr">
        <is>
          <t>Rule verdicts by weight</t>
        </is>
      </c>
      <c r="B4" s="62" t="inlineStr">
        <is>
          <t>COUNTS</t>
        </is>
      </c>
      <c r="C4" s="62" t="inlineStr">
        <is>
          <t>UNRATIFIED</t>
        </is>
      </c>
      <c r="D4" s="62" t="inlineStr">
        <is>
          <t>OPEN</t>
        </is>
      </c>
      <c r="E4" s="62" t="inlineStr">
        <is>
          <t>UNDEFINED</t>
        </is>
      </c>
      <c r="F4" s="62" t="inlineStr">
        <is>
          <t>All</t>
        </is>
      </c>
    </row>
    <row r="5" ht="15" customHeight="1" s="45">
      <c r="A5" s="63" t="inlineStr">
        <is>
          <t>PASS</t>
        </is>
      </c>
      <c r="B5" s="64">
        <f>COUNTIFS('QA Verification'!$H$2:$H$603,$A5,'QA Verification'!$L$2:$L$603,B$4)</f>
        <v/>
      </c>
      <c r="C5" s="64">
        <f>COUNTIFS('QA Verification'!$H$2:$H$603,$A5,'QA Verification'!$L$2:$L$603,C$4)</f>
        <v/>
      </c>
      <c r="D5" s="64">
        <f>COUNTIFS('QA Verification'!$H$2:$H$603,$A5,'QA Verification'!$L$2:$L$603,D$4)</f>
        <v/>
      </c>
      <c r="E5" s="64">
        <f>COUNTIFS('QA Verification'!$H$2:$H$603,$A5,'QA Verification'!$L$2:$L$603,E$4)</f>
        <v/>
      </c>
      <c r="F5" s="64">
        <f>SUM(B5:E5)</f>
        <v/>
      </c>
    </row>
    <row r="6" ht="15" customHeight="1" s="45">
      <c r="A6" s="63" t="inlineStr">
        <is>
          <t>FAIL</t>
        </is>
      </c>
      <c r="B6" s="64">
        <f>COUNTIFS('QA Verification'!$H$2:$H$603,$A6,'QA Verification'!$L$2:$L$603,B$4)</f>
        <v/>
      </c>
      <c r="C6" s="64">
        <f>COUNTIFS('QA Verification'!$H$2:$H$603,$A6,'QA Verification'!$L$2:$L$603,C$4)</f>
        <v/>
      </c>
      <c r="D6" s="64">
        <f>COUNTIFS('QA Verification'!$H$2:$H$603,$A6,'QA Verification'!$L$2:$L$603,D$4)</f>
        <v/>
      </c>
      <c r="E6" s="64">
        <f>COUNTIFS('QA Verification'!$H$2:$H$603,$A6,'QA Verification'!$L$2:$L$603,E$4)</f>
        <v/>
      </c>
      <c r="F6" s="64">
        <f>SUM(B6:E6)</f>
        <v/>
      </c>
    </row>
    <row r="7" ht="15" customHeight="1" s="45">
      <c r="A7" s="63" t="inlineStr">
        <is>
          <t>NOT BUILT</t>
        </is>
      </c>
      <c r="B7" s="64">
        <f>COUNTIFS('QA Verification'!$H$2:$H$603,$A7,'QA Verification'!$L$2:$L$603,B$4)</f>
        <v/>
      </c>
      <c r="C7" s="64">
        <f>COUNTIFS('QA Verification'!$H$2:$H$603,$A7,'QA Verification'!$L$2:$L$603,C$4)</f>
        <v/>
      </c>
      <c r="D7" s="64">
        <f>COUNTIFS('QA Verification'!$H$2:$H$603,$A7,'QA Verification'!$L$2:$L$603,D$4)</f>
        <v/>
      </c>
      <c r="E7" s="64">
        <f>COUNTIFS('QA Verification'!$H$2:$H$603,$A7,'QA Verification'!$L$2:$L$603,E$4)</f>
        <v/>
      </c>
      <c r="F7" s="64">
        <f>SUM(B7:E7)</f>
        <v/>
      </c>
    </row>
    <row r="8" ht="15" customHeight="1" s="45">
      <c r="A8" s="63" t="inlineStr">
        <is>
          <t>NOT VERIFIABLE</t>
        </is>
      </c>
      <c r="B8" s="64">
        <f>COUNTIFS('QA Verification'!$H$2:$H$603,$A8,'QA Verification'!$L$2:$L$603,B$4)</f>
        <v/>
      </c>
      <c r="C8" s="64">
        <f>COUNTIFS('QA Verification'!$H$2:$H$603,$A8,'QA Verification'!$L$2:$L$603,C$4)</f>
        <v/>
      </c>
      <c r="D8" s="64">
        <f>COUNTIFS('QA Verification'!$H$2:$H$603,$A8,'QA Verification'!$L$2:$L$603,D$4)</f>
        <v/>
      </c>
      <c r="E8" s="64">
        <f>COUNTIFS('QA Verification'!$H$2:$H$603,$A8,'QA Verification'!$L$2:$L$603,E$4)</f>
        <v/>
      </c>
      <c r="F8" s="64">
        <f>SUM(B8:E8)</f>
        <v/>
      </c>
    </row>
    <row r="9" ht="15" customHeight="1" s="45">
      <c r="A9" s="63" t="inlineStr">
        <is>
          <t>NOT EXAMINED</t>
        </is>
      </c>
      <c r="B9" s="64">
        <f>COUNTIFS('QA Verification'!$H$2:$H$603,$A9,'QA Verification'!$L$2:$L$603,B$4)</f>
        <v/>
      </c>
      <c r="C9" s="64">
        <f>COUNTIFS('QA Verification'!$H$2:$H$603,$A9,'QA Verification'!$L$2:$L$603,C$4)</f>
        <v/>
      </c>
      <c r="D9" s="64">
        <f>COUNTIFS('QA Verification'!$H$2:$H$603,$A9,'QA Verification'!$L$2:$L$603,D$4)</f>
        <v/>
      </c>
      <c r="E9" s="64">
        <f>COUNTIFS('QA Verification'!$H$2:$H$603,$A9,'QA Verification'!$L$2:$L$603,E$4)</f>
        <v/>
      </c>
      <c r="F9" s="64">
        <f>SUM(B9:E9)</f>
        <v/>
      </c>
    </row>
    <row r="10" ht="15" customHeight="1" s="45">
      <c r="A10" s="63" t="inlineStr">
        <is>
          <t>(no verdict yet)</t>
        </is>
      </c>
      <c r="B10" s="64">
        <f>COUNTIFS('QA Verification'!$H$2:$H$603,"",'QA Verification'!$L$2:$L$603,B$4)</f>
        <v/>
      </c>
      <c r="C10" s="64">
        <f>COUNTIFS('QA Verification'!$H$2:$H$603,"",'QA Verification'!$L$2:$L$603,C$4)</f>
        <v/>
      </c>
      <c r="D10" s="64">
        <f>COUNTIFS('QA Verification'!$H$2:$H$603,"",'QA Verification'!$L$2:$L$603,D$4)</f>
        <v/>
      </c>
      <c r="E10" s="64">
        <f>COUNTIFS('QA Verification'!$H$2:$H$603,"",'QA Verification'!$L$2:$L$603,E$4)</f>
        <v/>
      </c>
      <c r="F10" s="64">
        <f>SUM(B10:E10)</f>
        <v/>
      </c>
    </row>
    <row r="11" ht="15" customHeight="1" s="45">
      <c r="A11" s="63" t="inlineStr">
        <is>
          <t>Total</t>
        </is>
      </c>
      <c r="B11" s="64">
        <f>SUM(B5:B10)</f>
        <v/>
      </c>
      <c r="C11" s="64">
        <f>SUM(C5:C10)</f>
        <v/>
      </c>
      <c r="D11" s="64">
        <f>SUM(D5:D10)</f>
        <v/>
      </c>
      <c r="E11" s="64">
        <f>SUM(E5:E10)</f>
        <v/>
      </c>
      <c r="F11" s="64">
        <f>SUM(F5:F10)</f>
        <v/>
      </c>
    </row>
    <row r="13" ht="15" customHeight="1" s="45">
      <c r="A13" s="62" t="inlineStr">
        <is>
          <t>Examination load</t>
        </is>
      </c>
      <c r="B13" s="62" t="inlineStr">
        <is>
          <t>Rules</t>
        </is>
      </c>
    </row>
    <row r="14" ht="15" customHeight="1" s="45">
      <c r="A14" s="63" t="inlineStr">
        <is>
          <t>Effective Tier A — examined in full</t>
        </is>
      </c>
      <c r="B14" s="64">
        <f>COUNTIF('QA Verification'!$R$2:$R$603,"A*")</f>
        <v/>
      </c>
    </row>
    <row r="15" ht="15" customHeight="1" s="45">
      <c r="A15" s="63" t="inlineStr">
        <is>
          <t>Effective Tier B — sampled ≥ 30% per document</t>
        </is>
      </c>
      <c r="B15" s="64">
        <f>COUNTIF('QA Verification'!$R$2:$R$603,"B*")</f>
        <v/>
      </c>
    </row>
    <row r="16" ht="15" customHeight="1" s="45">
      <c r="A16" s="63" t="inlineStr">
        <is>
          <t>Weight COUNTS held at V7 by the v1 heading derivation and not raised by §6</t>
        </is>
      </c>
      <c r="B16" s="64">
        <f>COUNTIFS('QA Verification'!$L$2:$L$603,"COUNTS",'QA Verification'!$P$2:$P$603,"V7")</f>
        <v/>
      </c>
    </row>
    <row r="17" ht="15" customHeight="1" s="45">
      <c r="A17" s="63" t="inlineStr">
        <is>
          <t>Rows whose class is PROVISIONAL (derive from rule text before relying on it)</t>
        </is>
      </c>
      <c r="B17" s="64">
        <f>COUNTIF('QA Verification'!$Q$2:$Q$603,"*PROVISIONAL*")</f>
        <v/>
      </c>
    </row>
    <row r="18" ht="15" customHeight="1" s="45">
      <c r="A18" s="63" t="inlineStr">
        <is>
          <t>Rows with status UNDEFINED awaiting owner ruling</t>
        </is>
      </c>
      <c r="B18" s="64">
        <f>COUNTIF('QA Verification'!$K$2:$K$603,"UNDEFINED")</f>
        <v/>
      </c>
    </row>
    <row r="19" ht="15" customHeight="1" s="45">
      <c r="A19" s="63" t="inlineStr">
        <is>
          <t>FAIL by severity — S1</t>
        </is>
      </c>
      <c r="B19" s="64">
        <f>COUNTIFS('QA Verification'!$H$2:$H$603,"FAIL",'QA Verification'!$T$2:$T$603,"S1")</f>
        <v/>
      </c>
    </row>
    <row r="20" ht="15" customHeight="1" s="45">
      <c r="A20" s="63" t="inlineStr">
        <is>
          <t>FAIL by severity — S2</t>
        </is>
      </c>
      <c r="B20" s="64">
        <f>COUNTIFS('QA Verification'!$H$2:$H$603,"FAIL",'QA Verification'!$T$2:$T$603,"S2")</f>
        <v/>
      </c>
    </row>
    <row r="21" ht="15" customHeight="1" s="45">
      <c r="A21" s="63" t="inlineStr">
        <is>
          <t>FAIL by severity — S3</t>
        </is>
      </c>
      <c r="B21" s="64">
        <f>COUNTIFS('QA Verification'!$H$2:$H$603,"FAIL",'QA Verification'!$T$2:$T$603,"S3")</f>
        <v/>
      </c>
    </row>
    <row r="22" ht="15" customHeight="1" s="45">
      <c r="A22" s="63" t="inlineStr">
        <is>
          <t>FAIL by severity — S4</t>
        </is>
      </c>
      <c r="B22" s="64">
        <f>COUNTIFS('QA Verification'!$H$2:$H$603,"FAIL",'QA Verification'!$T$2:$T$603,"S4")</f>
        <v/>
      </c>
    </row>
    <row r="23" ht="15" customHeight="1" s="45">
      <c r="A23" s="63" t="inlineStr">
        <is>
          <t>FAIL recorded without a severity (record defect)</t>
        </is>
      </c>
      <c r="B23" s="64">
        <f>COUNTIFS('QA Verification'!$H$2:$H$603,"FAIL",'QA Verification'!$T$2:$T$603,"")</f>
        <v/>
      </c>
    </row>
    <row r="24" ht="15" customHeight="1" s="45">
      <c r="A24" s="63" t="inlineStr">
        <is>
          <t>NOT EXAMINED recorded without a reason (record defect)</t>
        </is>
      </c>
      <c r="B24" s="64">
        <f>COUNTIFS('QA Verification'!$H$2:$H$603,"NOT EXAMINED",'QA Verification'!$W$2:$W$603,"")</f>
        <v/>
      </c>
    </row>
    <row r="26" ht="15" customHeight="1" s="45">
      <c r="A26" s="62" t="inlineStr">
        <is>
          <t>Check Register</t>
        </is>
      </c>
      <c r="B26" s="62" t="inlineStr">
        <is>
          <t>Count</t>
        </is>
      </c>
    </row>
    <row r="27" ht="15" customHeight="1" s="45">
      <c r="A27" s="63" t="inlineStr">
        <is>
          <t>PASS</t>
        </is>
      </c>
      <c r="B27" s="64">
        <f>COUNTIF('Check Register'!$J$2:$J$181,A27)</f>
        <v/>
      </c>
    </row>
    <row r="28" ht="15" customHeight="1" s="45">
      <c r="A28" s="63" t="inlineStr">
        <is>
          <t>FAIL</t>
        </is>
      </c>
      <c r="B28" s="64">
        <f>COUNTIF('Check Register'!$J$2:$J$181,A28)</f>
        <v/>
      </c>
    </row>
    <row r="29" ht="15" customHeight="1" s="45">
      <c r="A29" s="63" t="inlineStr">
        <is>
          <t>NOT BUILT</t>
        </is>
      </c>
      <c r="B29" s="64">
        <f>COUNTIF('Check Register'!$J$2:$J$181,A29)</f>
        <v/>
      </c>
    </row>
    <row r="30" ht="15" customHeight="1" s="45">
      <c r="A30" s="63" t="inlineStr">
        <is>
          <t>NOT VERIFIABLE</t>
        </is>
      </c>
      <c r="B30" s="64">
        <f>COUNTIF('Check Register'!$J$2:$J$181,A30)</f>
        <v/>
      </c>
    </row>
    <row r="31" ht="15" customHeight="1" s="45">
      <c r="A31" s="63" t="inlineStr">
        <is>
          <t>SOUND</t>
        </is>
      </c>
      <c r="B31" s="64">
        <f>COUNTIF('Check Register'!$J$2:$J$181,A31)</f>
        <v/>
      </c>
    </row>
    <row r="32" ht="15" customHeight="1" s="45">
      <c r="A32" s="63" t="inlineStr">
        <is>
          <t>DEFECT</t>
        </is>
      </c>
      <c r="B32" s="64">
        <f>COUNTIF('Check Register'!$J$2:$J$181,A32)</f>
        <v/>
      </c>
    </row>
    <row r="33" ht="15" customHeight="1" s="45">
      <c r="A33" s="63" t="inlineStr">
        <is>
          <t>NOT ASSESSABLE</t>
        </is>
      </c>
      <c r="B33" s="64">
        <f>COUNTIF('Check Register'!$J$2:$J$181,A33)</f>
        <v/>
      </c>
    </row>
    <row r="34" ht="15" customHeight="1" s="45">
      <c r="A34" s="63" t="inlineStr">
        <is>
          <t>(no verdict yet)</t>
        </is>
      </c>
      <c r="B34" s="64">
        <f>COUNTBLANK('Check Register'!$J$2:$J$181)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X6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4" min="1" max="1"/>
    <col width="16" customWidth="1" style="44" min="2" max="2"/>
    <col width="22" customWidth="1" style="44" min="3" max="3"/>
    <col width="16" customWidth="1" style="44" min="4" max="4"/>
    <col width="12" customWidth="1" style="44" min="5" max="5"/>
    <col width="60" customWidth="1" style="44" min="6" max="6"/>
    <col width="16" customWidth="1" style="44" min="7" max="7"/>
    <col width="14" customWidth="1" style="44" min="8" max="8"/>
    <col width="26" customWidth="1" style="44" min="9" max="9"/>
    <col width="14" customWidth="1" style="44" min="10" max="10"/>
    <col width="18" customWidth="1" style="44" min="11" max="11"/>
    <col width="14" customWidth="1" style="44" min="12" max="12"/>
    <col width="24" customWidth="1" style="44" min="13" max="13"/>
    <col width="18" customWidth="1" style="44" min="14" max="14"/>
    <col width="16" customWidth="1" style="44" min="15" max="15"/>
    <col width="12" customWidth="1" style="44" min="16" max="16"/>
    <col width="30" customWidth="1" style="44" min="17" max="17"/>
    <col width="16" customWidth="1" style="44" min="18" max="18"/>
    <col width="50" customWidth="1" style="44" min="19" max="19"/>
    <col width="12" customWidth="1" style="44" min="20" max="20"/>
    <col width="22" customWidth="1" style="44" min="21" max="21"/>
    <col width="20" customWidth="1" style="44" min="22" max="23"/>
    <col width="22" customWidth="1" style="44" min="24" max="24"/>
  </cols>
  <sheetData>
    <row r="1" ht="30" customHeight="1" s="45">
      <c r="A1" s="62" t="inlineStr">
        <is>
          <t>Rule ID</t>
        </is>
      </c>
      <c r="B1" s="62" t="inlineStr">
        <is>
          <t>Doc</t>
        </is>
      </c>
      <c r="C1" s="62" t="inlineStr">
        <is>
          <t>Status</t>
        </is>
      </c>
      <c r="D1" s="62" t="inlineStr">
        <is>
          <t>Primary verification class</t>
        </is>
      </c>
      <c r="E1" s="62" t="inlineStr">
        <is>
          <t>Secondary class</t>
        </is>
      </c>
      <c r="F1" s="62" t="inlineStr">
        <is>
          <t>Evidence required (primary)</t>
        </is>
      </c>
      <c r="G1" s="62" t="inlineStr">
        <is>
          <t>Sampling tier</t>
        </is>
      </c>
      <c r="H1" s="62" t="inlineStr">
        <is>
          <t>Auditor verdict</t>
        </is>
      </c>
      <c r="I1" s="62" t="inlineStr">
        <is>
          <t>Evidence examined (ref)</t>
        </is>
      </c>
      <c r="J1" s="62" t="inlineStr">
        <is>
          <t>Finding ref</t>
        </is>
      </c>
      <c r="K1" s="62" t="inlineStr">
        <is>
          <t>Normalised status</t>
        </is>
      </c>
      <c r="L1" s="62" t="inlineStr">
        <is>
          <t>Weight</t>
        </is>
      </c>
      <c r="M1" s="62" t="inlineStr">
        <is>
          <t>Statement basis</t>
        </is>
      </c>
      <c r="N1" s="62" t="inlineStr">
        <is>
          <t>§6 check ID(s)</t>
        </is>
      </c>
      <c r="O1" s="62" t="inlineStr">
        <is>
          <t>§6 class(es) — governs</t>
        </is>
      </c>
      <c r="P1" s="62" t="inlineStr">
        <is>
          <t>Effective class</t>
        </is>
      </c>
      <c r="Q1" s="62" t="inlineStr">
        <is>
          <t>Class basis</t>
        </is>
      </c>
      <c r="R1" s="62" t="inlineStr">
        <is>
          <t>Effective tier</t>
        </is>
      </c>
      <c r="S1" s="62" t="inlineStr">
        <is>
          <t>Observed (stated without evaluation)</t>
        </is>
      </c>
      <c r="T1" s="62" t="inlineStr">
        <is>
          <t>Severity (FAIL only)</t>
        </is>
      </c>
      <c r="U1" s="62" t="inlineStr">
        <is>
          <t>Commit · ratchet</t>
        </is>
      </c>
      <c r="V1" s="62" t="inlineStr">
        <is>
          <t>Rule-text quality (Part 0)</t>
        </is>
      </c>
      <c r="W1" s="62" t="inlineStr">
        <is>
          <t>NOT EXAMINED reason</t>
        </is>
      </c>
      <c r="X1" s="62" t="inlineStr">
        <is>
          <t>Reviewer re-performance</t>
        </is>
      </c>
    </row>
    <row r="2" ht="22.35" customHeight="1" s="45">
      <c r="A2" s="65" t="inlineStr">
        <is>
          <t>A5.1</t>
        </is>
      </c>
      <c r="B2" s="66" t="inlineStr">
        <is>
          <t>Doc 1</t>
        </is>
      </c>
      <c r="C2" s="66" t="inlineStr">
        <is>
          <t>CANON</t>
        </is>
      </c>
      <c r="D2" s="66" t="inlineStr">
        <is>
          <t>V7 — Document &amp; design inspection</t>
        </is>
      </c>
      <c r="E2" s="66" t="n"/>
      <c r="F2" s="66" t="inlineStr">
        <is>
          <t>Specification text against implementation description; provenance sections; objective card lines</t>
        </is>
      </c>
      <c r="G2" s="66" t="inlineStr">
        <is>
          <t>A — 100%</t>
        </is>
      </c>
      <c r="H2" s="67" t="n"/>
      <c r="I2" s="67" t="n"/>
      <c r="J2" s="67" t="n"/>
      <c r="K2" s="64">
        <f>IFERROR(INDEX('Status Map'!$B$2:$B$12,MATCH(C2,'Status Map'!$A$2:$A$12,0)),"UNDEFINED")</f>
        <v/>
      </c>
      <c r="L2" s="64">
        <f>IFERROR(INDEX('Status Map'!$C$2:$C$12,MATCH(C2,'Status Map'!$A$2:$A$12,0)),"UNDEFINED")</f>
        <v/>
      </c>
      <c r="M2" s="68" t="inlineStr">
        <is>
          <t>HEADING ONLY</t>
        </is>
      </c>
      <c r="N2" s="68" t="inlineStr">
        <is>
          <t>C-6.3.1</t>
        </is>
      </c>
      <c r="O2" s="68" t="inlineStr">
        <is>
          <t>V2</t>
        </is>
      </c>
      <c r="P2" s="64">
        <f>IF(O2&lt;&gt;"",O2,LEFT(D2,2))</f>
        <v/>
      </c>
      <c r="Q2" s="64">
        <f>IF(O2&lt;&gt;"","Standards §6",IF(M2="HEADING ONLY","Derived from heading — PROVISIONAL",IF(M2="TEXT NOT IN REGISTRY","No text to derive from — PROVISIONAL","Derived from registered statement")))</f>
        <v/>
      </c>
      <c r="R2" s="64">
        <f>IF(OR(LEFT(G2,1)="A",L2="COUNTS",ISNUMBER(SEARCH("V1",P2)),ISNUMBER(SEARCH("V2",P2)),ISNUMBER(SEARCH("V5",P2))),"A — 100%","B — sample ≥ 30%")</f>
        <v/>
      </c>
      <c r="S2" s="67" t="n"/>
      <c r="T2" s="67" t="n"/>
      <c r="U2" s="67" t="n"/>
      <c r="V2" s="67" t="n"/>
      <c r="W2" s="67" t="n"/>
      <c r="X2" s="67" t="n"/>
    </row>
    <row r="3" ht="22.35" customHeight="1" s="45">
      <c r="A3" s="65" t="inlineStr">
        <is>
          <t>A5.2</t>
        </is>
      </c>
      <c r="B3" s="66" t="inlineStr">
        <is>
          <t>Doc 1</t>
        </is>
      </c>
      <c r="C3" s="66" t="inlineStr">
        <is>
          <t>CANON</t>
        </is>
      </c>
      <c r="D3" s="66" t="inlineStr">
        <is>
          <t>V7 — Document &amp; design inspection</t>
        </is>
      </c>
      <c r="E3" s="66" t="n"/>
      <c r="F3" s="66" t="inlineStr">
        <is>
          <t>Specification text against implementation description; provenance sections; objective card lines</t>
        </is>
      </c>
      <c r="G3" s="66" t="inlineStr">
        <is>
          <t>A — 100%</t>
        </is>
      </c>
      <c r="H3" s="67" t="n"/>
      <c r="I3" s="67" t="n"/>
      <c r="J3" s="67" t="n"/>
      <c r="K3" s="64">
        <f>IFERROR(INDEX('Status Map'!$B$2:$B$12,MATCH(C3,'Status Map'!$A$2:$A$12,0)),"UNDEFINED")</f>
        <v/>
      </c>
      <c r="L3" s="64">
        <f>IFERROR(INDEX('Status Map'!$C$2:$C$12,MATCH(C3,'Status Map'!$A$2:$A$12,0)),"UNDEFINED")</f>
        <v/>
      </c>
      <c r="M3" s="68" t="inlineStr">
        <is>
          <t>HEADING ONLY</t>
        </is>
      </c>
      <c r="N3" s="68" t="n"/>
      <c r="O3" s="68" t="n"/>
      <c r="P3" s="64">
        <f>IF(O3&lt;&gt;"",O3,LEFT(D3,2))</f>
        <v/>
      </c>
      <c r="Q3" s="64">
        <f>IF(O3&lt;&gt;"","Standards §6",IF(M3="HEADING ONLY","Derived from heading — PROVISIONAL",IF(M3="TEXT NOT IN REGISTRY","No text to derive from — PROVISIONAL","Derived from registered statement")))</f>
        <v/>
      </c>
      <c r="R3" s="64">
        <f>IF(OR(LEFT(G3,1)="A",L3="COUNTS",ISNUMBER(SEARCH("V1",P3)),ISNUMBER(SEARCH("V2",P3)),ISNUMBER(SEARCH("V5",P3))),"A — 100%","B — sample ≥ 30%")</f>
        <v/>
      </c>
      <c r="S3" s="67" t="n"/>
      <c r="T3" s="67" t="n"/>
      <c r="U3" s="67" t="n"/>
      <c r="V3" s="67" t="n"/>
      <c r="W3" s="67" t="n"/>
      <c r="X3" s="67" t="n"/>
    </row>
    <row r="4" ht="22.35" customHeight="1" s="45">
      <c r="A4" s="65" t="inlineStr">
        <is>
          <t>A5.3</t>
        </is>
      </c>
      <c r="B4" s="66" t="inlineStr">
        <is>
          <t>Doc 1</t>
        </is>
      </c>
      <c r="C4" s="66" t="inlineStr">
        <is>
          <t>CANON</t>
        </is>
      </c>
      <c r="D4" s="66" t="inlineStr">
        <is>
          <t>V7 — Document &amp; design inspection</t>
        </is>
      </c>
      <c r="E4" s="66" t="n"/>
      <c r="F4" s="66" t="inlineStr">
        <is>
          <t>Specification text against implementation description; provenance sections; objective card lines</t>
        </is>
      </c>
      <c r="G4" s="66" t="inlineStr">
        <is>
          <t>A — 100%</t>
        </is>
      </c>
      <c r="H4" s="67" t="n"/>
      <c r="I4" s="67" t="n"/>
      <c r="J4" s="67" t="n"/>
      <c r="K4" s="64">
        <f>IFERROR(INDEX('Status Map'!$B$2:$B$12,MATCH(C4,'Status Map'!$A$2:$A$12,0)),"UNDEFINED")</f>
        <v/>
      </c>
      <c r="L4" s="64">
        <f>IFERROR(INDEX('Status Map'!$C$2:$C$12,MATCH(C4,'Status Map'!$A$2:$A$12,0)),"UNDEFINED")</f>
        <v/>
      </c>
      <c r="M4" s="68" t="inlineStr">
        <is>
          <t>HEADING ONLY</t>
        </is>
      </c>
      <c r="N4" s="68" t="n"/>
      <c r="O4" s="68" t="n"/>
      <c r="P4" s="64">
        <f>IF(O4&lt;&gt;"",O4,LEFT(D4,2))</f>
        <v/>
      </c>
      <c r="Q4" s="64">
        <f>IF(O4&lt;&gt;"","Standards §6",IF(M4="HEADING ONLY","Derived from heading — PROVISIONAL",IF(M4="TEXT NOT IN REGISTRY","No text to derive from — PROVISIONAL","Derived from registered statement")))</f>
        <v/>
      </c>
      <c r="R4" s="64">
        <f>IF(OR(LEFT(G4,1)="A",L4="COUNTS",ISNUMBER(SEARCH("V1",P4)),ISNUMBER(SEARCH("V2",P4)),ISNUMBER(SEARCH("V5",P4))),"A — 100%","B — sample ≥ 30%")</f>
        <v/>
      </c>
      <c r="S4" s="67" t="n"/>
      <c r="T4" s="67" t="n"/>
      <c r="U4" s="67" t="n"/>
      <c r="V4" s="67" t="n"/>
      <c r="W4" s="67" t="n"/>
      <c r="X4" s="67" t="n"/>
    </row>
    <row r="5" ht="22.35" customHeight="1" s="45">
      <c r="A5" s="65" t="inlineStr">
        <is>
          <t>A5.4</t>
        </is>
      </c>
      <c r="B5" s="66" t="inlineStr">
        <is>
          <t>Doc 1</t>
        </is>
      </c>
      <c r="C5" s="66" t="inlineStr">
        <is>
          <t>CANON</t>
        </is>
      </c>
      <c r="D5" s="66" t="inlineStr">
        <is>
          <t>V7 — Document &amp; design inspection</t>
        </is>
      </c>
      <c r="E5" s="66" t="n"/>
      <c r="F5" s="66" t="inlineStr">
        <is>
          <t>Specification text against implementation description; provenance sections; objective card lines</t>
        </is>
      </c>
      <c r="G5" s="66" t="inlineStr">
        <is>
          <t>A — 100%</t>
        </is>
      </c>
      <c r="H5" s="67" t="n"/>
      <c r="I5" s="67" t="n"/>
      <c r="J5" s="67" t="n"/>
      <c r="K5" s="64">
        <f>IFERROR(INDEX('Status Map'!$B$2:$B$12,MATCH(C5,'Status Map'!$A$2:$A$12,0)),"UNDEFINED")</f>
        <v/>
      </c>
      <c r="L5" s="64">
        <f>IFERROR(INDEX('Status Map'!$C$2:$C$12,MATCH(C5,'Status Map'!$A$2:$A$12,0)),"UNDEFINED")</f>
        <v/>
      </c>
      <c r="M5" s="68" t="inlineStr">
        <is>
          <t>HEADING ONLY</t>
        </is>
      </c>
      <c r="N5" s="68" t="n"/>
      <c r="O5" s="68" t="n"/>
      <c r="P5" s="64">
        <f>IF(O5&lt;&gt;"",O5,LEFT(D5,2))</f>
        <v/>
      </c>
      <c r="Q5" s="64">
        <f>IF(O5&lt;&gt;"","Standards §6",IF(M5="HEADING ONLY","Derived from heading — PROVISIONAL",IF(M5="TEXT NOT IN REGISTRY","No text to derive from — PROVISIONAL","Derived from registered statement")))</f>
        <v/>
      </c>
      <c r="R5" s="64">
        <f>IF(OR(LEFT(G5,1)="A",L5="COUNTS",ISNUMBER(SEARCH("V1",P5)),ISNUMBER(SEARCH("V2",P5)),ISNUMBER(SEARCH("V5",P5))),"A — 100%","B — sample ≥ 30%")</f>
        <v/>
      </c>
      <c r="S5" s="67" t="n"/>
      <c r="T5" s="67" t="n"/>
      <c r="U5" s="67" t="n"/>
      <c r="V5" s="67" t="n"/>
      <c r="W5" s="67" t="n"/>
      <c r="X5" s="67" t="n"/>
    </row>
    <row r="6" ht="22.35" customHeight="1" s="45">
      <c r="A6" s="65" t="inlineStr">
        <is>
          <t>A5.5</t>
        </is>
      </c>
      <c r="B6" s="66" t="inlineStr">
        <is>
          <t>Doc 1</t>
        </is>
      </c>
      <c r="C6" s="66" t="inlineStr">
        <is>
          <t>CANON</t>
        </is>
      </c>
      <c r="D6" s="66" t="inlineStr">
        <is>
          <t>V7 — Document &amp; design inspection</t>
        </is>
      </c>
      <c r="E6" s="66" t="n"/>
      <c r="F6" s="66" t="inlineStr">
        <is>
          <t>Specification text against implementation description; provenance sections; objective card lines</t>
        </is>
      </c>
      <c r="G6" s="66" t="inlineStr">
        <is>
          <t>A — 100%</t>
        </is>
      </c>
      <c r="H6" s="67" t="n"/>
      <c r="I6" s="67" t="n"/>
      <c r="J6" s="67" t="n"/>
      <c r="K6" s="64">
        <f>IFERROR(INDEX('Status Map'!$B$2:$B$12,MATCH(C6,'Status Map'!$A$2:$A$12,0)),"UNDEFINED")</f>
        <v/>
      </c>
      <c r="L6" s="64">
        <f>IFERROR(INDEX('Status Map'!$C$2:$C$12,MATCH(C6,'Status Map'!$A$2:$A$12,0)),"UNDEFINED")</f>
        <v/>
      </c>
      <c r="M6" s="68" t="inlineStr">
        <is>
          <t>HEADING ONLY</t>
        </is>
      </c>
      <c r="N6" s="68" t="n"/>
      <c r="O6" s="68" t="n"/>
      <c r="P6" s="64">
        <f>IF(O6&lt;&gt;"",O6,LEFT(D6,2))</f>
        <v/>
      </c>
      <c r="Q6" s="64">
        <f>IF(O6&lt;&gt;"","Standards §6",IF(M6="HEADING ONLY","Derived from heading — PROVISIONAL",IF(M6="TEXT NOT IN REGISTRY","No text to derive from — PROVISIONAL","Derived from registered statement")))</f>
        <v/>
      </c>
      <c r="R6" s="64">
        <f>IF(OR(LEFT(G6,1)="A",L6="COUNTS",ISNUMBER(SEARCH("V1",P6)),ISNUMBER(SEARCH("V2",P6)),ISNUMBER(SEARCH("V5",P6))),"A — 100%","B — sample ≥ 30%")</f>
        <v/>
      </c>
      <c r="S6" s="67" t="n"/>
      <c r="T6" s="67" t="n"/>
      <c r="U6" s="67" t="n"/>
      <c r="V6" s="67" t="n"/>
      <c r="W6" s="67" t="n"/>
      <c r="X6" s="67" t="n"/>
    </row>
    <row r="7" ht="22.35" customHeight="1" s="45">
      <c r="A7" s="65" t="inlineStr">
        <is>
          <t>A5.6</t>
        </is>
      </c>
      <c r="B7" s="66" t="inlineStr">
        <is>
          <t>Doc 1</t>
        </is>
      </c>
      <c r="C7" s="66" t="inlineStr">
        <is>
          <t>CANON</t>
        </is>
      </c>
      <c r="D7" s="66" t="inlineStr">
        <is>
          <t>V7 — Document &amp; design inspection</t>
        </is>
      </c>
      <c r="E7" s="66" t="n"/>
      <c r="F7" s="66" t="inlineStr">
        <is>
          <t>Specification text against implementation description; provenance sections; objective card lines</t>
        </is>
      </c>
      <c r="G7" s="66" t="inlineStr">
        <is>
          <t>A — 100%</t>
        </is>
      </c>
      <c r="H7" s="67" t="n"/>
      <c r="I7" s="67" t="n"/>
      <c r="J7" s="67" t="n"/>
      <c r="K7" s="64">
        <f>IFERROR(INDEX('Status Map'!$B$2:$B$12,MATCH(C7,'Status Map'!$A$2:$A$12,0)),"UNDEFINED")</f>
        <v/>
      </c>
      <c r="L7" s="64">
        <f>IFERROR(INDEX('Status Map'!$C$2:$C$12,MATCH(C7,'Status Map'!$A$2:$A$12,0)),"UNDEFINED")</f>
        <v/>
      </c>
      <c r="M7" s="68" t="inlineStr">
        <is>
          <t>HEADING ONLY</t>
        </is>
      </c>
      <c r="N7" s="68" t="n"/>
      <c r="O7" s="68" t="n"/>
      <c r="P7" s="64">
        <f>IF(O7&lt;&gt;"",O7,LEFT(D7,2))</f>
        <v/>
      </c>
      <c r="Q7" s="64">
        <f>IF(O7&lt;&gt;"","Standards §6",IF(M7="HEADING ONLY","Derived from heading — PROVISIONAL",IF(M7="TEXT NOT IN REGISTRY","No text to derive from — PROVISIONAL","Derived from registered statement")))</f>
        <v/>
      </c>
      <c r="R7" s="64">
        <f>IF(OR(LEFT(G7,1)="A",L7="COUNTS",ISNUMBER(SEARCH("V1",P7)),ISNUMBER(SEARCH("V2",P7)),ISNUMBER(SEARCH("V5",P7))),"A — 100%","B — sample ≥ 30%")</f>
        <v/>
      </c>
      <c r="S7" s="67" t="n"/>
      <c r="T7" s="67" t="n"/>
      <c r="U7" s="67" t="n"/>
      <c r="V7" s="67" t="n"/>
      <c r="W7" s="67" t="n"/>
      <c r="X7" s="67" t="n"/>
    </row>
    <row r="8" ht="22.35" customHeight="1" s="45">
      <c r="A8" s="65" t="inlineStr">
        <is>
          <t>A5.7</t>
        </is>
      </c>
      <c r="B8" s="66" t="inlineStr">
        <is>
          <t>Doc 1</t>
        </is>
      </c>
      <c r="C8" s="66" t="inlineStr">
        <is>
          <t>CANON</t>
        </is>
      </c>
      <c r="D8" s="66" t="inlineStr">
        <is>
          <t>V3 — Record evidence</t>
        </is>
      </c>
      <c r="E8" s="66" t="n"/>
      <c r="F8" s="66" t="inlineStr">
        <is>
          <t>Ledger rows inspected; hash-chain verifier receipt; refused operations present on identical terms</t>
        </is>
      </c>
      <c r="G8" s="66" t="inlineStr">
        <is>
          <t>A — 100%</t>
        </is>
      </c>
      <c r="H8" s="67" t="n"/>
      <c r="I8" s="67" t="n"/>
      <c r="J8" s="67" t="n"/>
      <c r="K8" s="64">
        <f>IFERROR(INDEX('Status Map'!$B$2:$B$12,MATCH(C8,'Status Map'!$A$2:$A$12,0)),"UNDEFINED")</f>
        <v/>
      </c>
      <c r="L8" s="64">
        <f>IFERROR(INDEX('Status Map'!$C$2:$C$12,MATCH(C8,'Status Map'!$A$2:$A$12,0)),"UNDEFINED")</f>
        <v/>
      </c>
      <c r="M8" s="68" t="inlineStr">
        <is>
          <t>HEADING ONLY</t>
        </is>
      </c>
      <c r="N8" s="68" t="inlineStr">
        <is>
          <t>C-6.3.6</t>
        </is>
      </c>
      <c r="O8" s="68" t="inlineStr">
        <is>
          <t>V3</t>
        </is>
      </c>
      <c r="P8" s="64">
        <f>IF(O8&lt;&gt;"",O8,LEFT(D8,2))</f>
        <v/>
      </c>
      <c r="Q8" s="64">
        <f>IF(O8&lt;&gt;"","Standards §6",IF(M8="HEADING ONLY","Derived from heading — PROVISIONAL",IF(M8="TEXT NOT IN REGISTRY","No text to derive from — PROVISIONAL","Derived from registered statement")))</f>
        <v/>
      </c>
      <c r="R8" s="64">
        <f>IF(OR(LEFT(G8,1)="A",L8="COUNTS",ISNUMBER(SEARCH("V1",P8)),ISNUMBER(SEARCH("V2",P8)),ISNUMBER(SEARCH("V5",P8))),"A — 100%","B — sample ≥ 30%")</f>
        <v/>
      </c>
      <c r="S8" s="67" t="n"/>
      <c r="T8" s="67" t="n"/>
      <c r="U8" s="67" t="n"/>
      <c r="V8" s="67" t="n"/>
      <c r="W8" s="67" t="n"/>
      <c r="X8" s="67" t="n"/>
    </row>
    <row r="9" ht="22.35" customHeight="1" s="45">
      <c r="A9" s="65" t="inlineStr">
        <is>
          <t>A5.8</t>
        </is>
      </c>
      <c r="B9" s="66" t="inlineStr">
        <is>
          <t>Doc 1</t>
        </is>
      </c>
      <c r="C9" s="66" t="inlineStr">
        <is>
          <t>CANON</t>
        </is>
      </c>
      <c r="D9" s="66" t="inlineStr">
        <is>
          <t>V3 — Record evidence</t>
        </is>
      </c>
      <c r="E9" s="66" t="n"/>
      <c r="F9" s="66" t="inlineStr">
        <is>
          <t>Ledger rows inspected; hash-chain verifier receipt; refused operations present on identical terms</t>
        </is>
      </c>
      <c r="G9" s="66" t="inlineStr">
        <is>
          <t>A — 100%</t>
        </is>
      </c>
      <c r="H9" s="67" t="n"/>
      <c r="I9" s="67" t="n"/>
      <c r="J9" s="67" t="n"/>
      <c r="K9" s="64">
        <f>IFERROR(INDEX('Status Map'!$B$2:$B$12,MATCH(C9,'Status Map'!$A$2:$A$12,0)),"UNDEFINED")</f>
        <v/>
      </c>
      <c r="L9" s="64">
        <f>IFERROR(INDEX('Status Map'!$C$2:$C$12,MATCH(C9,'Status Map'!$A$2:$A$12,0)),"UNDEFINED")</f>
        <v/>
      </c>
      <c r="M9" s="68" t="inlineStr">
        <is>
          <t>HEADING ONLY</t>
        </is>
      </c>
      <c r="N9" s="68" t="n"/>
      <c r="O9" s="68" t="n"/>
      <c r="P9" s="64">
        <f>IF(O9&lt;&gt;"",O9,LEFT(D9,2))</f>
        <v/>
      </c>
      <c r="Q9" s="64">
        <f>IF(O9&lt;&gt;"","Standards §6",IF(M9="HEADING ONLY","Derived from heading — PROVISIONAL",IF(M9="TEXT NOT IN REGISTRY","No text to derive from — PROVISIONAL","Derived from registered statement")))</f>
        <v/>
      </c>
      <c r="R9" s="64">
        <f>IF(OR(LEFT(G9,1)="A",L9="COUNTS",ISNUMBER(SEARCH("V1",P9)),ISNUMBER(SEARCH("V2",P9)),ISNUMBER(SEARCH("V5",P9))),"A — 100%","B — sample ≥ 30%")</f>
        <v/>
      </c>
      <c r="S9" s="67" t="n"/>
      <c r="T9" s="67" t="n"/>
      <c r="U9" s="67" t="n"/>
      <c r="V9" s="67" t="n"/>
      <c r="W9" s="67" t="n"/>
      <c r="X9" s="67" t="n"/>
    </row>
    <row r="10" ht="32.8" customHeight="1" s="45">
      <c r="A10" s="65" t="inlineStr">
        <is>
          <t>A5.9</t>
        </is>
      </c>
      <c r="B10" s="66" t="inlineStr">
        <is>
          <t>Doc 1</t>
        </is>
      </c>
      <c r="C10" s="66" t="inlineStr">
        <is>
          <t>CANON</t>
        </is>
      </c>
      <c r="D10" s="66" t="inlineStr">
        <is>
          <t>V5 — Failure-injection demonstration</t>
        </is>
      </c>
      <c r="E10" s="66" t="n"/>
      <c r="F10" s="66" t="inlineStr">
        <is>
          <t>Dependency made unreachable or check made to error; observed refusal; no result returned; stale marker where degradation is the ruled posture</t>
        </is>
      </c>
      <c r="G10" s="66" t="inlineStr">
        <is>
          <t>A — 100%</t>
        </is>
      </c>
      <c r="H10" s="67" t="n"/>
      <c r="I10" s="67" t="n"/>
      <c r="J10" s="67" t="n"/>
      <c r="K10" s="64">
        <f>IFERROR(INDEX('Status Map'!$B$2:$B$12,MATCH(C10,'Status Map'!$A$2:$A$12,0)),"UNDEFINED")</f>
        <v/>
      </c>
      <c r="L10" s="64">
        <f>IFERROR(INDEX('Status Map'!$C$2:$C$12,MATCH(C10,'Status Map'!$A$2:$A$12,0)),"UNDEFINED")</f>
        <v/>
      </c>
      <c r="M10" s="68" t="inlineStr">
        <is>
          <t>HEADING ONLY</t>
        </is>
      </c>
      <c r="N10" s="68" t="n"/>
      <c r="O10" s="68" t="n"/>
      <c r="P10" s="64">
        <f>IF(O10&lt;&gt;"",O10,LEFT(D10,2))</f>
        <v/>
      </c>
      <c r="Q10" s="64">
        <f>IF(O10&lt;&gt;"","Standards §6",IF(M10="HEADING ONLY","Derived from heading — PROVISIONAL",IF(M10="TEXT NOT IN REGISTRY","No text to derive from — PROVISIONAL","Derived from registered statement")))</f>
        <v/>
      </c>
      <c r="R10" s="64">
        <f>IF(OR(LEFT(G10,1)="A",L10="COUNTS",ISNUMBER(SEARCH("V1",P10)),ISNUMBER(SEARCH("V2",P10)),ISNUMBER(SEARCH("V5",P10))),"A — 100%","B — sample ≥ 30%")</f>
        <v/>
      </c>
      <c r="S10" s="67" t="n"/>
      <c r="T10" s="67" t="n"/>
      <c r="U10" s="67" t="n"/>
      <c r="V10" s="67" t="n"/>
      <c r="W10" s="67" t="n"/>
      <c r="X10" s="67" t="n"/>
    </row>
    <row r="11" ht="22.35" customHeight="1" s="45">
      <c r="A11" s="65" t="inlineStr">
        <is>
          <t>A5.1</t>
        </is>
      </c>
      <c r="B11" s="66" t="inlineStr">
        <is>
          <t>Doc 2</t>
        </is>
      </c>
      <c r="C11" s="66" t="inlineStr">
        <is>
          <t>CANON</t>
        </is>
      </c>
      <c r="D11" s="66" t="inlineStr">
        <is>
          <t>V7 — Document &amp; design inspection</t>
        </is>
      </c>
      <c r="E11" s="66" t="n"/>
      <c r="F11" s="66" t="inlineStr">
        <is>
          <t>Specification text against implementation description; provenance sections; objective card lines</t>
        </is>
      </c>
      <c r="G11" s="66" t="inlineStr">
        <is>
          <t>B — sample ≥ 30%</t>
        </is>
      </c>
      <c r="H11" s="67" t="n"/>
      <c r="I11" s="67" t="n"/>
      <c r="J11" s="67" t="n"/>
      <c r="K11" s="64">
        <f>IFERROR(INDEX('Status Map'!$B$2:$B$12,MATCH(C11,'Status Map'!$A$2:$A$12,0)),"UNDEFINED")</f>
        <v/>
      </c>
      <c r="L11" s="64">
        <f>IFERROR(INDEX('Status Map'!$C$2:$C$12,MATCH(C11,'Status Map'!$A$2:$A$12,0)),"UNDEFINED")</f>
        <v/>
      </c>
      <c r="M11" s="68" t="inlineStr">
        <is>
          <t>HEADING ONLY</t>
        </is>
      </c>
      <c r="N11" s="68" t="n"/>
      <c r="O11" s="68" t="n"/>
      <c r="P11" s="64">
        <f>IF(O11&lt;&gt;"",O11,LEFT(D11,2))</f>
        <v/>
      </c>
      <c r="Q11" s="64">
        <f>IF(O11&lt;&gt;"","Standards §6",IF(M11="HEADING ONLY","Derived from heading — PROVISIONAL",IF(M11="TEXT NOT IN REGISTRY","No text to derive from — PROVISIONAL","Derived from registered statement")))</f>
        <v/>
      </c>
      <c r="R11" s="64">
        <f>IF(OR(LEFT(G11,1)="A",L11="COUNTS",ISNUMBER(SEARCH("V1",P11)),ISNUMBER(SEARCH("V2",P11)),ISNUMBER(SEARCH("V5",P11))),"A — 100%","B — sample ≥ 30%")</f>
        <v/>
      </c>
      <c r="S11" s="67" t="n"/>
      <c r="T11" s="67" t="n"/>
      <c r="U11" s="67" t="n"/>
      <c r="V11" s="67" t="n"/>
      <c r="W11" s="67" t="n"/>
      <c r="X11" s="67" t="n"/>
    </row>
    <row r="12" ht="22.35" customHeight="1" s="45">
      <c r="A12" s="65" t="inlineStr">
        <is>
          <t>A5.2</t>
        </is>
      </c>
      <c r="B12" s="66" t="inlineStr">
        <is>
          <t>Doc 2</t>
        </is>
      </c>
      <c r="C12" s="66" t="inlineStr">
        <is>
          <t>PROPOSED</t>
        </is>
      </c>
      <c r="D12" s="66" t="inlineStr">
        <is>
          <t>V7 — Document &amp; design inspection</t>
        </is>
      </c>
      <c r="E12" s="66" t="n"/>
      <c r="F12" s="66" t="inlineStr">
        <is>
          <t>Specification text against implementation description; provenance sections; objective card lines</t>
        </is>
      </c>
      <c r="G12" s="66" t="inlineStr">
        <is>
          <t>B — sample ≥ 30%</t>
        </is>
      </c>
      <c r="H12" s="67" t="n"/>
      <c r="I12" s="67" t="n"/>
      <c r="J12" s="67" t="n"/>
      <c r="K12" s="64">
        <f>IFERROR(INDEX('Status Map'!$B$2:$B$12,MATCH(C12,'Status Map'!$A$2:$A$12,0)),"UNDEFINED")</f>
        <v/>
      </c>
      <c r="L12" s="64">
        <f>IFERROR(INDEX('Status Map'!$C$2:$C$12,MATCH(C12,'Status Map'!$A$2:$A$12,0)),"UNDEFINED")</f>
        <v/>
      </c>
      <c r="M12" s="68" t="inlineStr">
        <is>
          <t>HEADING ONLY</t>
        </is>
      </c>
      <c r="N12" s="68" t="n"/>
      <c r="O12" s="68" t="n"/>
      <c r="P12" s="64">
        <f>IF(O12&lt;&gt;"",O12,LEFT(D12,2))</f>
        <v/>
      </c>
      <c r="Q12" s="64">
        <f>IF(O12&lt;&gt;"","Standards §6",IF(M12="HEADING ONLY","Derived from heading — PROVISIONAL",IF(M12="TEXT NOT IN REGISTRY","No text to derive from — PROVISIONAL","Derived from registered statement")))</f>
        <v/>
      </c>
      <c r="R12" s="64">
        <f>IF(OR(LEFT(G12,1)="A",L12="COUNTS",ISNUMBER(SEARCH("V1",P12)),ISNUMBER(SEARCH("V2",P12)),ISNUMBER(SEARCH("V5",P12))),"A — 100%","B — sample ≥ 30%")</f>
        <v/>
      </c>
      <c r="S12" s="67" t="n"/>
      <c r="T12" s="67" t="n"/>
      <c r="U12" s="67" t="n"/>
      <c r="V12" s="67" t="n"/>
      <c r="W12" s="67" t="n"/>
      <c r="X12" s="67" t="n"/>
    </row>
    <row r="13" ht="22.35" customHeight="1" s="45">
      <c r="A13" s="65" t="inlineStr">
        <is>
          <t>A5.3</t>
        </is>
      </c>
      <c r="B13" s="66" t="inlineStr">
        <is>
          <t>Doc 2</t>
        </is>
      </c>
      <c r="C13" s="66" t="inlineStr">
        <is>
          <t>—</t>
        </is>
      </c>
      <c r="D13" s="66" t="inlineStr">
        <is>
          <t>V7 — Document &amp; design inspection</t>
        </is>
      </c>
      <c r="E13" s="66" t="n"/>
      <c r="F13" s="66" t="inlineStr">
        <is>
          <t>Specification text against implementation description; provenance sections; objective card lines</t>
        </is>
      </c>
      <c r="G13" s="66" t="inlineStr">
        <is>
          <t>B — sample ≥ 30%</t>
        </is>
      </c>
      <c r="H13" s="67" t="n"/>
      <c r="I13" s="67" t="n"/>
      <c r="J13" s="67" t="n"/>
      <c r="K13" s="64">
        <f>IFERROR(INDEX('Status Map'!$B$2:$B$12,MATCH(C13,'Status Map'!$A$2:$A$12,0)),"UNDEFINED")</f>
        <v/>
      </c>
      <c r="L13" s="64">
        <f>IFERROR(INDEX('Status Map'!$C$2:$C$12,MATCH(C13,'Status Map'!$A$2:$A$12,0)),"UNDEFINED")</f>
        <v/>
      </c>
      <c r="M13" s="68" t="inlineStr">
        <is>
          <t>HEADING ONLY</t>
        </is>
      </c>
      <c r="N13" s="68" t="n"/>
      <c r="O13" s="68" t="n"/>
      <c r="P13" s="64">
        <f>IF(O13&lt;&gt;"",O13,LEFT(D13,2))</f>
        <v/>
      </c>
      <c r="Q13" s="64">
        <f>IF(O13&lt;&gt;"","Standards §6",IF(M13="HEADING ONLY","Derived from heading — PROVISIONAL",IF(M13="TEXT NOT IN REGISTRY","No text to derive from — PROVISIONAL","Derived from registered statement")))</f>
        <v/>
      </c>
      <c r="R13" s="64">
        <f>IF(OR(LEFT(G13,1)="A",L13="COUNTS",ISNUMBER(SEARCH("V1",P13)),ISNUMBER(SEARCH("V2",P13)),ISNUMBER(SEARCH("V5",P13))),"A — 100%","B — sample ≥ 30%")</f>
        <v/>
      </c>
      <c r="S13" s="67" t="n"/>
      <c r="T13" s="67" t="n"/>
      <c r="U13" s="67" t="n"/>
      <c r="V13" s="67" t="n"/>
      <c r="W13" s="67" t="n"/>
      <c r="X13" s="67" t="n"/>
    </row>
    <row r="14" ht="22.35" customHeight="1" s="45">
      <c r="A14" s="65" t="inlineStr">
        <is>
          <t>A5.4</t>
        </is>
      </c>
      <c r="B14" s="66" t="inlineStr">
        <is>
          <t>Doc 2</t>
        </is>
      </c>
      <c r="C14" s="66" t="inlineStr">
        <is>
          <t>CANON</t>
        </is>
      </c>
      <c r="D14" s="66" t="inlineStr">
        <is>
          <t>V4 — Governance-record evidence</t>
        </is>
      </c>
      <c r="E14" s="66" t="n"/>
      <c r="F14" s="66" t="inlineStr">
        <is>
          <t>DECISIONS.md entry; ceremony record with tier, countersign, countdown, apply, re-verify; canon_ref present</t>
        </is>
      </c>
      <c r="G14" s="66" t="inlineStr">
        <is>
          <t>B — sample ≥ 30%</t>
        </is>
      </c>
      <c r="H14" s="67" t="n"/>
      <c r="I14" s="67" t="n"/>
      <c r="J14" s="67" t="n"/>
      <c r="K14" s="64">
        <f>IFERROR(INDEX('Status Map'!$B$2:$B$12,MATCH(C14,'Status Map'!$A$2:$A$12,0)),"UNDEFINED")</f>
        <v/>
      </c>
      <c r="L14" s="64">
        <f>IFERROR(INDEX('Status Map'!$C$2:$C$12,MATCH(C14,'Status Map'!$A$2:$A$12,0)),"UNDEFINED")</f>
        <v/>
      </c>
      <c r="M14" s="68" t="inlineStr">
        <is>
          <t>HEADING ONLY</t>
        </is>
      </c>
      <c r="N14" s="68" t="n"/>
      <c r="O14" s="68" t="n"/>
      <c r="P14" s="64">
        <f>IF(O14&lt;&gt;"",O14,LEFT(D14,2))</f>
        <v/>
      </c>
      <c r="Q14" s="64">
        <f>IF(O14&lt;&gt;"","Standards §6",IF(M14="HEADING ONLY","Derived from heading — PROVISIONAL",IF(M14="TEXT NOT IN REGISTRY","No text to derive from — PROVISIONAL","Derived from registered statement")))</f>
        <v/>
      </c>
      <c r="R14" s="64">
        <f>IF(OR(LEFT(G14,1)="A",L14="COUNTS",ISNUMBER(SEARCH("V1",P14)),ISNUMBER(SEARCH("V2",P14)),ISNUMBER(SEARCH("V5",P14))),"A — 100%","B — sample ≥ 30%")</f>
        <v/>
      </c>
      <c r="S14" s="67" t="n"/>
      <c r="T14" s="67" t="n"/>
      <c r="U14" s="67" t="n"/>
      <c r="V14" s="67" t="n"/>
      <c r="W14" s="67" t="n"/>
      <c r="X14" s="67" t="n"/>
    </row>
    <row r="15" ht="22.35" customHeight="1" s="45">
      <c r="A15" s="65" t="inlineStr">
        <is>
          <t>A5.5</t>
        </is>
      </c>
      <c r="B15" s="66" t="inlineStr">
        <is>
          <t>Doc 2</t>
        </is>
      </c>
      <c r="C15" s="66" t="inlineStr">
        <is>
          <t>CANON</t>
        </is>
      </c>
      <c r="D15" s="66" t="inlineStr">
        <is>
          <t>V7 — Document &amp; design inspection</t>
        </is>
      </c>
      <c r="E15" s="66" t="n"/>
      <c r="F15" s="66" t="inlineStr">
        <is>
          <t>Specification text against implementation description; provenance sections; objective card lines</t>
        </is>
      </c>
      <c r="G15" s="66" t="inlineStr">
        <is>
          <t>B — sample ≥ 30%</t>
        </is>
      </c>
      <c r="H15" s="67" t="n"/>
      <c r="I15" s="67" t="n"/>
      <c r="J15" s="67" t="n"/>
      <c r="K15" s="64">
        <f>IFERROR(INDEX('Status Map'!$B$2:$B$12,MATCH(C15,'Status Map'!$A$2:$A$12,0)),"UNDEFINED")</f>
        <v/>
      </c>
      <c r="L15" s="64">
        <f>IFERROR(INDEX('Status Map'!$C$2:$C$12,MATCH(C15,'Status Map'!$A$2:$A$12,0)),"UNDEFINED")</f>
        <v/>
      </c>
      <c r="M15" s="68" t="inlineStr">
        <is>
          <t>HEADING ONLY</t>
        </is>
      </c>
      <c r="N15" s="68" t="n"/>
      <c r="O15" s="68" t="n"/>
      <c r="P15" s="64">
        <f>IF(O15&lt;&gt;"",O15,LEFT(D15,2))</f>
        <v/>
      </c>
      <c r="Q15" s="64">
        <f>IF(O15&lt;&gt;"","Standards §6",IF(M15="HEADING ONLY","Derived from heading — PROVISIONAL",IF(M15="TEXT NOT IN REGISTRY","No text to derive from — PROVISIONAL","Derived from registered statement")))</f>
        <v/>
      </c>
      <c r="R15" s="64">
        <f>IF(OR(LEFT(G15,1)="A",L15="COUNTS",ISNUMBER(SEARCH("V1",P15)),ISNUMBER(SEARCH("V2",P15)),ISNUMBER(SEARCH("V5",P15))),"A — 100%","B — sample ≥ 30%")</f>
        <v/>
      </c>
      <c r="S15" s="67" t="n"/>
      <c r="T15" s="67" t="n"/>
      <c r="U15" s="67" t="n"/>
      <c r="V15" s="67" t="n"/>
      <c r="W15" s="67" t="n"/>
      <c r="X15" s="67" t="n"/>
    </row>
    <row r="16" ht="22.35" customHeight="1" s="45">
      <c r="A16" s="65" t="inlineStr">
        <is>
          <t>B5.1</t>
        </is>
      </c>
      <c r="B16" s="66" t="inlineStr">
        <is>
          <t>Doc 1</t>
        </is>
      </c>
      <c r="C16" s="66" t="inlineStr">
        <is>
          <t>RULED</t>
        </is>
      </c>
      <c r="D16" s="66" t="inlineStr">
        <is>
          <t>V7 — Document &amp; design inspection</t>
        </is>
      </c>
      <c r="E16" s="66" t="n"/>
      <c r="F16" s="66" t="inlineStr">
        <is>
          <t>Specification text against implementation description; provenance sections; objective card lines</t>
        </is>
      </c>
      <c r="G16" s="66" t="inlineStr">
        <is>
          <t>A — 100%</t>
        </is>
      </c>
      <c r="H16" s="67" t="n"/>
      <c r="I16" s="67" t="n"/>
      <c r="J16" s="67" t="n"/>
      <c r="K16" s="64">
        <f>IFERROR(INDEX('Status Map'!$B$2:$B$12,MATCH(C16,'Status Map'!$A$2:$A$12,0)),"UNDEFINED")</f>
        <v/>
      </c>
      <c r="L16" s="64">
        <f>IFERROR(INDEX('Status Map'!$C$2:$C$12,MATCH(C16,'Status Map'!$A$2:$A$12,0)),"UNDEFINED")</f>
        <v/>
      </c>
      <c r="M16" s="68" t="inlineStr">
        <is>
          <t>HEADING ONLY</t>
        </is>
      </c>
      <c r="N16" s="68" t="n"/>
      <c r="O16" s="68" t="n"/>
      <c r="P16" s="64">
        <f>IF(O16&lt;&gt;"",O16,LEFT(D16,2))</f>
        <v/>
      </c>
      <c r="Q16" s="64">
        <f>IF(O16&lt;&gt;"","Standards §6",IF(M16="HEADING ONLY","Derived from heading — PROVISIONAL",IF(M16="TEXT NOT IN REGISTRY","No text to derive from — PROVISIONAL","Derived from registered statement")))</f>
        <v/>
      </c>
      <c r="R16" s="64">
        <f>IF(OR(LEFT(G16,1)="A",L16="COUNTS",ISNUMBER(SEARCH("V1",P16)),ISNUMBER(SEARCH("V2",P16)),ISNUMBER(SEARCH("V5",P16))),"A — 100%","B — sample ≥ 30%")</f>
        <v/>
      </c>
      <c r="S16" s="67" t="n"/>
      <c r="T16" s="67" t="n"/>
      <c r="U16" s="67" t="n"/>
      <c r="V16" s="67" t="n"/>
      <c r="W16" s="67" t="n"/>
      <c r="X16" s="67" t="n"/>
    </row>
    <row r="17" ht="22.35" customHeight="1" s="45">
      <c r="A17" s="65" t="inlineStr">
        <is>
          <t>B5.2</t>
        </is>
      </c>
      <c r="B17" s="66" t="inlineStr">
        <is>
          <t>Doc 1</t>
        </is>
      </c>
      <c r="C17" s="66" t="inlineStr">
        <is>
          <t>—</t>
        </is>
      </c>
      <c r="D17" s="66" t="inlineStr">
        <is>
          <t>V6 — Surface inspection</t>
        </is>
      </c>
      <c r="E17" s="66" t="n"/>
      <c r="F17" s="66" t="inlineStr">
        <is>
          <t>DOM-bound substitution rule or harness receipt; fixed string verbatim; honest-gap variant rendered on null</t>
        </is>
      </c>
      <c r="G17" s="66" t="inlineStr">
        <is>
          <t>A — 100%</t>
        </is>
      </c>
      <c r="H17" s="67" t="n"/>
      <c r="I17" s="67" t="n"/>
      <c r="J17" s="67" t="n"/>
      <c r="K17" s="64">
        <f>IFERROR(INDEX('Status Map'!$B$2:$B$12,MATCH(C17,'Status Map'!$A$2:$A$12,0)),"UNDEFINED")</f>
        <v/>
      </c>
      <c r="L17" s="64">
        <f>IFERROR(INDEX('Status Map'!$C$2:$C$12,MATCH(C17,'Status Map'!$A$2:$A$12,0)),"UNDEFINED")</f>
        <v/>
      </c>
      <c r="M17" s="68" t="inlineStr">
        <is>
          <t>HEADING ONLY</t>
        </is>
      </c>
      <c r="N17" s="68" t="n"/>
      <c r="O17" s="68" t="n"/>
      <c r="P17" s="64">
        <f>IF(O17&lt;&gt;"",O17,LEFT(D17,2))</f>
        <v/>
      </c>
      <c r="Q17" s="64">
        <f>IF(O17&lt;&gt;"","Standards §6",IF(M17="HEADING ONLY","Derived from heading — PROVISIONAL",IF(M17="TEXT NOT IN REGISTRY","No text to derive from — PROVISIONAL","Derived from registered statement")))</f>
        <v/>
      </c>
      <c r="R17" s="64">
        <f>IF(OR(LEFT(G17,1)="A",L17="COUNTS",ISNUMBER(SEARCH("V1",P17)),ISNUMBER(SEARCH("V2",P17)),ISNUMBER(SEARCH("V5",P17))),"A — 100%","B — sample ≥ 30%")</f>
        <v/>
      </c>
      <c r="S17" s="67" t="n"/>
      <c r="T17" s="67" t="n"/>
      <c r="U17" s="67" t="n"/>
      <c r="V17" s="67" t="n"/>
      <c r="W17" s="67" t="n"/>
      <c r="X17" s="67" t="n"/>
    </row>
    <row r="18" ht="22.35" customHeight="1" s="45">
      <c r="A18" s="65" t="inlineStr">
        <is>
          <t>B5.3</t>
        </is>
      </c>
      <c r="B18" s="66" t="inlineStr">
        <is>
          <t>Doc 1</t>
        </is>
      </c>
      <c r="C18" s="66" t="inlineStr">
        <is>
          <t>CANON</t>
        </is>
      </c>
      <c r="D18" s="66" t="inlineStr">
        <is>
          <t>V7 — Document &amp; design inspection</t>
        </is>
      </c>
      <c r="E18" s="66" t="n"/>
      <c r="F18" s="66" t="inlineStr">
        <is>
          <t>Specification text against implementation description; provenance sections; objective card lines</t>
        </is>
      </c>
      <c r="G18" s="66" t="inlineStr">
        <is>
          <t>A — 100%</t>
        </is>
      </c>
      <c r="H18" s="67" t="n"/>
      <c r="I18" s="67" t="n"/>
      <c r="J18" s="67" t="n"/>
      <c r="K18" s="64">
        <f>IFERROR(INDEX('Status Map'!$B$2:$B$12,MATCH(C18,'Status Map'!$A$2:$A$12,0)),"UNDEFINED")</f>
        <v/>
      </c>
      <c r="L18" s="64">
        <f>IFERROR(INDEX('Status Map'!$C$2:$C$12,MATCH(C18,'Status Map'!$A$2:$A$12,0)),"UNDEFINED")</f>
        <v/>
      </c>
      <c r="M18" s="68" t="inlineStr">
        <is>
          <t>HEADING ONLY</t>
        </is>
      </c>
      <c r="N18" s="68" t="n"/>
      <c r="O18" s="68" t="n"/>
      <c r="P18" s="64">
        <f>IF(O18&lt;&gt;"",O18,LEFT(D18,2))</f>
        <v/>
      </c>
      <c r="Q18" s="64">
        <f>IF(O18&lt;&gt;"","Standards §6",IF(M18="HEADING ONLY","Derived from heading — PROVISIONAL",IF(M18="TEXT NOT IN REGISTRY","No text to derive from — PROVISIONAL","Derived from registered statement")))</f>
        <v/>
      </c>
      <c r="R18" s="64">
        <f>IF(OR(LEFT(G18,1)="A",L18="COUNTS",ISNUMBER(SEARCH("V1",P18)),ISNUMBER(SEARCH("V2",P18)),ISNUMBER(SEARCH("V5",P18))),"A — 100%","B — sample ≥ 30%")</f>
        <v/>
      </c>
      <c r="S18" s="67" t="n"/>
      <c r="T18" s="67" t="n"/>
      <c r="U18" s="67" t="n"/>
      <c r="V18" s="67" t="n"/>
      <c r="W18" s="67" t="n"/>
      <c r="X18" s="67" t="n"/>
    </row>
    <row r="19" ht="22.35" customHeight="1" s="45">
      <c r="A19" s="65" t="inlineStr">
        <is>
          <t>B5.4</t>
        </is>
      </c>
      <c r="B19" s="66" t="inlineStr">
        <is>
          <t>Doc 1</t>
        </is>
      </c>
      <c r="C19" s="66" t="inlineStr">
        <is>
          <t>CANON</t>
        </is>
      </c>
      <c r="D19" s="66" t="inlineStr">
        <is>
          <t>V3 — Record evidence</t>
        </is>
      </c>
      <c r="E19" s="66" t="n"/>
      <c r="F19" s="66" t="inlineStr">
        <is>
          <t>Ledger rows inspected; hash-chain verifier receipt; refused operations present on identical terms</t>
        </is>
      </c>
      <c r="G19" s="66" t="inlineStr">
        <is>
          <t>A — 100%</t>
        </is>
      </c>
      <c r="H19" s="67" t="n"/>
      <c r="I19" s="67" t="n"/>
      <c r="J19" s="67" t="n"/>
      <c r="K19" s="64">
        <f>IFERROR(INDEX('Status Map'!$B$2:$B$12,MATCH(C19,'Status Map'!$A$2:$A$12,0)),"UNDEFINED")</f>
        <v/>
      </c>
      <c r="L19" s="64">
        <f>IFERROR(INDEX('Status Map'!$C$2:$C$12,MATCH(C19,'Status Map'!$A$2:$A$12,0)),"UNDEFINED")</f>
        <v/>
      </c>
      <c r="M19" s="68" t="inlineStr">
        <is>
          <t>HEADING ONLY</t>
        </is>
      </c>
      <c r="N19" s="68" t="n"/>
      <c r="O19" s="68" t="n"/>
      <c r="P19" s="64">
        <f>IF(O19&lt;&gt;"",O19,LEFT(D19,2))</f>
        <v/>
      </c>
      <c r="Q19" s="64">
        <f>IF(O19&lt;&gt;"","Standards §6",IF(M19="HEADING ONLY","Derived from heading — PROVISIONAL",IF(M19="TEXT NOT IN REGISTRY","No text to derive from — PROVISIONAL","Derived from registered statement")))</f>
        <v/>
      </c>
      <c r="R19" s="64">
        <f>IF(OR(LEFT(G19,1)="A",L19="COUNTS",ISNUMBER(SEARCH("V1",P19)),ISNUMBER(SEARCH("V2",P19)),ISNUMBER(SEARCH("V5",P19))),"A — 100%","B — sample ≥ 30%")</f>
        <v/>
      </c>
      <c r="S19" s="67" t="n"/>
      <c r="T19" s="67" t="n"/>
      <c r="U19" s="67" t="n"/>
      <c r="V19" s="67" t="n"/>
      <c r="W19" s="67" t="n"/>
      <c r="X19" s="67" t="n"/>
    </row>
    <row r="20" ht="22.35" customHeight="1" s="45">
      <c r="A20" s="65" t="inlineStr">
        <is>
          <t>B5.5</t>
        </is>
      </c>
      <c r="B20" s="66" t="inlineStr">
        <is>
          <t>Doc 1</t>
        </is>
      </c>
      <c r="C20" s="66" t="inlineStr">
        <is>
          <t>RULED</t>
        </is>
      </c>
      <c r="D20" s="66" t="inlineStr">
        <is>
          <t>V7 — Document &amp; design inspection</t>
        </is>
      </c>
      <c r="E20" s="66" t="n"/>
      <c r="F20" s="66" t="inlineStr">
        <is>
          <t>Specification text against implementation description; provenance sections; objective card lines</t>
        </is>
      </c>
      <c r="G20" s="66" t="inlineStr">
        <is>
          <t>A — 100%</t>
        </is>
      </c>
      <c r="H20" s="67" t="n"/>
      <c r="I20" s="67" t="n"/>
      <c r="J20" s="67" t="n"/>
      <c r="K20" s="64">
        <f>IFERROR(INDEX('Status Map'!$B$2:$B$12,MATCH(C20,'Status Map'!$A$2:$A$12,0)),"UNDEFINED")</f>
        <v/>
      </c>
      <c r="L20" s="64">
        <f>IFERROR(INDEX('Status Map'!$C$2:$C$12,MATCH(C20,'Status Map'!$A$2:$A$12,0)),"UNDEFINED")</f>
        <v/>
      </c>
      <c r="M20" s="68" t="inlineStr">
        <is>
          <t>HEADING ONLY</t>
        </is>
      </c>
      <c r="N20" s="68" t="n"/>
      <c r="O20" s="68" t="n"/>
      <c r="P20" s="64">
        <f>IF(O20&lt;&gt;"",O20,LEFT(D20,2))</f>
        <v/>
      </c>
      <c r="Q20" s="64">
        <f>IF(O20&lt;&gt;"","Standards §6",IF(M20="HEADING ONLY","Derived from heading — PROVISIONAL",IF(M20="TEXT NOT IN REGISTRY","No text to derive from — PROVISIONAL","Derived from registered statement")))</f>
        <v/>
      </c>
      <c r="R20" s="64">
        <f>IF(OR(LEFT(G20,1)="A",L20="COUNTS",ISNUMBER(SEARCH("V1",P20)),ISNUMBER(SEARCH("V2",P20)),ISNUMBER(SEARCH("V5",P20))),"A — 100%","B — sample ≥ 30%")</f>
        <v/>
      </c>
      <c r="S20" s="67" t="n"/>
      <c r="T20" s="67" t="n"/>
      <c r="U20" s="67" t="n"/>
      <c r="V20" s="67" t="n"/>
      <c r="W20" s="67" t="n"/>
      <c r="X20" s="67" t="n"/>
    </row>
    <row r="21" ht="22.35" customHeight="1" s="45">
      <c r="A21" s="65" t="inlineStr">
        <is>
          <t>B5.1</t>
        </is>
      </c>
      <c r="B21" s="66" t="inlineStr">
        <is>
          <t>Doc 2</t>
        </is>
      </c>
      <c r="C21" s="66" t="inlineStr">
        <is>
          <t>RULED</t>
        </is>
      </c>
      <c r="D21" s="66" t="inlineStr">
        <is>
          <t>V7 — Document &amp; design inspection</t>
        </is>
      </c>
      <c r="E21" s="66" t="n"/>
      <c r="F21" s="66" t="inlineStr">
        <is>
          <t>Specification text against implementation description; provenance sections; objective card lines</t>
        </is>
      </c>
      <c r="G21" s="66" t="inlineStr">
        <is>
          <t>B — sample ≥ 30%</t>
        </is>
      </c>
      <c r="H21" s="67" t="n"/>
      <c r="I21" s="67" t="n"/>
      <c r="J21" s="67" t="n"/>
      <c r="K21" s="64">
        <f>IFERROR(INDEX('Status Map'!$B$2:$B$12,MATCH(C21,'Status Map'!$A$2:$A$12,0)),"UNDEFINED")</f>
        <v/>
      </c>
      <c r="L21" s="64">
        <f>IFERROR(INDEX('Status Map'!$C$2:$C$12,MATCH(C21,'Status Map'!$A$2:$A$12,0)),"UNDEFINED")</f>
        <v/>
      </c>
      <c r="M21" s="68" t="inlineStr">
        <is>
          <t>HEADING ONLY</t>
        </is>
      </c>
      <c r="N21" s="68" t="n"/>
      <c r="O21" s="68" t="n"/>
      <c r="P21" s="64">
        <f>IF(O21&lt;&gt;"",O21,LEFT(D21,2))</f>
        <v/>
      </c>
      <c r="Q21" s="64">
        <f>IF(O21&lt;&gt;"","Standards §6",IF(M21="HEADING ONLY","Derived from heading — PROVISIONAL",IF(M21="TEXT NOT IN REGISTRY","No text to derive from — PROVISIONAL","Derived from registered statement")))</f>
        <v/>
      </c>
      <c r="R21" s="64">
        <f>IF(OR(LEFT(G21,1)="A",L21="COUNTS",ISNUMBER(SEARCH("V1",P21)),ISNUMBER(SEARCH("V2",P21)),ISNUMBER(SEARCH("V5",P21))),"A — 100%","B — sample ≥ 30%")</f>
        <v/>
      </c>
      <c r="S21" s="67" t="n"/>
      <c r="T21" s="67" t="n"/>
      <c r="U21" s="67" t="n"/>
      <c r="V21" s="67" t="n"/>
      <c r="W21" s="67" t="n"/>
      <c r="X21" s="67" t="n"/>
    </row>
    <row r="22" ht="22.35" customHeight="1" s="45">
      <c r="A22" s="65" t="inlineStr">
        <is>
          <t>B5.2</t>
        </is>
      </c>
      <c r="B22" s="66" t="inlineStr">
        <is>
          <t>Doc 2</t>
        </is>
      </c>
      <c r="C22" s="66" t="inlineStr">
        <is>
          <t>RULED</t>
        </is>
      </c>
      <c r="D22" s="66" t="inlineStr">
        <is>
          <t>V7 — Document &amp; design inspection</t>
        </is>
      </c>
      <c r="E22" s="66" t="n"/>
      <c r="F22" s="66" t="inlineStr">
        <is>
          <t>Specification text against implementation description; provenance sections; objective card lines</t>
        </is>
      </c>
      <c r="G22" s="66" t="inlineStr">
        <is>
          <t>B — sample ≥ 30%</t>
        </is>
      </c>
      <c r="H22" s="67" t="n"/>
      <c r="I22" s="67" t="n"/>
      <c r="J22" s="67" t="n"/>
      <c r="K22" s="64">
        <f>IFERROR(INDEX('Status Map'!$B$2:$B$12,MATCH(C22,'Status Map'!$A$2:$A$12,0)),"UNDEFINED")</f>
        <v/>
      </c>
      <c r="L22" s="64">
        <f>IFERROR(INDEX('Status Map'!$C$2:$C$12,MATCH(C22,'Status Map'!$A$2:$A$12,0)),"UNDEFINED")</f>
        <v/>
      </c>
      <c r="M22" s="68" t="inlineStr">
        <is>
          <t>HEADING ONLY</t>
        </is>
      </c>
      <c r="N22" s="68" t="n"/>
      <c r="O22" s="68" t="n"/>
      <c r="P22" s="64">
        <f>IF(O22&lt;&gt;"",O22,LEFT(D22,2))</f>
        <v/>
      </c>
      <c r="Q22" s="64">
        <f>IF(O22&lt;&gt;"","Standards §6",IF(M22="HEADING ONLY","Derived from heading — PROVISIONAL",IF(M22="TEXT NOT IN REGISTRY","No text to derive from — PROVISIONAL","Derived from registered statement")))</f>
        <v/>
      </c>
      <c r="R22" s="64">
        <f>IF(OR(LEFT(G22,1)="A",L22="COUNTS",ISNUMBER(SEARCH("V1",P22)),ISNUMBER(SEARCH("V2",P22)),ISNUMBER(SEARCH("V5",P22))),"A — 100%","B — sample ≥ 30%")</f>
        <v/>
      </c>
      <c r="S22" s="67" t="n"/>
      <c r="T22" s="67" t="n"/>
      <c r="U22" s="67" t="n"/>
      <c r="V22" s="67" t="n"/>
      <c r="W22" s="67" t="n"/>
      <c r="X22" s="67" t="n"/>
    </row>
    <row r="23" ht="22.35" customHeight="1" s="45">
      <c r="A23" s="65" t="inlineStr">
        <is>
          <t>B5.3</t>
        </is>
      </c>
      <c r="B23" s="66" t="inlineStr">
        <is>
          <t>Doc 2</t>
        </is>
      </c>
      <c r="C23" s="66" t="inlineStr">
        <is>
          <t>—</t>
        </is>
      </c>
      <c r="D23" s="66" t="inlineStr">
        <is>
          <t>V7 — Document &amp; design inspection</t>
        </is>
      </c>
      <c r="E23" s="66" t="n"/>
      <c r="F23" s="66" t="inlineStr">
        <is>
          <t>Specification text against implementation description; provenance sections; objective card lines</t>
        </is>
      </c>
      <c r="G23" s="66" t="inlineStr">
        <is>
          <t>B — sample ≥ 30%</t>
        </is>
      </c>
      <c r="H23" s="67" t="n"/>
      <c r="I23" s="67" t="n"/>
      <c r="J23" s="67" t="n"/>
      <c r="K23" s="64">
        <f>IFERROR(INDEX('Status Map'!$B$2:$B$12,MATCH(C23,'Status Map'!$A$2:$A$12,0)),"UNDEFINED")</f>
        <v/>
      </c>
      <c r="L23" s="64">
        <f>IFERROR(INDEX('Status Map'!$C$2:$C$12,MATCH(C23,'Status Map'!$A$2:$A$12,0)),"UNDEFINED")</f>
        <v/>
      </c>
      <c r="M23" s="68" t="inlineStr">
        <is>
          <t>HEADING ONLY</t>
        </is>
      </c>
      <c r="N23" s="68" t="n"/>
      <c r="O23" s="68" t="n"/>
      <c r="P23" s="64">
        <f>IF(O23&lt;&gt;"",O23,LEFT(D23,2))</f>
        <v/>
      </c>
      <c r="Q23" s="64">
        <f>IF(O23&lt;&gt;"","Standards §6",IF(M23="HEADING ONLY","Derived from heading — PROVISIONAL",IF(M23="TEXT NOT IN REGISTRY","No text to derive from — PROVISIONAL","Derived from registered statement")))</f>
        <v/>
      </c>
      <c r="R23" s="64">
        <f>IF(OR(LEFT(G23,1)="A",L23="COUNTS",ISNUMBER(SEARCH("V1",P23)),ISNUMBER(SEARCH("V2",P23)),ISNUMBER(SEARCH("V5",P23))),"A — 100%","B — sample ≥ 30%")</f>
        <v/>
      </c>
      <c r="S23" s="67" t="n"/>
      <c r="T23" s="67" t="n"/>
      <c r="U23" s="67" t="n"/>
      <c r="V23" s="67" t="n"/>
      <c r="W23" s="67" t="n"/>
      <c r="X23" s="67" t="n"/>
    </row>
    <row r="24" ht="22.35" customHeight="1" s="45">
      <c r="A24" s="65" t="inlineStr">
        <is>
          <t>B5.4</t>
        </is>
      </c>
      <c r="B24" s="66" t="inlineStr">
        <is>
          <t>Doc 2</t>
        </is>
      </c>
      <c r="C24" s="66" t="inlineStr">
        <is>
          <t>—</t>
        </is>
      </c>
      <c r="D24" s="66" t="inlineStr">
        <is>
          <t>V7 — Document &amp; design inspection</t>
        </is>
      </c>
      <c r="E24" s="66" t="n"/>
      <c r="F24" s="66" t="inlineStr">
        <is>
          <t>Specification text against implementation description; provenance sections; objective card lines</t>
        </is>
      </c>
      <c r="G24" s="66" t="inlineStr">
        <is>
          <t>B — sample ≥ 30%</t>
        </is>
      </c>
      <c r="H24" s="67" t="n"/>
      <c r="I24" s="67" t="n"/>
      <c r="J24" s="67" t="n"/>
      <c r="K24" s="64">
        <f>IFERROR(INDEX('Status Map'!$B$2:$B$12,MATCH(C24,'Status Map'!$A$2:$A$12,0)),"UNDEFINED")</f>
        <v/>
      </c>
      <c r="L24" s="64">
        <f>IFERROR(INDEX('Status Map'!$C$2:$C$12,MATCH(C24,'Status Map'!$A$2:$A$12,0)),"UNDEFINED")</f>
        <v/>
      </c>
      <c r="M24" s="68" t="inlineStr">
        <is>
          <t>HEADING ONLY</t>
        </is>
      </c>
      <c r="N24" s="68" t="n"/>
      <c r="O24" s="68" t="n"/>
      <c r="P24" s="64">
        <f>IF(O24&lt;&gt;"",O24,LEFT(D24,2))</f>
        <v/>
      </c>
      <c r="Q24" s="64">
        <f>IF(O24&lt;&gt;"","Standards §6",IF(M24="HEADING ONLY","Derived from heading — PROVISIONAL",IF(M24="TEXT NOT IN REGISTRY","No text to derive from — PROVISIONAL","Derived from registered statement")))</f>
        <v/>
      </c>
      <c r="R24" s="64">
        <f>IF(OR(LEFT(G24,1)="A",L24="COUNTS",ISNUMBER(SEARCH("V1",P24)),ISNUMBER(SEARCH("V2",P24)),ISNUMBER(SEARCH("V5",P24))),"A — 100%","B — sample ≥ 30%")</f>
        <v/>
      </c>
      <c r="S24" s="67" t="n"/>
      <c r="T24" s="67" t="n"/>
      <c r="U24" s="67" t="n"/>
      <c r="V24" s="67" t="n"/>
      <c r="W24" s="67" t="n"/>
      <c r="X24" s="67" t="n"/>
    </row>
    <row r="25" ht="22.35" customHeight="1" s="45">
      <c r="A25" s="65" t="inlineStr">
        <is>
          <t>B5.5</t>
        </is>
      </c>
      <c r="B25" s="66" t="inlineStr">
        <is>
          <t>Doc 2</t>
        </is>
      </c>
      <c r="C25" s="66" t="inlineStr">
        <is>
          <t>RULED</t>
        </is>
      </c>
      <c r="D25" s="66" t="inlineStr">
        <is>
          <t>V7 — Document &amp; design inspection</t>
        </is>
      </c>
      <c r="E25" s="66" t="n"/>
      <c r="F25" s="66" t="inlineStr">
        <is>
          <t>Specification text against implementation description; provenance sections; objective card lines</t>
        </is>
      </c>
      <c r="G25" s="66" t="inlineStr">
        <is>
          <t>B — sample ≥ 30%</t>
        </is>
      </c>
      <c r="H25" s="67" t="n"/>
      <c r="I25" s="67" t="n"/>
      <c r="J25" s="67" t="n"/>
      <c r="K25" s="64">
        <f>IFERROR(INDEX('Status Map'!$B$2:$B$12,MATCH(C25,'Status Map'!$A$2:$A$12,0)),"UNDEFINED")</f>
        <v/>
      </c>
      <c r="L25" s="64">
        <f>IFERROR(INDEX('Status Map'!$C$2:$C$12,MATCH(C25,'Status Map'!$A$2:$A$12,0)),"UNDEFINED")</f>
        <v/>
      </c>
      <c r="M25" s="68" t="inlineStr">
        <is>
          <t>HEADING ONLY</t>
        </is>
      </c>
      <c r="N25" s="68" t="n"/>
      <c r="O25" s="68" t="n"/>
      <c r="P25" s="64">
        <f>IF(O25&lt;&gt;"",O25,LEFT(D25,2))</f>
        <v/>
      </c>
      <c r="Q25" s="64">
        <f>IF(O25&lt;&gt;"","Standards §6",IF(M25="HEADING ONLY","Derived from heading — PROVISIONAL",IF(M25="TEXT NOT IN REGISTRY","No text to derive from — PROVISIONAL","Derived from registered statement")))</f>
        <v/>
      </c>
      <c r="R25" s="64">
        <f>IF(OR(LEFT(G25,1)="A",L25="COUNTS",ISNUMBER(SEARCH("V1",P25)),ISNUMBER(SEARCH("V2",P25)),ISNUMBER(SEARCH("V5",P25))),"A — 100%","B — sample ≥ 30%")</f>
        <v/>
      </c>
      <c r="S25" s="67" t="n"/>
      <c r="T25" s="67" t="n"/>
      <c r="U25" s="67" t="n"/>
      <c r="V25" s="67" t="n"/>
      <c r="W25" s="67" t="n"/>
      <c r="X25" s="67" t="n"/>
    </row>
    <row r="26" ht="22.35" customHeight="1" s="45">
      <c r="A26" s="65" t="inlineStr">
        <is>
          <t>B5.6</t>
        </is>
      </c>
      <c r="B26" s="66" t="inlineStr">
        <is>
          <t>Doc 2</t>
        </is>
      </c>
      <c r="C26" s="66" t="inlineStr">
        <is>
          <t>RULED</t>
        </is>
      </c>
      <c r="D26" s="66" t="inlineStr">
        <is>
          <t>V7 — Document &amp; design inspection</t>
        </is>
      </c>
      <c r="E26" s="66" t="n"/>
      <c r="F26" s="66" t="inlineStr">
        <is>
          <t>Specification text against implementation description; provenance sections; objective card lines</t>
        </is>
      </c>
      <c r="G26" s="66" t="inlineStr">
        <is>
          <t>B — sample ≥ 30%</t>
        </is>
      </c>
      <c r="H26" s="67" t="n"/>
      <c r="I26" s="67" t="n"/>
      <c r="J26" s="67" t="n"/>
      <c r="K26" s="64">
        <f>IFERROR(INDEX('Status Map'!$B$2:$B$12,MATCH(C26,'Status Map'!$A$2:$A$12,0)),"UNDEFINED")</f>
        <v/>
      </c>
      <c r="L26" s="64">
        <f>IFERROR(INDEX('Status Map'!$C$2:$C$12,MATCH(C26,'Status Map'!$A$2:$A$12,0)),"UNDEFINED")</f>
        <v/>
      </c>
      <c r="M26" s="68" t="inlineStr">
        <is>
          <t>HEADING ONLY</t>
        </is>
      </c>
      <c r="N26" s="68" t="n"/>
      <c r="O26" s="68" t="n"/>
      <c r="P26" s="64">
        <f>IF(O26&lt;&gt;"",O26,LEFT(D26,2))</f>
        <v/>
      </c>
      <c r="Q26" s="64">
        <f>IF(O26&lt;&gt;"","Standards §6",IF(M26="HEADING ONLY","Derived from heading — PROVISIONAL",IF(M26="TEXT NOT IN REGISTRY","No text to derive from — PROVISIONAL","Derived from registered statement")))</f>
        <v/>
      </c>
      <c r="R26" s="64">
        <f>IF(OR(LEFT(G26,1)="A",L26="COUNTS",ISNUMBER(SEARCH("V1",P26)),ISNUMBER(SEARCH("V2",P26)),ISNUMBER(SEARCH("V5",P26))),"A — 100%","B — sample ≥ 30%")</f>
        <v/>
      </c>
      <c r="S26" s="67" t="n"/>
      <c r="T26" s="67" t="n"/>
      <c r="U26" s="67" t="n"/>
      <c r="V26" s="67" t="n"/>
      <c r="W26" s="67" t="n"/>
      <c r="X26" s="67" t="n"/>
    </row>
    <row r="27" ht="22.35" customHeight="1" s="45">
      <c r="A27" s="65" t="inlineStr">
        <is>
          <t>A5.1</t>
        </is>
      </c>
      <c r="B27" s="66" t="inlineStr">
        <is>
          <t>Doc 15</t>
        </is>
      </c>
      <c r="C27" s="66" t="inlineStr">
        <is>
          <t>—</t>
        </is>
      </c>
      <c r="D27" s="66" t="inlineStr">
        <is>
          <t>V7 — Document &amp; design inspection</t>
        </is>
      </c>
      <c r="E27" s="66" t="n"/>
      <c r="F27" s="66" t="inlineStr">
        <is>
          <t>Specification text against implementation description; provenance sections; objective card lines</t>
        </is>
      </c>
      <c r="G27" s="66" t="inlineStr">
        <is>
          <t>B — sample ≥ 30%</t>
        </is>
      </c>
      <c r="H27" s="67" t="n"/>
      <c r="I27" s="67" t="n"/>
      <c r="J27" s="67" t="n"/>
      <c r="K27" s="64">
        <f>IFERROR(INDEX('Status Map'!$B$2:$B$12,MATCH(C27,'Status Map'!$A$2:$A$12,0)),"UNDEFINED")</f>
        <v/>
      </c>
      <c r="L27" s="64">
        <f>IFERROR(INDEX('Status Map'!$C$2:$C$12,MATCH(C27,'Status Map'!$A$2:$A$12,0)),"UNDEFINED")</f>
        <v/>
      </c>
      <c r="M27" s="68" t="inlineStr">
        <is>
          <t>HEADING ONLY</t>
        </is>
      </c>
      <c r="N27" s="68" t="n"/>
      <c r="O27" s="68" t="n"/>
      <c r="P27" s="64">
        <f>IF(O27&lt;&gt;"",O27,LEFT(D27,2))</f>
        <v/>
      </c>
      <c r="Q27" s="64">
        <f>IF(O27&lt;&gt;"","Standards §6",IF(M27="HEADING ONLY","Derived from heading — PROVISIONAL",IF(M27="TEXT NOT IN REGISTRY","No text to derive from — PROVISIONAL","Derived from registered statement")))</f>
        <v/>
      </c>
      <c r="R27" s="64">
        <f>IF(OR(LEFT(G27,1)="A",L27="COUNTS",ISNUMBER(SEARCH("V1",P27)),ISNUMBER(SEARCH("V2",P27)),ISNUMBER(SEARCH("V5",P27))),"A — 100%","B — sample ≥ 30%")</f>
        <v/>
      </c>
      <c r="S27" s="67" t="n"/>
      <c r="T27" s="67" t="n"/>
      <c r="U27" s="67" t="n"/>
      <c r="V27" s="67" t="n"/>
      <c r="W27" s="67" t="n"/>
      <c r="X27" s="67" t="n"/>
    </row>
    <row r="28" ht="22.35" customHeight="1" s="45">
      <c r="A28" s="65" t="inlineStr">
        <is>
          <t>A5.2</t>
        </is>
      </c>
      <c r="B28" s="66" t="inlineStr">
        <is>
          <t>Doc 15</t>
        </is>
      </c>
      <c r="C28" s="66" t="inlineStr">
        <is>
          <t>—</t>
        </is>
      </c>
      <c r="D28" s="66" t="inlineStr">
        <is>
          <t>V7 — Document &amp; design inspection</t>
        </is>
      </c>
      <c r="E28" s="66" t="n"/>
      <c r="F28" s="66" t="inlineStr">
        <is>
          <t>Specification text against implementation description; provenance sections; objective card lines</t>
        </is>
      </c>
      <c r="G28" s="66" t="inlineStr">
        <is>
          <t>B — sample ≥ 30%</t>
        </is>
      </c>
      <c r="H28" s="67" t="n"/>
      <c r="I28" s="67" t="n"/>
      <c r="J28" s="67" t="n"/>
      <c r="K28" s="64">
        <f>IFERROR(INDEX('Status Map'!$B$2:$B$12,MATCH(C28,'Status Map'!$A$2:$A$12,0)),"UNDEFINED")</f>
        <v/>
      </c>
      <c r="L28" s="64">
        <f>IFERROR(INDEX('Status Map'!$C$2:$C$12,MATCH(C28,'Status Map'!$A$2:$A$12,0)),"UNDEFINED")</f>
        <v/>
      </c>
      <c r="M28" s="68" t="inlineStr">
        <is>
          <t>HEADING ONLY</t>
        </is>
      </c>
      <c r="N28" s="68" t="n"/>
      <c r="O28" s="68" t="n"/>
      <c r="P28" s="64">
        <f>IF(O28&lt;&gt;"",O28,LEFT(D28,2))</f>
        <v/>
      </c>
      <c r="Q28" s="64">
        <f>IF(O28&lt;&gt;"","Standards §6",IF(M28="HEADING ONLY","Derived from heading — PROVISIONAL",IF(M28="TEXT NOT IN REGISTRY","No text to derive from — PROVISIONAL","Derived from registered statement")))</f>
        <v/>
      </c>
      <c r="R28" s="64">
        <f>IF(OR(LEFT(G28,1)="A",L28="COUNTS",ISNUMBER(SEARCH("V1",P28)),ISNUMBER(SEARCH("V2",P28)),ISNUMBER(SEARCH("V5",P28))),"A — 100%","B — sample ≥ 30%")</f>
        <v/>
      </c>
      <c r="S28" s="67" t="n"/>
      <c r="T28" s="67" t="n"/>
      <c r="U28" s="67" t="n"/>
      <c r="V28" s="67" t="n"/>
      <c r="W28" s="67" t="n"/>
      <c r="X28" s="67" t="n"/>
    </row>
    <row r="29" ht="22.35" customHeight="1" s="45">
      <c r="A29" s="65" t="inlineStr">
        <is>
          <t>A5.3</t>
        </is>
      </c>
      <c r="B29" s="66" t="inlineStr">
        <is>
          <t>Doc 15</t>
        </is>
      </c>
      <c r="C29" s="66" t="inlineStr">
        <is>
          <t>DETERMINED</t>
        </is>
      </c>
      <c r="D29" s="66" t="inlineStr">
        <is>
          <t>V7 — Document &amp; design inspection</t>
        </is>
      </c>
      <c r="E29" s="66" t="n"/>
      <c r="F29" s="66" t="inlineStr">
        <is>
          <t>Specification text against implementation description; provenance sections; objective card lines</t>
        </is>
      </c>
      <c r="G29" s="66" t="inlineStr">
        <is>
          <t>B — sample ≥ 30%</t>
        </is>
      </c>
      <c r="H29" s="67" t="n"/>
      <c r="I29" s="67" t="n"/>
      <c r="J29" s="67" t="n"/>
      <c r="K29" s="64">
        <f>IFERROR(INDEX('Status Map'!$B$2:$B$12,MATCH(C29,'Status Map'!$A$2:$A$12,0)),"UNDEFINED")</f>
        <v/>
      </c>
      <c r="L29" s="64" t="inlineStr">
        <is>
          <t>COUNTS</t>
        </is>
      </c>
      <c r="M29" s="68" t="inlineStr">
        <is>
          <t>HEADING ONLY</t>
        </is>
      </c>
      <c r="N29" s="68" t="n"/>
      <c r="O29" s="68" t="n"/>
      <c r="P29" s="64">
        <f>IF(O29&lt;&gt;"",O29,LEFT(D29,2))</f>
        <v/>
      </c>
      <c r="Q29" s="64">
        <f>IF(O29&lt;&gt;"","Standards §6",IF(M29="HEADING ONLY","Derived from heading — PROVISIONAL",IF(M29="TEXT NOT IN REGISTRY","No text to derive from — PROVISIONAL","Derived from registered statement")))</f>
        <v/>
      </c>
      <c r="R29" s="64">
        <f>IF(OR(LEFT(G29,1)="A",L29="COUNTS",ISNUMBER(SEARCH("V1",P29)),ISNUMBER(SEARCH("V2",P29)),ISNUMBER(SEARCH("V5",P29))),"A — 100%","B — sample ≥ 30%")</f>
        <v/>
      </c>
      <c r="S29" s="67" t="n"/>
      <c r="T29" s="67" t="n"/>
      <c r="U29" s="67" t="n"/>
      <c r="V29" s="67" t="n"/>
      <c r="W29" s="67" t="n"/>
      <c r="X29" s="67" t="n"/>
    </row>
    <row r="30" ht="22.35" customHeight="1" s="45">
      <c r="A30" s="65" t="inlineStr">
        <is>
          <t>A5.1</t>
        </is>
      </c>
      <c r="B30" s="66" t="inlineStr">
        <is>
          <t>Doc 3</t>
        </is>
      </c>
      <c r="C30" s="66" t="inlineStr">
        <is>
          <t>—</t>
        </is>
      </c>
      <c r="D30" s="66" t="inlineStr">
        <is>
          <t>V7 — Document &amp; design inspection</t>
        </is>
      </c>
      <c r="E30" s="66" t="n"/>
      <c r="F30" s="66" t="inlineStr">
        <is>
          <t>Specification text against implementation description; provenance sections; objective card lines</t>
        </is>
      </c>
      <c r="G30" s="66" t="inlineStr">
        <is>
          <t>A — 100%</t>
        </is>
      </c>
      <c r="H30" s="67" t="n"/>
      <c r="I30" s="67" t="n"/>
      <c r="J30" s="67" t="n"/>
      <c r="K30" s="64">
        <f>IFERROR(INDEX('Status Map'!$B$2:$B$12,MATCH(C30,'Status Map'!$A$2:$A$12,0)),"UNDEFINED")</f>
        <v/>
      </c>
      <c r="L30" s="64">
        <f>IFERROR(INDEX('Status Map'!$C$2:$C$12,MATCH(C30,'Status Map'!$A$2:$A$12,0)),"UNDEFINED")</f>
        <v/>
      </c>
      <c r="M30" s="68" t="inlineStr">
        <is>
          <t>HEADING ONLY</t>
        </is>
      </c>
      <c r="N30" s="68" t="n"/>
      <c r="O30" s="68" t="n"/>
      <c r="P30" s="64">
        <f>IF(O30&lt;&gt;"",O30,LEFT(D30,2))</f>
        <v/>
      </c>
      <c r="Q30" s="64">
        <f>IF(O30&lt;&gt;"","Standards §6",IF(M30="HEADING ONLY","Derived from heading — PROVISIONAL",IF(M30="TEXT NOT IN REGISTRY","No text to derive from — PROVISIONAL","Derived from registered statement")))</f>
        <v/>
      </c>
      <c r="R30" s="64">
        <f>IF(OR(LEFT(G30,1)="A",L30="COUNTS",ISNUMBER(SEARCH("V1",P30)),ISNUMBER(SEARCH("V2",P30)),ISNUMBER(SEARCH("V5",P30))),"A — 100%","B — sample ≥ 30%")</f>
        <v/>
      </c>
      <c r="S30" s="67" t="n"/>
      <c r="T30" s="67" t="n"/>
      <c r="U30" s="67" t="n"/>
      <c r="V30" s="67" t="n"/>
      <c r="W30" s="67" t="n"/>
      <c r="X30" s="67" t="n"/>
    </row>
    <row r="31" ht="22.35" customHeight="1" s="45">
      <c r="A31" s="65" t="inlineStr">
        <is>
          <t>A5.10</t>
        </is>
      </c>
      <c r="B31" s="66" t="inlineStr">
        <is>
          <t>Doc 3</t>
        </is>
      </c>
      <c r="C31" s="66" t="inlineStr">
        <is>
          <t>—</t>
        </is>
      </c>
      <c r="D31" s="66" t="inlineStr">
        <is>
          <t>V7 — Document &amp; design inspection</t>
        </is>
      </c>
      <c r="E31" s="66" t="n"/>
      <c r="F31" s="66" t="inlineStr">
        <is>
          <t>Specification text against implementation description; provenance sections; objective card lines</t>
        </is>
      </c>
      <c r="G31" s="66" t="inlineStr">
        <is>
          <t>A — 100%</t>
        </is>
      </c>
      <c r="H31" s="67" t="n"/>
      <c r="I31" s="67" t="n"/>
      <c r="J31" s="67" t="n"/>
      <c r="K31" s="64">
        <f>IFERROR(INDEX('Status Map'!$B$2:$B$12,MATCH(C31,'Status Map'!$A$2:$A$12,0)),"UNDEFINED")</f>
        <v/>
      </c>
      <c r="L31" s="64">
        <f>IFERROR(INDEX('Status Map'!$C$2:$C$12,MATCH(C31,'Status Map'!$A$2:$A$12,0)),"UNDEFINED")</f>
        <v/>
      </c>
      <c r="M31" s="68" t="inlineStr">
        <is>
          <t>HEADING ONLY</t>
        </is>
      </c>
      <c r="N31" s="68" t="n"/>
      <c r="O31" s="68" t="n"/>
      <c r="P31" s="64">
        <f>IF(O31&lt;&gt;"",O31,LEFT(D31,2))</f>
        <v/>
      </c>
      <c r="Q31" s="64">
        <f>IF(O31&lt;&gt;"","Standards §6",IF(M31="HEADING ONLY","Derived from heading — PROVISIONAL",IF(M31="TEXT NOT IN REGISTRY","No text to derive from — PROVISIONAL","Derived from registered statement")))</f>
        <v/>
      </c>
      <c r="R31" s="64">
        <f>IF(OR(LEFT(G31,1)="A",L31="COUNTS",ISNUMBER(SEARCH("V1",P31)),ISNUMBER(SEARCH("V2",P31)),ISNUMBER(SEARCH("V5",P31))),"A — 100%","B — sample ≥ 30%")</f>
        <v/>
      </c>
      <c r="S31" s="67" t="n"/>
      <c r="T31" s="67" t="n"/>
      <c r="U31" s="67" t="n"/>
      <c r="V31" s="67" t="n"/>
      <c r="W31" s="67" t="n"/>
      <c r="X31" s="67" t="n"/>
    </row>
    <row r="32" ht="22.35" customHeight="1" s="45">
      <c r="A32" s="65" t="inlineStr">
        <is>
          <t>A5.11</t>
        </is>
      </c>
      <c r="B32" s="66" t="inlineStr">
        <is>
          <t>Doc 3</t>
        </is>
      </c>
      <c r="C32" s="66" t="inlineStr">
        <is>
          <t>—</t>
        </is>
      </c>
      <c r="D32" s="66" t="inlineStr">
        <is>
          <t>V7 — Document &amp; design inspection</t>
        </is>
      </c>
      <c r="E32" s="66" t="n"/>
      <c r="F32" s="66" t="inlineStr">
        <is>
          <t>Specification text against implementation description; provenance sections; objective card lines</t>
        </is>
      </c>
      <c r="G32" s="66" t="inlineStr">
        <is>
          <t>A — 100%</t>
        </is>
      </c>
      <c r="H32" s="67" t="n"/>
      <c r="I32" s="67" t="n"/>
      <c r="J32" s="67" t="n"/>
      <c r="K32" s="64">
        <f>IFERROR(INDEX('Status Map'!$B$2:$B$12,MATCH(C32,'Status Map'!$A$2:$A$12,0)),"UNDEFINED")</f>
        <v/>
      </c>
      <c r="L32" s="64">
        <f>IFERROR(INDEX('Status Map'!$C$2:$C$12,MATCH(C32,'Status Map'!$A$2:$A$12,0)),"UNDEFINED")</f>
        <v/>
      </c>
      <c r="M32" s="68" t="inlineStr">
        <is>
          <t>HEADING ONLY</t>
        </is>
      </c>
      <c r="N32" s="68" t="n"/>
      <c r="O32" s="68" t="n"/>
      <c r="P32" s="64">
        <f>IF(O32&lt;&gt;"",O32,LEFT(D32,2))</f>
        <v/>
      </c>
      <c r="Q32" s="64">
        <f>IF(O32&lt;&gt;"","Standards §6",IF(M32="HEADING ONLY","Derived from heading — PROVISIONAL",IF(M32="TEXT NOT IN REGISTRY","No text to derive from — PROVISIONAL","Derived from registered statement")))</f>
        <v/>
      </c>
      <c r="R32" s="64">
        <f>IF(OR(LEFT(G32,1)="A",L32="COUNTS",ISNUMBER(SEARCH("V1",P32)),ISNUMBER(SEARCH("V2",P32)),ISNUMBER(SEARCH("V5",P32))),"A — 100%","B — sample ≥ 30%")</f>
        <v/>
      </c>
      <c r="S32" s="67" t="n"/>
      <c r="T32" s="67" t="n"/>
      <c r="U32" s="67" t="n"/>
      <c r="V32" s="67" t="n"/>
      <c r="W32" s="67" t="n"/>
      <c r="X32" s="67" t="n"/>
    </row>
    <row r="33" ht="22.35" customHeight="1" s="45">
      <c r="A33" s="65" t="inlineStr">
        <is>
          <t>A5.12</t>
        </is>
      </c>
      <c r="B33" s="66" t="inlineStr">
        <is>
          <t>Doc 3</t>
        </is>
      </c>
      <c r="C33" s="66" t="inlineStr">
        <is>
          <t>—</t>
        </is>
      </c>
      <c r="D33" s="66" t="inlineStr">
        <is>
          <t>V7 — Document &amp; design inspection</t>
        </is>
      </c>
      <c r="E33" s="66" t="n"/>
      <c r="F33" s="66" t="inlineStr">
        <is>
          <t>Specification text against implementation description; provenance sections; objective card lines</t>
        </is>
      </c>
      <c r="G33" s="66" t="inlineStr">
        <is>
          <t>A — 100%</t>
        </is>
      </c>
      <c r="H33" s="67" t="n"/>
      <c r="I33" s="67" t="n"/>
      <c r="J33" s="67" t="n"/>
      <c r="K33" s="64">
        <f>IFERROR(INDEX('Status Map'!$B$2:$B$12,MATCH(C33,'Status Map'!$A$2:$A$12,0)),"UNDEFINED")</f>
        <v/>
      </c>
      <c r="L33" s="64">
        <f>IFERROR(INDEX('Status Map'!$C$2:$C$12,MATCH(C33,'Status Map'!$A$2:$A$12,0)),"UNDEFINED")</f>
        <v/>
      </c>
      <c r="M33" s="68" t="inlineStr">
        <is>
          <t>HEADING ONLY</t>
        </is>
      </c>
      <c r="N33" s="68" t="n"/>
      <c r="O33" s="68" t="n"/>
      <c r="P33" s="64">
        <f>IF(O33&lt;&gt;"",O33,LEFT(D33,2))</f>
        <v/>
      </c>
      <c r="Q33" s="64">
        <f>IF(O33&lt;&gt;"","Standards §6",IF(M33="HEADING ONLY","Derived from heading — PROVISIONAL",IF(M33="TEXT NOT IN REGISTRY","No text to derive from — PROVISIONAL","Derived from registered statement")))</f>
        <v/>
      </c>
      <c r="R33" s="64">
        <f>IF(OR(LEFT(G33,1)="A",L33="COUNTS",ISNUMBER(SEARCH("V1",P33)),ISNUMBER(SEARCH("V2",P33)),ISNUMBER(SEARCH("V5",P33))),"A — 100%","B — sample ≥ 30%")</f>
        <v/>
      </c>
      <c r="S33" s="67" t="n"/>
      <c r="T33" s="67" t="n"/>
      <c r="U33" s="67" t="n"/>
      <c r="V33" s="67" t="n"/>
      <c r="W33" s="67" t="n"/>
      <c r="X33" s="67" t="n"/>
    </row>
    <row r="34" ht="22.35" customHeight="1" s="45">
      <c r="A34" s="65" t="inlineStr">
        <is>
          <t>A5.13</t>
        </is>
      </c>
      <c r="B34" s="66" t="inlineStr">
        <is>
          <t>Doc 3</t>
        </is>
      </c>
      <c r="C34" s="66" t="inlineStr">
        <is>
          <t>—</t>
        </is>
      </c>
      <c r="D34" s="66" t="inlineStr">
        <is>
          <t>V7 — Document &amp; design inspection</t>
        </is>
      </c>
      <c r="E34" s="66" t="n"/>
      <c r="F34" s="66" t="inlineStr">
        <is>
          <t>Specification text against implementation description; provenance sections; objective card lines</t>
        </is>
      </c>
      <c r="G34" s="66" t="inlineStr">
        <is>
          <t>A — 100%</t>
        </is>
      </c>
      <c r="H34" s="67" t="n"/>
      <c r="I34" s="67" t="n"/>
      <c r="J34" s="67" t="n"/>
      <c r="K34" s="64">
        <f>IFERROR(INDEX('Status Map'!$B$2:$B$12,MATCH(C34,'Status Map'!$A$2:$A$12,0)),"UNDEFINED")</f>
        <v/>
      </c>
      <c r="L34" s="64">
        <f>IFERROR(INDEX('Status Map'!$C$2:$C$12,MATCH(C34,'Status Map'!$A$2:$A$12,0)),"UNDEFINED")</f>
        <v/>
      </c>
      <c r="M34" s="68" t="inlineStr">
        <is>
          <t>HEADING ONLY</t>
        </is>
      </c>
      <c r="N34" s="68" t="n"/>
      <c r="O34" s="68" t="n"/>
      <c r="P34" s="64">
        <f>IF(O34&lt;&gt;"",O34,LEFT(D34,2))</f>
        <v/>
      </c>
      <c r="Q34" s="64">
        <f>IF(O34&lt;&gt;"","Standards §6",IF(M34="HEADING ONLY","Derived from heading — PROVISIONAL",IF(M34="TEXT NOT IN REGISTRY","No text to derive from — PROVISIONAL","Derived from registered statement")))</f>
        <v/>
      </c>
      <c r="R34" s="64">
        <f>IF(OR(LEFT(G34,1)="A",L34="COUNTS",ISNUMBER(SEARCH("V1",P34)),ISNUMBER(SEARCH("V2",P34)),ISNUMBER(SEARCH("V5",P34))),"A — 100%","B — sample ≥ 30%")</f>
        <v/>
      </c>
      <c r="S34" s="67" t="n"/>
      <c r="T34" s="67" t="n"/>
      <c r="U34" s="67" t="n"/>
      <c r="V34" s="67" t="n"/>
      <c r="W34" s="67" t="n"/>
      <c r="X34" s="67" t="n"/>
    </row>
    <row r="35" ht="22.35" customHeight="1" s="45">
      <c r="A35" s="65" t="inlineStr">
        <is>
          <t>A5.14</t>
        </is>
      </c>
      <c r="B35" s="66" t="inlineStr">
        <is>
          <t>Doc 3</t>
        </is>
      </c>
      <c r="C35" s="66" t="inlineStr">
        <is>
          <t>—</t>
        </is>
      </c>
      <c r="D35" s="66" t="inlineStr">
        <is>
          <t>V7 — Document &amp; design inspection</t>
        </is>
      </c>
      <c r="E35" s="66" t="n"/>
      <c r="F35" s="66" t="inlineStr">
        <is>
          <t>Specification text against implementation description; provenance sections; objective card lines</t>
        </is>
      </c>
      <c r="G35" s="66" t="inlineStr">
        <is>
          <t>A — 100%</t>
        </is>
      </c>
      <c r="H35" s="67" t="n"/>
      <c r="I35" s="67" t="n"/>
      <c r="J35" s="67" t="n"/>
      <c r="K35" s="64">
        <f>IFERROR(INDEX('Status Map'!$B$2:$B$12,MATCH(C35,'Status Map'!$A$2:$A$12,0)),"UNDEFINED")</f>
        <v/>
      </c>
      <c r="L35" s="64">
        <f>IFERROR(INDEX('Status Map'!$C$2:$C$12,MATCH(C35,'Status Map'!$A$2:$A$12,0)),"UNDEFINED")</f>
        <v/>
      </c>
      <c r="M35" s="68" t="inlineStr">
        <is>
          <t>HEADING ONLY</t>
        </is>
      </c>
      <c r="N35" s="68" t="inlineStr">
        <is>
          <t>C-6.4.7</t>
        </is>
      </c>
      <c r="O35" s="68" t="inlineStr">
        <is>
          <t>V5</t>
        </is>
      </c>
      <c r="P35" s="64">
        <f>IF(O35&lt;&gt;"",O35,LEFT(D35,2))</f>
        <v/>
      </c>
      <c r="Q35" s="64">
        <f>IF(O35&lt;&gt;"","Standards §6",IF(M35="HEADING ONLY","Derived from heading — PROVISIONAL",IF(M35="TEXT NOT IN REGISTRY","No text to derive from — PROVISIONAL","Derived from registered statement")))</f>
        <v/>
      </c>
      <c r="R35" s="64">
        <f>IF(OR(LEFT(G35,1)="A",L35="COUNTS",ISNUMBER(SEARCH("V1",P35)),ISNUMBER(SEARCH("V2",P35)),ISNUMBER(SEARCH("V5",P35))),"A — 100%","B — sample ≥ 30%")</f>
        <v/>
      </c>
      <c r="S35" s="67" t="n"/>
      <c r="T35" s="67" t="n"/>
      <c r="U35" s="67" t="n"/>
      <c r="V35" s="67" t="n"/>
      <c r="W35" s="67" t="n"/>
      <c r="X35" s="67" t="n"/>
    </row>
    <row r="36" ht="22.35" customHeight="1" s="45">
      <c r="A36" s="65" t="inlineStr">
        <is>
          <t>A5.2</t>
        </is>
      </c>
      <c r="B36" s="66" t="inlineStr">
        <is>
          <t>Doc 3</t>
        </is>
      </c>
      <c r="C36" s="66" t="inlineStr">
        <is>
          <t>—</t>
        </is>
      </c>
      <c r="D36" s="66" t="inlineStr">
        <is>
          <t>V7 — Document &amp; design inspection</t>
        </is>
      </c>
      <c r="E36" s="66" t="n"/>
      <c r="F36" s="66" t="inlineStr">
        <is>
          <t>Specification text against implementation description; provenance sections; objective card lines</t>
        </is>
      </c>
      <c r="G36" s="66" t="inlineStr">
        <is>
          <t>A — 100%</t>
        </is>
      </c>
      <c r="H36" s="67" t="n"/>
      <c r="I36" s="67" t="n"/>
      <c r="J36" s="67" t="n"/>
      <c r="K36" s="64">
        <f>IFERROR(INDEX('Status Map'!$B$2:$B$12,MATCH(C36,'Status Map'!$A$2:$A$12,0)),"UNDEFINED")</f>
        <v/>
      </c>
      <c r="L36" s="64">
        <f>IFERROR(INDEX('Status Map'!$C$2:$C$12,MATCH(C36,'Status Map'!$A$2:$A$12,0)),"UNDEFINED")</f>
        <v/>
      </c>
      <c r="M36" s="68" t="inlineStr">
        <is>
          <t>HEADING ONLY</t>
        </is>
      </c>
      <c r="N36" s="68" t="inlineStr">
        <is>
          <t>C-6.4.3, C-6.4.4</t>
        </is>
      </c>
      <c r="O36" s="68" t="inlineStr">
        <is>
          <t>V2 + V4 + V6</t>
        </is>
      </c>
      <c r="P36" s="64">
        <f>IF(O36&lt;&gt;"",O36,LEFT(D36,2))</f>
        <v/>
      </c>
      <c r="Q36" s="64">
        <f>IF(O36&lt;&gt;"","Standards §6",IF(M36="HEADING ONLY","Derived from heading — PROVISIONAL",IF(M36="TEXT NOT IN REGISTRY","No text to derive from — PROVISIONAL","Derived from registered statement")))</f>
        <v/>
      </c>
      <c r="R36" s="64">
        <f>IF(OR(LEFT(G36,1)="A",L36="COUNTS",ISNUMBER(SEARCH("V1",P36)),ISNUMBER(SEARCH("V2",P36)),ISNUMBER(SEARCH("V5",P36))),"A — 100%","B — sample ≥ 30%")</f>
        <v/>
      </c>
      <c r="S36" s="67" t="n"/>
      <c r="T36" s="67" t="n"/>
      <c r="U36" s="67" t="n"/>
      <c r="V36" s="67" t="n"/>
      <c r="W36" s="67" t="n"/>
      <c r="X36" s="67" t="n"/>
    </row>
    <row r="37" ht="22.35" customHeight="1" s="45">
      <c r="A37" s="65" t="inlineStr">
        <is>
          <t>A5.3</t>
        </is>
      </c>
      <c r="B37" s="66" t="inlineStr">
        <is>
          <t>Doc 3</t>
        </is>
      </c>
      <c r="C37" s="66" t="inlineStr">
        <is>
          <t>—</t>
        </is>
      </c>
      <c r="D37" s="66" t="inlineStr">
        <is>
          <t>V4 — Governance-record evidence</t>
        </is>
      </c>
      <c r="E37" s="66" t="n"/>
      <c r="F37" s="66" t="inlineStr">
        <is>
          <t>DECISIONS.md entry; ceremony record with tier, countersign, countdown, apply, re-verify; canon_ref present</t>
        </is>
      </c>
      <c r="G37" s="66" t="inlineStr">
        <is>
          <t>A — 100%</t>
        </is>
      </c>
      <c r="H37" s="67" t="n"/>
      <c r="I37" s="67" t="n"/>
      <c r="J37" s="67" t="n"/>
      <c r="K37" s="64">
        <f>IFERROR(INDEX('Status Map'!$B$2:$B$12,MATCH(C37,'Status Map'!$A$2:$A$12,0)),"UNDEFINED")</f>
        <v/>
      </c>
      <c r="L37" s="64">
        <f>IFERROR(INDEX('Status Map'!$C$2:$C$12,MATCH(C37,'Status Map'!$A$2:$A$12,0)),"UNDEFINED")</f>
        <v/>
      </c>
      <c r="M37" s="68" t="inlineStr">
        <is>
          <t>HEADING ONLY</t>
        </is>
      </c>
      <c r="N37" s="68" t="inlineStr">
        <is>
          <t>C-6.4.5, C-6.4.7</t>
        </is>
      </c>
      <c r="O37" s="68" t="inlineStr">
        <is>
          <t>V2 + V5</t>
        </is>
      </c>
      <c r="P37" s="64">
        <f>IF(O37&lt;&gt;"",O37,LEFT(D37,2))</f>
        <v/>
      </c>
      <c r="Q37" s="64">
        <f>IF(O37&lt;&gt;"","Standards §6",IF(M37="HEADING ONLY","Derived from heading — PROVISIONAL",IF(M37="TEXT NOT IN REGISTRY","No text to derive from — PROVISIONAL","Derived from registered statement")))</f>
        <v/>
      </c>
      <c r="R37" s="64">
        <f>IF(OR(LEFT(G37,1)="A",L37="COUNTS",ISNUMBER(SEARCH("V1",P37)),ISNUMBER(SEARCH("V2",P37)),ISNUMBER(SEARCH("V5",P37))),"A — 100%","B — sample ≥ 30%")</f>
        <v/>
      </c>
      <c r="S37" s="67" t="n"/>
      <c r="T37" s="67" t="n"/>
      <c r="U37" s="67" t="n"/>
      <c r="V37" s="67" t="n"/>
      <c r="W37" s="67" t="n"/>
      <c r="X37" s="67" t="n"/>
    </row>
    <row r="38" ht="22.35" customHeight="1" s="45">
      <c r="A38" s="65" t="inlineStr">
        <is>
          <t>A5.4</t>
        </is>
      </c>
      <c r="B38" s="66" t="inlineStr">
        <is>
          <t>Doc 3</t>
        </is>
      </c>
      <c r="C38" s="66" t="inlineStr">
        <is>
          <t>—</t>
        </is>
      </c>
      <c r="D38" s="66" t="inlineStr">
        <is>
          <t>V7 — Document &amp; design inspection</t>
        </is>
      </c>
      <c r="E38" s="66" t="n"/>
      <c r="F38" s="66" t="inlineStr">
        <is>
          <t>Specification text against implementation description; provenance sections; objective card lines</t>
        </is>
      </c>
      <c r="G38" s="66" t="inlineStr">
        <is>
          <t>A — 100%</t>
        </is>
      </c>
      <c r="H38" s="67" t="n"/>
      <c r="I38" s="67" t="n"/>
      <c r="J38" s="67" t="n"/>
      <c r="K38" s="64">
        <f>IFERROR(INDEX('Status Map'!$B$2:$B$12,MATCH(C38,'Status Map'!$A$2:$A$12,0)),"UNDEFINED")</f>
        <v/>
      </c>
      <c r="L38" s="64">
        <f>IFERROR(INDEX('Status Map'!$C$2:$C$12,MATCH(C38,'Status Map'!$A$2:$A$12,0)),"UNDEFINED")</f>
        <v/>
      </c>
      <c r="M38" s="68" t="inlineStr">
        <is>
          <t>HEADING ONLY</t>
        </is>
      </c>
      <c r="N38" s="68" t="n"/>
      <c r="O38" s="68" t="n"/>
      <c r="P38" s="64">
        <f>IF(O38&lt;&gt;"",O38,LEFT(D38,2))</f>
        <v/>
      </c>
      <c r="Q38" s="64">
        <f>IF(O38&lt;&gt;"","Standards §6",IF(M38="HEADING ONLY","Derived from heading — PROVISIONAL",IF(M38="TEXT NOT IN REGISTRY","No text to derive from — PROVISIONAL","Derived from registered statement")))</f>
        <v/>
      </c>
      <c r="R38" s="64">
        <f>IF(OR(LEFT(G38,1)="A",L38="COUNTS",ISNUMBER(SEARCH("V1",P38)),ISNUMBER(SEARCH("V2",P38)),ISNUMBER(SEARCH("V5",P38))),"A — 100%","B — sample ≥ 30%")</f>
        <v/>
      </c>
      <c r="S38" s="67" t="n"/>
      <c r="T38" s="67" t="n"/>
      <c r="U38" s="67" t="n"/>
      <c r="V38" s="67" t="n"/>
      <c r="W38" s="67" t="n"/>
      <c r="X38" s="67" t="n"/>
    </row>
    <row r="39" ht="22.35" customHeight="1" s="45">
      <c r="A39" s="65" t="inlineStr">
        <is>
          <t>A5.5</t>
        </is>
      </c>
      <c r="B39" s="66" t="inlineStr">
        <is>
          <t>Doc 3</t>
        </is>
      </c>
      <c r="C39" s="66" t="inlineStr">
        <is>
          <t>—</t>
        </is>
      </c>
      <c r="D39" s="66" t="inlineStr">
        <is>
          <t>V7 — Document &amp; design inspection</t>
        </is>
      </c>
      <c r="E39" s="66" t="n"/>
      <c r="F39" s="66" t="inlineStr">
        <is>
          <t>Specification text against implementation description; provenance sections; objective card lines</t>
        </is>
      </c>
      <c r="G39" s="66" t="inlineStr">
        <is>
          <t>A — 100%</t>
        </is>
      </c>
      <c r="H39" s="67" t="n"/>
      <c r="I39" s="67" t="n"/>
      <c r="J39" s="67" t="n"/>
      <c r="K39" s="64">
        <f>IFERROR(INDEX('Status Map'!$B$2:$B$12,MATCH(C39,'Status Map'!$A$2:$A$12,0)),"UNDEFINED")</f>
        <v/>
      </c>
      <c r="L39" s="64">
        <f>IFERROR(INDEX('Status Map'!$C$2:$C$12,MATCH(C39,'Status Map'!$A$2:$A$12,0)),"UNDEFINED")</f>
        <v/>
      </c>
      <c r="M39" s="68" t="inlineStr">
        <is>
          <t>HEADING ONLY</t>
        </is>
      </c>
      <c r="N39" s="68" t="n"/>
      <c r="O39" s="68" t="n"/>
      <c r="P39" s="64">
        <f>IF(O39&lt;&gt;"",O39,LEFT(D39,2))</f>
        <v/>
      </c>
      <c r="Q39" s="64">
        <f>IF(O39&lt;&gt;"","Standards §6",IF(M39="HEADING ONLY","Derived from heading — PROVISIONAL",IF(M39="TEXT NOT IN REGISTRY","No text to derive from — PROVISIONAL","Derived from registered statement")))</f>
        <v/>
      </c>
      <c r="R39" s="64">
        <f>IF(OR(LEFT(G39,1)="A",L39="COUNTS",ISNUMBER(SEARCH("V1",P39)),ISNUMBER(SEARCH("V2",P39)),ISNUMBER(SEARCH("V5",P39))),"A — 100%","B — sample ≥ 30%")</f>
        <v/>
      </c>
      <c r="S39" s="67" t="n"/>
      <c r="T39" s="67" t="n"/>
      <c r="U39" s="67" t="n"/>
      <c r="V39" s="67" t="n"/>
      <c r="W39" s="67" t="n"/>
      <c r="X39" s="67" t="n"/>
    </row>
    <row r="40" ht="22.35" customHeight="1" s="45">
      <c r="A40" s="65" t="inlineStr">
        <is>
          <t>A5.6</t>
        </is>
      </c>
      <c r="B40" s="66" t="inlineStr">
        <is>
          <t>Doc 3</t>
        </is>
      </c>
      <c r="C40" s="66" t="inlineStr">
        <is>
          <t>—</t>
        </is>
      </c>
      <c r="D40" s="66" t="inlineStr">
        <is>
          <t>V7 — Document &amp; design inspection</t>
        </is>
      </c>
      <c r="E40" s="66" t="n"/>
      <c r="F40" s="66" t="inlineStr">
        <is>
          <t>Specification text against implementation description; provenance sections; objective card lines</t>
        </is>
      </c>
      <c r="G40" s="66" t="inlineStr">
        <is>
          <t>A — 100%</t>
        </is>
      </c>
      <c r="H40" s="67" t="n"/>
      <c r="I40" s="67" t="n"/>
      <c r="J40" s="67" t="n"/>
      <c r="K40" s="64">
        <f>IFERROR(INDEX('Status Map'!$B$2:$B$12,MATCH(C40,'Status Map'!$A$2:$A$12,0)),"UNDEFINED")</f>
        <v/>
      </c>
      <c r="L40" s="64">
        <f>IFERROR(INDEX('Status Map'!$C$2:$C$12,MATCH(C40,'Status Map'!$A$2:$A$12,0)),"UNDEFINED")</f>
        <v/>
      </c>
      <c r="M40" s="68" t="inlineStr">
        <is>
          <t>HEADING ONLY</t>
        </is>
      </c>
      <c r="N40" s="68" t="n"/>
      <c r="O40" s="68" t="n"/>
      <c r="P40" s="64">
        <f>IF(O40&lt;&gt;"",O40,LEFT(D40,2))</f>
        <v/>
      </c>
      <c r="Q40" s="64">
        <f>IF(O40&lt;&gt;"","Standards §6",IF(M40="HEADING ONLY","Derived from heading — PROVISIONAL",IF(M40="TEXT NOT IN REGISTRY","No text to derive from — PROVISIONAL","Derived from registered statement")))</f>
        <v/>
      </c>
      <c r="R40" s="64">
        <f>IF(OR(LEFT(G40,1)="A",L40="COUNTS",ISNUMBER(SEARCH("V1",P40)),ISNUMBER(SEARCH("V2",P40)),ISNUMBER(SEARCH("V5",P40))),"A — 100%","B — sample ≥ 30%")</f>
        <v/>
      </c>
      <c r="S40" s="67" t="n"/>
      <c r="T40" s="67" t="n"/>
      <c r="U40" s="67" t="n"/>
      <c r="V40" s="67" t="n"/>
      <c r="W40" s="67" t="n"/>
      <c r="X40" s="67" t="n"/>
    </row>
    <row r="41" ht="22.35" customHeight="1" s="45">
      <c r="A41" s="65" t="inlineStr">
        <is>
          <t>A5.7</t>
        </is>
      </c>
      <c r="B41" s="66" t="inlineStr">
        <is>
          <t>Doc 3</t>
        </is>
      </c>
      <c r="C41" s="66" t="inlineStr">
        <is>
          <t>—</t>
        </is>
      </c>
      <c r="D41" s="66" t="inlineStr">
        <is>
          <t>V7 — Document &amp; design inspection</t>
        </is>
      </c>
      <c r="E41" s="66" t="n"/>
      <c r="F41" s="66" t="inlineStr">
        <is>
          <t>Specification text against implementation description; provenance sections; objective card lines</t>
        </is>
      </c>
      <c r="G41" s="66" t="inlineStr">
        <is>
          <t>A — 100%</t>
        </is>
      </c>
      <c r="H41" s="67" t="n"/>
      <c r="I41" s="67" t="n"/>
      <c r="J41" s="67" t="n"/>
      <c r="K41" s="64">
        <f>IFERROR(INDEX('Status Map'!$B$2:$B$12,MATCH(C41,'Status Map'!$A$2:$A$12,0)),"UNDEFINED")</f>
        <v/>
      </c>
      <c r="L41" s="64">
        <f>IFERROR(INDEX('Status Map'!$C$2:$C$12,MATCH(C41,'Status Map'!$A$2:$A$12,0)),"UNDEFINED")</f>
        <v/>
      </c>
      <c r="M41" s="68" t="inlineStr">
        <is>
          <t>HEADING ONLY</t>
        </is>
      </c>
      <c r="N41" s="68" t="n"/>
      <c r="O41" s="68" t="n"/>
      <c r="P41" s="64">
        <f>IF(O41&lt;&gt;"",O41,LEFT(D41,2))</f>
        <v/>
      </c>
      <c r="Q41" s="64">
        <f>IF(O41&lt;&gt;"","Standards §6",IF(M41="HEADING ONLY","Derived from heading — PROVISIONAL",IF(M41="TEXT NOT IN REGISTRY","No text to derive from — PROVISIONAL","Derived from registered statement")))</f>
        <v/>
      </c>
      <c r="R41" s="64">
        <f>IF(OR(LEFT(G41,1)="A",L41="COUNTS",ISNUMBER(SEARCH("V1",P41)),ISNUMBER(SEARCH("V2",P41)),ISNUMBER(SEARCH("V5",P41))),"A — 100%","B — sample ≥ 30%")</f>
        <v/>
      </c>
      <c r="S41" s="67" t="n"/>
      <c r="T41" s="67" t="n"/>
      <c r="U41" s="67" t="n"/>
      <c r="V41" s="67" t="n"/>
      <c r="W41" s="67" t="n"/>
      <c r="X41" s="67" t="n"/>
    </row>
    <row r="42" ht="22.35" customHeight="1" s="45">
      <c r="A42" s="65" t="inlineStr">
        <is>
          <t>A5.8</t>
        </is>
      </c>
      <c r="B42" s="66" t="inlineStr">
        <is>
          <t>Doc 3</t>
        </is>
      </c>
      <c r="C42" s="66" t="inlineStr">
        <is>
          <t>—</t>
        </is>
      </c>
      <c r="D42" s="66" t="inlineStr">
        <is>
          <t>V7 — Document &amp; design inspection</t>
        </is>
      </c>
      <c r="E42" s="66" t="n"/>
      <c r="F42" s="66" t="inlineStr">
        <is>
          <t>Specification text against implementation description; provenance sections; objective card lines</t>
        </is>
      </c>
      <c r="G42" s="66" t="inlineStr">
        <is>
          <t>A — 100%</t>
        </is>
      </c>
      <c r="H42" s="67" t="n"/>
      <c r="I42" s="67" t="n"/>
      <c r="J42" s="67" t="n"/>
      <c r="K42" s="64">
        <f>IFERROR(INDEX('Status Map'!$B$2:$B$12,MATCH(C42,'Status Map'!$A$2:$A$12,0)),"UNDEFINED")</f>
        <v/>
      </c>
      <c r="L42" s="64">
        <f>IFERROR(INDEX('Status Map'!$C$2:$C$12,MATCH(C42,'Status Map'!$A$2:$A$12,0)),"UNDEFINED")</f>
        <v/>
      </c>
      <c r="M42" s="68" t="inlineStr">
        <is>
          <t>HEADING ONLY</t>
        </is>
      </c>
      <c r="N42" s="68" t="n"/>
      <c r="O42" s="68" t="n"/>
      <c r="P42" s="64">
        <f>IF(O42&lt;&gt;"",O42,LEFT(D42,2))</f>
        <v/>
      </c>
      <c r="Q42" s="64">
        <f>IF(O42&lt;&gt;"","Standards §6",IF(M42="HEADING ONLY","Derived from heading — PROVISIONAL",IF(M42="TEXT NOT IN REGISTRY","No text to derive from — PROVISIONAL","Derived from registered statement")))</f>
        <v/>
      </c>
      <c r="R42" s="64">
        <f>IF(OR(LEFT(G42,1)="A",L42="COUNTS",ISNUMBER(SEARCH("V1",P42)),ISNUMBER(SEARCH("V2",P42)),ISNUMBER(SEARCH("V5",P42))),"A — 100%","B — sample ≥ 30%")</f>
        <v/>
      </c>
      <c r="S42" s="67" t="n"/>
      <c r="T42" s="67" t="n"/>
      <c r="U42" s="67" t="n"/>
      <c r="V42" s="67" t="n"/>
      <c r="W42" s="67" t="n"/>
      <c r="X42" s="67" t="n"/>
    </row>
    <row r="43" ht="22.35" customHeight="1" s="45">
      <c r="A43" s="65" t="inlineStr">
        <is>
          <t>A5.9</t>
        </is>
      </c>
      <c r="B43" s="66" t="inlineStr">
        <is>
          <t>Doc 3</t>
        </is>
      </c>
      <c r="C43" s="66" t="inlineStr">
        <is>
          <t>—</t>
        </is>
      </c>
      <c r="D43" s="66" t="inlineStr">
        <is>
          <t>V7 — Document &amp; design inspection</t>
        </is>
      </c>
      <c r="E43" s="66" t="n"/>
      <c r="F43" s="66" t="inlineStr">
        <is>
          <t>Specification text against implementation description; provenance sections; objective card lines</t>
        </is>
      </c>
      <c r="G43" s="66" t="inlineStr">
        <is>
          <t>A — 100%</t>
        </is>
      </c>
      <c r="H43" s="67" t="n"/>
      <c r="I43" s="67" t="n"/>
      <c r="J43" s="67" t="n"/>
      <c r="K43" s="64">
        <f>IFERROR(INDEX('Status Map'!$B$2:$B$12,MATCH(C43,'Status Map'!$A$2:$A$12,0)),"UNDEFINED")</f>
        <v/>
      </c>
      <c r="L43" s="64">
        <f>IFERROR(INDEX('Status Map'!$C$2:$C$12,MATCH(C43,'Status Map'!$A$2:$A$12,0)),"UNDEFINED")</f>
        <v/>
      </c>
      <c r="M43" s="68" t="inlineStr">
        <is>
          <t>HEADING ONLY</t>
        </is>
      </c>
      <c r="N43" s="68" t="n"/>
      <c r="O43" s="68" t="n"/>
      <c r="P43" s="64">
        <f>IF(O43&lt;&gt;"",O43,LEFT(D43,2))</f>
        <v/>
      </c>
      <c r="Q43" s="64">
        <f>IF(O43&lt;&gt;"","Standards §6",IF(M43="HEADING ONLY","Derived from heading — PROVISIONAL",IF(M43="TEXT NOT IN REGISTRY","No text to derive from — PROVISIONAL","Derived from registered statement")))</f>
        <v/>
      </c>
      <c r="R43" s="64">
        <f>IF(OR(LEFT(G43,1)="A",L43="COUNTS",ISNUMBER(SEARCH("V1",P43)),ISNUMBER(SEARCH("V2",P43)),ISNUMBER(SEARCH("V5",P43))),"A — 100%","B — sample ≥ 30%")</f>
        <v/>
      </c>
      <c r="S43" s="67" t="n"/>
      <c r="T43" s="67" t="n"/>
      <c r="U43" s="67" t="n"/>
      <c r="V43" s="67" t="n"/>
      <c r="W43" s="67" t="n"/>
      <c r="X43" s="67" t="n"/>
    </row>
    <row r="44" ht="22.35" customHeight="1" s="45">
      <c r="A44" s="65" t="inlineStr">
        <is>
          <t>B5.1</t>
        </is>
      </c>
      <c r="B44" s="66" t="inlineStr">
        <is>
          <t>Doc 3</t>
        </is>
      </c>
      <c r="C44" s="66" t="inlineStr">
        <is>
          <t>CANON</t>
        </is>
      </c>
      <c r="D44" s="66" t="inlineStr">
        <is>
          <t>V7 — Document &amp; design inspection</t>
        </is>
      </c>
      <c r="E44" s="66" t="n"/>
      <c r="F44" s="66" t="inlineStr">
        <is>
          <t>Specification text against implementation description; provenance sections; objective card lines</t>
        </is>
      </c>
      <c r="G44" s="66" t="inlineStr">
        <is>
          <t>A — 100%</t>
        </is>
      </c>
      <c r="H44" s="67" t="n"/>
      <c r="I44" s="67" t="n"/>
      <c r="J44" s="67" t="n"/>
      <c r="K44" s="64">
        <f>IFERROR(INDEX('Status Map'!$B$2:$B$12,MATCH(C44,'Status Map'!$A$2:$A$12,0)),"UNDEFINED")</f>
        <v/>
      </c>
      <c r="L44" s="64">
        <f>IFERROR(INDEX('Status Map'!$C$2:$C$12,MATCH(C44,'Status Map'!$A$2:$A$12,0)),"UNDEFINED")</f>
        <v/>
      </c>
      <c r="M44" s="68" t="inlineStr">
        <is>
          <t>HEADING ONLY</t>
        </is>
      </c>
      <c r="N44" s="68" t="n"/>
      <c r="O44" s="68" t="n"/>
      <c r="P44" s="64">
        <f>IF(O44&lt;&gt;"",O44,LEFT(D44,2))</f>
        <v/>
      </c>
      <c r="Q44" s="64">
        <f>IF(O44&lt;&gt;"","Standards §6",IF(M44="HEADING ONLY","Derived from heading — PROVISIONAL",IF(M44="TEXT NOT IN REGISTRY","No text to derive from — PROVISIONAL","Derived from registered statement")))</f>
        <v/>
      </c>
      <c r="R44" s="64">
        <f>IF(OR(LEFT(G44,1)="A",L44="COUNTS",ISNUMBER(SEARCH("V1",P44)),ISNUMBER(SEARCH("V2",P44)),ISNUMBER(SEARCH("V5",P44))),"A — 100%","B — sample ≥ 30%")</f>
        <v/>
      </c>
      <c r="S44" s="67" t="n"/>
      <c r="T44" s="67" t="n"/>
      <c r="U44" s="67" t="n"/>
      <c r="V44" s="67" t="n"/>
      <c r="W44" s="67" t="n"/>
      <c r="X44" s="67" t="n"/>
    </row>
    <row r="45" ht="22.35" customHeight="1" s="45">
      <c r="A45" s="65" t="inlineStr">
        <is>
          <t>B5.2</t>
        </is>
      </c>
      <c r="B45" s="66" t="inlineStr">
        <is>
          <t>Doc 3</t>
        </is>
      </c>
      <c r="C45" s="66" t="inlineStr">
        <is>
          <t>CANON</t>
        </is>
      </c>
      <c r="D45" s="66" t="inlineStr">
        <is>
          <t>V1 — Test evidence</t>
        </is>
      </c>
      <c r="E45" s="66" t="n"/>
      <c r="F45" s="66" t="inlineStr">
        <is>
          <t>Golden-input, byte-identical output; RED-first test ID; ratchet manifest entry</t>
        </is>
      </c>
      <c r="G45" s="66" t="inlineStr">
        <is>
          <t>A — 100%</t>
        </is>
      </c>
      <c r="H45" s="67" t="n"/>
      <c r="I45" s="67" t="n"/>
      <c r="J45" s="67" t="n"/>
      <c r="K45" s="64">
        <f>IFERROR(INDEX('Status Map'!$B$2:$B$12,MATCH(C45,'Status Map'!$A$2:$A$12,0)),"UNDEFINED")</f>
        <v/>
      </c>
      <c r="L45" s="64">
        <f>IFERROR(INDEX('Status Map'!$C$2:$C$12,MATCH(C45,'Status Map'!$A$2:$A$12,0)),"UNDEFINED")</f>
        <v/>
      </c>
      <c r="M45" s="68" t="inlineStr">
        <is>
          <t>HEADING ONLY</t>
        </is>
      </c>
      <c r="N45" s="68" t="n"/>
      <c r="O45" s="68" t="n"/>
      <c r="P45" s="64">
        <f>IF(O45&lt;&gt;"",O45,LEFT(D45,2))</f>
        <v/>
      </c>
      <c r="Q45" s="64">
        <f>IF(O45&lt;&gt;"","Standards §6",IF(M45="HEADING ONLY","Derived from heading — PROVISIONAL",IF(M45="TEXT NOT IN REGISTRY","No text to derive from — PROVISIONAL","Derived from registered statement")))</f>
        <v/>
      </c>
      <c r="R45" s="64">
        <f>IF(OR(LEFT(G45,1)="A",L45="COUNTS",ISNUMBER(SEARCH("V1",P45)),ISNUMBER(SEARCH("V2",P45)),ISNUMBER(SEARCH("V5",P45))),"A — 100%","B — sample ≥ 30%")</f>
        <v/>
      </c>
      <c r="S45" s="67" t="n"/>
      <c r="T45" s="67" t="n"/>
      <c r="U45" s="67" t="n"/>
      <c r="V45" s="67" t="n"/>
      <c r="W45" s="67" t="n"/>
      <c r="X45" s="67" t="n"/>
    </row>
    <row r="46" ht="22.35" customHeight="1" s="45">
      <c r="A46" s="65" t="inlineStr">
        <is>
          <t>B5.3</t>
        </is>
      </c>
      <c r="B46" s="66" t="inlineStr">
        <is>
          <t>Doc 3</t>
        </is>
      </c>
      <c r="C46" s="66" t="inlineStr">
        <is>
          <t>CANON</t>
        </is>
      </c>
      <c r="D46" s="66" t="inlineStr">
        <is>
          <t>V7 — Document &amp; design inspection</t>
        </is>
      </c>
      <c r="E46" s="66" t="n"/>
      <c r="F46" s="66" t="inlineStr">
        <is>
          <t>Specification text against implementation description; provenance sections; objective card lines</t>
        </is>
      </c>
      <c r="G46" s="66" t="inlineStr">
        <is>
          <t>A — 100%</t>
        </is>
      </c>
      <c r="H46" s="67" t="n"/>
      <c r="I46" s="67" t="n"/>
      <c r="J46" s="67" t="n"/>
      <c r="K46" s="64">
        <f>IFERROR(INDEX('Status Map'!$B$2:$B$12,MATCH(C46,'Status Map'!$A$2:$A$12,0)),"UNDEFINED")</f>
        <v/>
      </c>
      <c r="L46" s="64">
        <f>IFERROR(INDEX('Status Map'!$C$2:$C$12,MATCH(C46,'Status Map'!$A$2:$A$12,0)),"UNDEFINED")</f>
        <v/>
      </c>
      <c r="M46" s="68" t="inlineStr">
        <is>
          <t>HEADING ONLY</t>
        </is>
      </c>
      <c r="N46" s="68" t="n"/>
      <c r="O46" s="68" t="n"/>
      <c r="P46" s="64">
        <f>IF(O46&lt;&gt;"",O46,LEFT(D46,2))</f>
        <v/>
      </c>
      <c r="Q46" s="64">
        <f>IF(O46&lt;&gt;"","Standards §6",IF(M46="HEADING ONLY","Derived from heading — PROVISIONAL",IF(M46="TEXT NOT IN REGISTRY","No text to derive from — PROVISIONAL","Derived from registered statement")))</f>
        <v/>
      </c>
      <c r="R46" s="64">
        <f>IF(OR(LEFT(G46,1)="A",L46="COUNTS",ISNUMBER(SEARCH("V1",P46)),ISNUMBER(SEARCH("V2",P46)),ISNUMBER(SEARCH("V5",P46))),"A — 100%","B — sample ≥ 30%")</f>
        <v/>
      </c>
      <c r="S46" s="67" t="n"/>
      <c r="T46" s="67" t="n"/>
      <c r="U46" s="67" t="n"/>
      <c r="V46" s="67" t="n"/>
      <c r="W46" s="67" t="n"/>
      <c r="X46" s="67" t="n"/>
    </row>
    <row r="47" ht="22.35" customHeight="1" s="45">
      <c r="A47" s="65" t="inlineStr">
        <is>
          <t>B5.4</t>
        </is>
      </c>
      <c r="B47" s="66" t="inlineStr">
        <is>
          <t>Doc 3</t>
        </is>
      </c>
      <c r="C47" s="66" t="inlineStr">
        <is>
          <t>CANON</t>
        </is>
      </c>
      <c r="D47" s="66" t="inlineStr">
        <is>
          <t>V3 — Record evidence</t>
        </is>
      </c>
      <c r="E47" s="66" t="n"/>
      <c r="F47" s="66" t="inlineStr">
        <is>
          <t>Ledger rows inspected; hash-chain verifier receipt; refused operations present on identical terms</t>
        </is>
      </c>
      <c r="G47" s="66" t="inlineStr">
        <is>
          <t>A — 100%</t>
        </is>
      </c>
      <c r="H47" s="67" t="n"/>
      <c r="I47" s="67" t="n"/>
      <c r="J47" s="67" t="n"/>
      <c r="K47" s="64">
        <f>IFERROR(INDEX('Status Map'!$B$2:$B$12,MATCH(C47,'Status Map'!$A$2:$A$12,0)),"UNDEFINED")</f>
        <v/>
      </c>
      <c r="L47" s="64">
        <f>IFERROR(INDEX('Status Map'!$C$2:$C$12,MATCH(C47,'Status Map'!$A$2:$A$12,0)),"UNDEFINED")</f>
        <v/>
      </c>
      <c r="M47" s="68" t="inlineStr">
        <is>
          <t>HEADING ONLY</t>
        </is>
      </c>
      <c r="N47" s="68" t="n"/>
      <c r="O47" s="68" t="n"/>
      <c r="P47" s="64">
        <f>IF(O47&lt;&gt;"",O47,LEFT(D47,2))</f>
        <v/>
      </c>
      <c r="Q47" s="64">
        <f>IF(O47&lt;&gt;"","Standards §6",IF(M47="HEADING ONLY","Derived from heading — PROVISIONAL",IF(M47="TEXT NOT IN REGISTRY","No text to derive from — PROVISIONAL","Derived from registered statement")))</f>
        <v/>
      </c>
      <c r="R47" s="64">
        <f>IF(OR(LEFT(G47,1)="A",L47="COUNTS",ISNUMBER(SEARCH("V1",P47)),ISNUMBER(SEARCH("V2",P47)),ISNUMBER(SEARCH("V5",P47))),"A — 100%","B — sample ≥ 30%")</f>
        <v/>
      </c>
      <c r="S47" s="67" t="n"/>
      <c r="T47" s="67" t="n"/>
      <c r="U47" s="67" t="n"/>
      <c r="V47" s="67" t="n"/>
      <c r="W47" s="67" t="n"/>
      <c r="X47" s="67" t="n"/>
    </row>
    <row r="48" ht="22.35" customHeight="1" s="45">
      <c r="A48" s="65" t="inlineStr">
        <is>
          <t>B5.5</t>
        </is>
      </c>
      <c r="B48" s="66" t="inlineStr">
        <is>
          <t>Doc 3</t>
        </is>
      </c>
      <c r="C48" s="66" t="inlineStr">
        <is>
          <t>CANON</t>
        </is>
      </c>
      <c r="D48" s="66" t="inlineStr">
        <is>
          <t>V7 — Document &amp; design inspection</t>
        </is>
      </c>
      <c r="E48" s="66" t="n"/>
      <c r="F48" s="66" t="inlineStr">
        <is>
          <t>Specification text against implementation description; provenance sections; objective card lines</t>
        </is>
      </c>
      <c r="G48" s="66" t="inlineStr">
        <is>
          <t>A — 100%</t>
        </is>
      </c>
      <c r="H48" s="67" t="n"/>
      <c r="I48" s="67" t="n"/>
      <c r="J48" s="67" t="n"/>
      <c r="K48" s="64">
        <f>IFERROR(INDEX('Status Map'!$B$2:$B$12,MATCH(C48,'Status Map'!$A$2:$A$12,0)),"UNDEFINED")</f>
        <v/>
      </c>
      <c r="L48" s="64">
        <f>IFERROR(INDEX('Status Map'!$C$2:$C$12,MATCH(C48,'Status Map'!$A$2:$A$12,0)),"UNDEFINED")</f>
        <v/>
      </c>
      <c r="M48" s="68" t="inlineStr">
        <is>
          <t>HEADING ONLY</t>
        </is>
      </c>
      <c r="N48" s="68" t="n"/>
      <c r="O48" s="68" t="n"/>
      <c r="P48" s="64">
        <f>IF(O48&lt;&gt;"",O48,LEFT(D48,2))</f>
        <v/>
      </c>
      <c r="Q48" s="64">
        <f>IF(O48&lt;&gt;"","Standards §6",IF(M48="HEADING ONLY","Derived from heading — PROVISIONAL",IF(M48="TEXT NOT IN REGISTRY","No text to derive from — PROVISIONAL","Derived from registered statement")))</f>
        <v/>
      </c>
      <c r="R48" s="64">
        <f>IF(OR(LEFT(G48,1)="A",L48="COUNTS",ISNUMBER(SEARCH("V1",P48)),ISNUMBER(SEARCH("V2",P48)),ISNUMBER(SEARCH("V5",P48))),"A — 100%","B — sample ≥ 30%")</f>
        <v/>
      </c>
      <c r="S48" s="67" t="n"/>
      <c r="T48" s="67" t="n"/>
      <c r="U48" s="67" t="n"/>
      <c r="V48" s="67" t="n"/>
      <c r="W48" s="67" t="n"/>
      <c r="X48" s="67" t="n"/>
    </row>
    <row r="49" ht="22.35" customHeight="1" s="45">
      <c r="A49" s="65" t="inlineStr">
        <is>
          <t>B5.1</t>
        </is>
      </c>
      <c r="B49" s="66" t="inlineStr">
        <is>
          <t>Doc 4</t>
        </is>
      </c>
      <c r="C49" s="66" t="inlineStr">
        <is>
          <t>CANON</t>
        </is>
      </c>
      <c r="D49" s="66" t="inlineStr">
        <is>
          <t>V7 — Document &amp; design inspection</t>
        </is>
      </c>
      <c r="E49" s="66" t="n"/>
      <c r="F49" s="66" t="inlineStr">
        <is>
          <t>Specification text against implementation description; provenance sections; objective card lines</t>
        </is>
      </c>
      <c r="G49" s="66" t="inlineStr">
        <is>
          <t>A — 100%</t>
        </is>
      </c>
      <c r="H49" s="67" t="n"/>
      <c r="I49" s="67" t="n"/>
      <c r="J49" s="67" t="n"/>
      <c r="K49" s="64">
        <f>IFERROR(INDEX('Status Map'!$B$2:$B$12,MATCH(C49,'Status Map'!$A$2:$A$12,0)),"UNDEFINED")</f>
        <v/>
      </c>
      <c r="L49" s="64">
        <f>IFERROR(INDEX('Status Map'!$C$2:$C$12,MATCH(C49,'Status Map'!$A$2:$A$12,0)),"UNDEFINED")</f>
        <v/>
      </c>
      <c r="M49" s="68" t="inlineStr">
        <is>
          <t>HEADING ONLY</t>
        </is>
      </c>
      <c r="N49" s="68" t="n"/>
      <c r="O49" s="68" t="n"/>
      <c r="P49" s="64">
        <f>IF(O49&lt;&gt;"",O49,LEFT(D49,2))</f>
        <v/>
      </c>
      <c r="Q49" s="64">
        <f>IF(O49&lt;&gt;"","Standards §6",IF(M49="HEADING ONLY","Derived from heading — PROVISIONAL",IF(M49="TEXT NOT IN REGISTRY","No text to derive from — PROVISIONAL","Derived from registered statement")))</f>
        <v/>
      </c>
      <c r="R49" s="64">
        <f>IF(OR(LEFT(G49,1)="A",L49="COUNTS",ISNUMBER(SEARCH("V1",P49)),ISNUMBER(SEARCH("V2",P49)),ISNUMBER(SEARCH("V5",P49))),"A — 100%","B — sample ≥ 30%")</f>
        <v/>
      </c>
      <c r="S49" s="67" t="n"/>
      <c r="T49" s="67" t="n"/>
      <c r="U49" s="67" t="n"/>
      <c r="V49" s="67" t="n"/>
      <c r="W49" s="67" t="n"/>
      <c r="X49" s="67" t="n"/>
    </row>
    <row r="50" ht="22.35" customHeight="1" s="45">
      <c r="A50" s="65" t="inlineStr">
        <is>
          <t>B5.2</t>
        </is>
      </c>
      <c r="B50" s="66" t="inlineStr">
        <is>
          <t>Doc 4</t>
        </is>
      </c>
      <c r="C50" s="66" t="inlineStr">
        <is>
          <t>CANON</t>
        </is>
      </c>
      <c r="D50" s="66" t="inlineStr">
        <is>
          <t>V7 — Document &amp; design inspection</t>
        </is>
      </c>
      <c r="E50" s="66" t="n"/>
      <c r="F50" s="66" t="inlineStr">
        <is>
          <t>Specification text against implementation description; provenance sections; objective card lines</t>
        </is>
      </c>
      <c r="G50" s="66" t="inlineStr">
        <is>
          <t>A — 100%</t>
        </is>
      </c>
      <c r="H50" s="67" t="n"/>
      <c r="I50" s="67" t="n"/>
      <c r="J50" s="67" t="n"/>
      <c r="K50" s="64">
        <f>IFERROR(INDEX('Status Map'!$B$2:$B$12,MATCH(C50,'Status Map'!$A$2:$A$12,0)),"UNDEFINED")</f>
        <v/>
      </c>
      <c r="L50" s="64">
        <f>IFERROR(INDEX('Status Map'!$C$2:$C$12,MATCH(C50,'Status Map'!$A$2:$A$12,0)),"UNDEFINED")</f>
        <v/>
      </c>
      <c r="M50" s="68" t="inlineStr">
        <is>
          <t>HEADING ONLY</t>
        </is>
      </c>
      <c r="N50" s="68" t="n"/>
      <c r="O50" s="68" t="n"/>
      <c r="P50" s="64">
        <f>IF(O50&lt;&gt;"",O50,LEFT(D50,2))</f>
        <v/>
      </c>
      <c r="Q50" s="64">
        <f>IF(O50&lt;&gt;"","Standards §6",IF(M50="HEADING ONLY","Derived from heading — PROVISIONAL",IF(M50="TEXT NOT IN REGISTRY","No text to derive from — PROVISIONAL","Derived from registered statement")))</f>
        <v/>
      </c>
      <c r="R50" s="64">
        <f>IF(OR(LEFT(G50,1)="A",L50="COUNTS",ISNUMBER(SEARCH("V1",P50)),ISNUMBER(SEARCH("V2",P50)),ISNUMBER(SEARCH("V5",P50))),"A — 100%","B — sample ≥ 30%")</f>
        <v/>
      </c>
      <c r="S50" s="67" t="n"/>
      <c r="T50" s="67" t="n"/>
      <c r="U50" s="67" t="n"/>
      <c r="V50" s="67" t="n"/>
      <c r="W50" s="67" t="n"/>
      <c r="X50" s="67" t="n"/>
    </row>
    <row r="51" ht="22.35" customHeight="1" s="45">
      <c r="A51" s="65" t="inlineStr">
        <is>
          <t>B5.3</t>
        </is>
      </c>
      <c r="B51" s="66" t="inlineStr">
        <is>
          <t>Doc 4</t>
        </is>
      </c>
      <c r="C51" s="66" t="inlineStr">
        <is>
          <t>CANON</t>
        </is>
      </c>
      <c r="D51" s="66" t="inlineStr">
        <is>
          <t>V7 — Document &amp; design inspection</t>
        </is>
      </c>
      <c r="E51" s="66" t="n"/>
      <c r="F51" s="66" t="inlineStr">
        <is>
          <t>Specification text against implementation description; provenance sections; objective card lines</t>
        </is>
      </c>
      <c r="G51" s="66" t="inlineStr">
        <is>
          <t>A — 100%</t>
        </is>
      </c>
      <c r="H51" s="67" t="n"/>
      <c r="I51" s="67" t="n"/>
      <c r="J51" s="67" t="n"/>
      <c r="K51" s="64">
        <f>IFERROR(INDEX('Status Map'!$B$2:$B$12,MATCH(C51,'Status Map'!$A$2:$A$12,0)),"UNDEFINED")</f>
        <v/>
      </c>
      <c r="L51" s="64">
        <f>IFERROR(INDEX('Status Map'!$C$2:$C$12,MATCH(C51,'Status Map'!$A$2:$A$12,0)),"UNDEFINED")</f>
        <v/>
      </c>
      <c r="M51" s="68" t="inlineStr">
        <is>
          <t>HEADING ONLY</t>
        </is>
      </c>
      <c r="N51" s="68" t="n"/>
      <c r="O51" s="68" t="n"/>
      <c r="P51" s="64">
        <f>IF(O51&lt;&gt;"",O51,LEFT(D51,2))</f>
        <v/>
      </c>
      <c r="Q51" s="64">
        <f>IF(O51&lt;&gt;"","Standards §6",IF(M51="HEADING ONLY","Derived from heading — PROVISIONAL",IF(M51="TEXT NOT IN REGISTRY","No text to derive from — PROVISIONAL","Derived from registered statement")))</f>
        <v/>
      </c>
      <c r="R51" s="64">
        <f>IF(OR(LEFT(G51,1)="A",L51="COUNTS",ISNUMBER(SEARCH("V1",P51)),ISNUMBER(SEARCH("V2",P51)),ISNUMBER(SEARCH("V5",P51))),"A — 100%","B — sample ≥ 30%")</f>
        <v/>
      </c>
      <c r="S51" s="67" t="n"/>
      <c r="T51" s="67" t="n"/>
      <c r="U51" s="67" t="n"/>
      <c r="V51" s="67" t="n"/>
      <c r="W51" s="67" t="n"/>
      <c r="X51" s="67" t="n"/>
    </row>
    <row r="52" ht="22.35" customHeight="1" s="45">
      <c r="A52" s="65" t="inlineStr">
        <is>
          <t>C5.1</t>
        </is>
      </c>
      <c r="B52" s="66" t="inlineStr">
        <is>
          <t>Doc 4</t>
        </is>
      </c>
      <c r="C52" s="66" t="inlineStr">
        <is>
          <t>CANON</t>
        </is>
      </c>
      <c r="D52" s="66" t="inlineStr">
        <is>
          <t>V7 — Document &amp; design inspection</t>
        </is>
      </c>
      <c r="E52" s="66" t="n"/>
      <c r="F52" s="66" t="inlineStr">
        <is>
          <t>Specification text against implementation description; provenance sections; objective card lines</t>
        </is>
      </c>
      <c r="G52" s="66" t="inlineStr">
        <is>
          <t>A — 100%</t>
        </is>
      </c>
      <c r="H52" s="67" t="n"/>
      <c r="I52" s="67" t="n"/>
      <c r="J52" s="67" t="n"/>
      <c r="K52" s="64">
        <f>IFERROR(INDEX('Status Map'!$B$2:$B$12,MATCH(C52,'Status Map'!$A$2:$A$12,0)),"UNDEFINED")</f>
        <v/>
      </c>
      <c r="L52" s="64">
        <f>IFERROR(INDEX('Status Map'!$C$2:$C$12,MATCH(C52,'Status Map'!$A$2:$A$12,0)),"UNDEFINED")</f>
        <v/>
      </c>
      <c r="M52" s="68" t="inlineStr">
        <is>
          <t>HEADING ONLY</t>
        </is>
      </c>
      <c r="N52" s="68" t="n"/>
      <c r="O52" s="68" t="n"/>
      <c r="P52" s="64">
        <f>IF(O52&lt;&gt;"",O52,LEFT(D52,2))</f>
        <v/>
      </c>
      <c r="Q52" s="64">
        <f>IF(O52&lt;&gt;"","Standards §6",IF(M52="HEADING ONLY","Derived from heading — PROVISIONAL",IF(M52="TEXT NOT IN REGISTRY","No text to derive from — PROVISIONAL","Derived from registered statement")))</f>
        <v/>
      </c>
      <c r="R52" s="64">
        <f>IF(OR(LEFT(G52,1)="A",L52="COUNTS",ISNUMBER(SEARCH("V1",P52)),ISNUMBER(SEARCH("V2",P52)),ISNUMBER(SEARCH("V5",P52))),"A — 100%","B — sample ≥ 30%")</f>
        <v/>
      </c>
      <c r="S52" s="67" t="n"/>
      <c r="T52" s="67" t="n"/>
      <c r="U52" s="67" t="n"/>
      <c r="V52" s="67" t="n"/>
      <c r="W52" s="67" t="n"/>
      <c r="X52" s="67" t="n"/>
    </row>
    <row r="53" ht="22.35" customHeight="1" s="45">
      <c r="A53" s="65" t="inlineStr">
        <is>
          <t>C5.2</t>
        </is>
      </c>
      <c r="B53" s="66" t="inlineStr">
        <is>
          <t>Doc 4</t>
        </is>
      </c>
      <c r="C53" s="66" t="inlineStr">
        <is>
          <t>CANON</t>
        </is>
      </c>
      <c r="D53" s="66" t="inlineStr">
        <is>
          <t>V6 — Surface inspection</t>
        </is>
      </c>
      <c r="E53" s="66" t="n"/>
      <c r="F53" s="66" t="inlineStr">
        <is>
          <t>DOM-bound substitution rule or harness receipt; fixed string verbatim; honest-gap variant rendered on null</t>
        </is>
      </c>
      <c r="G53" s="66" t="inlineStr">
        <is>
          <t>A — 100%</t>
        </is>
      </c>
      <c r="H53" s="67" t="n"/>
      <c r="I53" s="67" t="n"/>
      <c r="J53" s="67" t="n"/>
      <c r="K53" s="64">
        <f>IFERROR(INDEX('Status Map'!$B$2:$B$12,MATCH(C53,'Status Map'!$A$2:$A$12,0)),"UNDEFINED")</f>
        <v/>
      </c>
      <c r="L53" s="64">
        <f>IFERROR(INDEX('Status Map'!$C$2:$C$12,MATCH(C53,'Status Map'!$A$2:$A$12,0)),"UNDEFINED")</f>
        <v/>
      </c>
      <c r="M53" s="68" t="inlineStr">
        <is>
          <t>HEADING ONLY</t>
        </is>
      </c>
      <c r="N53" s="68" t="n"/>
      <c r="O53" s="68" t="n"/>
      <c r="P53" s="64">
        <f>IF(O53&lt;&gt;"",O53,LEFT(D53,2))</f>
        <v/>
      </c>
      <c r="Q53" s="64">
        <f>IF(O53&lt;&gt;"","Standards §6",IF(M53="HEADING ONLY","Derived from heading — PROVISIONAL",IF(M53="TEXT NOT IN REGISTRY","No text to derive from — PROVISIONAL","Derived from registered statement")))</f>
        <v/>
      </c>
      <c r="R53" s="64">
        <f>IF(OR(LEFT(G53,1)="A",L53="COUNTS",ISNUMBER(SEARCH("V1",P53)),ISNUMBER(SEARCH("V2",P53)),ISNUMBER(SEARCH("V5",P53))),"A — 100%","B — sample ≥ 30%")</f>
        <v/>
      </c>
      <c r="S53" s="67" t="n"/>
      <c r="T53" s="67" t="n"/>
      <c r="U53" s="67" t="n"/>
      <c r="V53" s="67" t="n"/>
      <c r="W53" s="67" t="n"/>
      <c r="X53" s="67" t="n"/>
    </row>
    <row r="54" ht="22.35" customHeight="1" s="45">
      <c r="A54" s="65" t="inlineStr">
        <is>
          <t>C5.3</t>
        </is>
      </c>
      <c r="B54" s="66" t="inlineStr">
        <is>
          <t>Doc 4</t>
        </is>
      </c>
      <c r="C54" s="66" t="inlineStr">
        <is>
          <t>CANON</t>
        </is>
      </c>
      <c r="D54" s="66" t="inlineStr">
        <is>
          <t>V7 — Document &amp; design inspection</t>
        </is>
      </c>
      <c r="E54" s="66" t="n"/>
      <c r="F54" s="66" t="inlineStr">
        <is>
          <t>Specification text against implementation description; provenance sections; objective card lines</t>
        </is>
      </c>
      <c r="G54" s="66" t="inlineStr">
        <is>
          <t>A — 100%</t>
        </is>
      </c>
      <c r="H54" s="67" t="n"/>
      <c r="I54" s="67" t="n"/>
      <c r="J54" s="67" t="n"/>
      <c r="K54" s="64">
        <f>IFERROR(INDEX('Status Map'!$B$2:$B$12,MATCH(C54,'Status Map'!$A$2:$A$12,0)),"UNDEFINED")</f>
        <v/>
      </c>
      <c r="L54" s="64">
        <f>IFERROR(INDEX('Status Map'!$C$2:$C$12,MATCH(C54,'Status Map'!$A$2:$A$12,0)),"UNDEFINED")</f>
        <v/>
      </c>
      <c r="M54" s="68" t="inlineStr">
        <is>
          <t>HEADING ONLY</t>
        </is>
      </c>
      <c r="N54" s="68" t="n"/>
      <c r="O54" s="68" t="n"/>
      <c r="P54" s="64">
        <f>IF(O54&lt;&gt;"",O54,LEFT(D54,2))</f>
        <v/>
      </c>
      <c r="Q54" s="64">
        <f>IF(O54&lt;&gt;"","Standards §6",IF(M54="HEADING ONLY","Derived from heading — PROVISIONAL",IF(M54="TEXT NOT IN REGISTRY","No text to derive from — PROVISIONAL","Derived from registered statement")))</f>
        <v/>
      </c>
      <c r="R54" s="64">
        <f>IF(OR(LEFT(G54,1)="A",L54="COUNTS",ISNUMBER(SEARCH("V1",P54)),ISNUMBER(SEARCH("V2",P54)),ISNUMBER(SEARCH("V5",P54))),"A — 100%","B — sample ≥ 30%")</f>
        <v/>
      </c>
      <c r="S54" s="67" t="n"/>
      <c r="T54" s="67" t="n"/>
      <c r="U54" s="67" t="n"/>
      <c r="V54" s="67" t="n"/>
      <c r="W54" s="67" t="n"/>
      <c r="X54" s="67" t="n"/>
    </row>
    <row r="55" ht="22.35" customHeight="1" s="45">
      <c r="A55" s="65" t="inlineStr">
        <is>
          <t>C5.4</t>
        </is>
      </c>
      <c r="B55" s="66" t="inlineStr">
        <is>
          <t>Doc 4</t>
        </is>
      </c>
      <c r="C55" s="66" t="inlineStr">
        <is>
          <t>CANON</t>
        </is>
      </c>
      <c r="D55" s="66" t="inlineStr">
        <is>
          <t>V7 — Document &amp; design inspection</t>
        </is>
      </c>
      <c r="E55" s="66" t="n"/>
      <c r="F55" s="66" t="inlineStr">
        <is>
          <t>Specification text against implementation description; provenance sections; objective card lines</t>
        </is>
      </c>
      <c r="G55" s="66" t="inlineStr">
        <is>
          <t>A — 100%</t>
        </is>
      </c>
      <c r="H55" s="67" t="n"/>
      <c r="I55" s="67" t="n"/>
      <c r="J55" s="67" t="n"/>
      <c r="K55" s="64">
        <f>IFERROR(INDEX('Status Map'!$B$2:$B$12,MATCH(C55,'Status Map'!$A$2:$A$12,0)),"UNDEFINED")</f>
        <v/>
      </c>
      <c r="L55" s="64">
        <f>IFERROR(INDEX('Status Map'!$C$2:$C$12,MATCH(C55,'Status Map'!$A$2:$A$12,0)),"UNDEFINED")</f>
        <v/>
      </c>
      <c r="M55" s="68" t="inlineStr">
        <is>
          <t>HEADING ONLY</t>
        </is>
      </c>
      <c r="N55" s="68" t="n"/>
      <c r="O55" s="68" t="n"/>
      <c r="P55" s="64">
        <f>IF(O55&lt;&gt;"",O55,LEFT(D55,2))</f>
        <v/>
      </c>
      <c r="Q55" s="64">
        <f>IF(O55&lt;&gt;"","Standards §6",IF(M55="HEADING ONLY","Derived from heading — PROVISIONAL",IF(M55="TEXT NOT IN REGISTRY","No text to derive from — PROVISIONAL","Derived from registered statement")))</f>
        <v/>
      </c>
      <c r="R55" s="64">
        <f>IF(OR(LEFT(G55,1)="A",L55="COUNTS",ISNUMBER(SEARCH("V1",P55)),ISNUMBER(SEARCH("V2",P55)),ISNUMBER(SEARCH("V5",P55))),"A — 100%","B — sample ≥ 30%")</f>
        <v/>
      </c>
      <c r="S55" s="67" t="n"/>
      <c r="T55" s="67" t="n"/>
      <c r="U55" s="67" t="n"/>
      <c r="V55" s="67" t="n"/>
      <c r="W55" s="67" t="n"/>
      <c r="X55" s="67" t="n"/>
    </row>
    <row r="56" ht="22.35" customHeight="1" s="45">
      <c r="A56" s="65" t="inlineStr">
        <is>
          <t>C5.5</t>
        </is>
      </c>
      <c r="B56" s="66" t="inlineStr">
        <is>
          <t>Doc 4</t>
        </is>
      </c>
      <c r="C56" s="66" t="inlineStr">
        <is>
          <t>CANON</t>
        </is>
      </c>
      <c r="D56" s="66" t="inlineStr">
        <is>
          <t>V7 — Document &amp; design inspection</t>
        </is>
      </c>
      <c r="E56" s="66" t="n"/>
      <c r="F56" s="66" t="inlineStr">
        <is>
          <t>Specification text against implementation description; provenance sections; objective card lines</t>
        </is>
      </c>
      <c r="G56" s="66" t="inlineStr">
        <is>
          <t>A — 100%</t>
        </is>
      </c>
      <c r="H56" s="67" t="n"/>
      <c r="I56" s="67" t="n"/>
      <c r="J56" s="67" t="n"/>
      <c r="K56" s="64">
        <f>IFERROR(INDEX('Status Map'!$B$2:$B$12,MATCH(C56,'Status Map'!$A$2:$A$12,0)),"UNDEFINED")</f>
        <v/>
      </c>
      <c r="L56" s="64">
        <f>IFERROR(INDEX('Status Map'!$C$2:$C$12,MATCH(C56,'Status Map'!$A$2:$A$12,0)),"UNDEFINED")</f>
        <v/>
      </c>
      <c r="M56" s="68" t="inlineStr">
        <is>
          <t>HEADING ONLY</t>
        </is>
      </c>
      <c r="N56" s="68" t="n"/>
      <c r="O56" s="68" t="n"/>
      <c r="P56" s="64">
        <f>IF(O56&lt;&gt;"",O56,LEFT(D56,2))</f>
        <v/>
      </c>
      <c r="Q56" s="64">
        <f>IF(O56&lt;&gt;"","Standards §6",IF(M56="HEADING ONLY","Derived from heading — PROVISIONAL",IF(M56="TEXT NOT IN REGISTRY","No text to derive from — PROVISIONAL","Derived from registered statement")))</f>
        <v/>
      </c>
      <c r="R56" s="64">
        <f>IF(OR(LEFT(G56,1)="A",L56="COUNTS",ISNUMBER(SEARCH("V1",P56)),ISNUMBER(SEARCH("V2",P56)),ISNUMBER(SEARCH("V5",P56))),"A — 100%","B — sample ≥ 30%")</f>
        <v/>
      </c>
      <c r="S56" s="67" t="n"/>
      <c r="T56" s="67" t="n"/>
      <c r="U56" s="67" t="n"/>
      <c r="V56" s="67" t="n"/>
      <c r="W56" s="67" t="n"/>
      <c r="X56" s="67" t="n"/>
    </row>
    <row r="57" ht="22.35" customHeight="1" s="45">
      <c r="A57" s="65" t="inlineStr">
        <is>
          <t>C5.6</t>
        </is>
      </c>
      <c r="B57" s="66" t="inlineStr">
        <is>
          <t>Doc 4</t>
        </is>
      </c>
      <c r="C57" s="66" t="inlineStr">
        <is>
          <t>CANON</t>
        </is>
      </c>
      <c r="D57" s="66" t="inlineStr">
        <is>
          <t>V7 — Document &amp; design inspection</t>
        </is>
      </c>
      <c r="E57" s="66" t="n"/>
      <c r="F57" s="66" t="inlineStr">
        <is>
          <t>Specification text against implementation description; provenance sections; objective card lines</t>
        </is>
      </c>
      <c r="G57" s="66" t="inlineStr">
        <is>
          <t>A — 100%</t>
        </is>
      </c>
      <c r="H57" s="67" t="n"/>
      <c r="I57" s="67" t="n"/>
      <c r="J57" s="67" t="n"/>
      <c r="K57" s="64">
        <f>IFERROR(INDEX('Status Map'!$B$2:$B$12,MATCH(C57,'Status Map'!$A$2:$A$12,0)),"UNDEFINED")</f>
        <v/>
      </c>
      <c r="L57" s="64">
        <f>IFERROR(INDEX('Status Map'!$C$2:$C$12,MATCH(C57,'Status Map'!$A$2:$A$12,0)),"UNDEFINED")</f>
        <v/>
      </c>
      <c r="M57" s="68" t="inlineStr">
        <is>
          <t>HEADING ONLY</t>
        </is>
      </c>
      <c r="N57" s="68" t="n"/>
      <c r="O57" s="68" t="n"/>
      <c r="P57" s="64">
        <f>IF(O57&lt;&gt;"",O57,LEFT(D57,2))</f>
        <v/>
      </c>
      <c r="Q57" s="64">
        <f>IF(O57&lt;&gt;"","Standards §6",IF(M57="HEADING ONLY","Derived from heading — PROVISIONAL",IF(M57="TEXT NOT IN REGISTRY","No text to derive from — PROVISIONAL","Derived from registered statement")))</f>
        <v/>
      </c>
      <c r="R57" s="64">
        <f>IF(OR(LEFT(G57,1)="A",L57="COUNTS",ISNUMBER(SEARCH("V1",P57)),ISNUMBER(SEARCH("V2",P57)),ISNUMBER(SEARCH("V5",P57))),"A — 100%","B — sample ≥ 30%")</f>
        <v/>
      </c>
      <c r="S57" s="67" t="n"/>
      <c r="T57" s="67" t="n"/>
      <c r="U57" s="67" t="n"/>
      <c r="V57" s="67" t="n"/>
      <c r="W57" s="67" t="n"/>
      <c r="X57" s="67" t="n"/>
    </row>
    <row r="58" ht="22.35" customHeight="1" s="45">
      <c r="A58" s="65" t="inlineStr">
        <is>
          <t>C5.7</t>
        </is>
      </c>
      <c r="B58" s="66" t="inlineStr">
        <is>
          <t>Doc 4</t>
        </is>
      </c>
      <c r="C58" s="66" t="inlineStr">
        <is>
          <t>CANON</t>
        </is>
      </c>
      <c r="D58" s="66" t="inlineStr">
        <is>
          <t>V7 — Document &amp; design inspection</t>
        </is>
      </c>
      <c r="E58" s="66" t="n"/>
      <c r="F58" s="66" t="inlineStr">
        <is>
          <t>Specification text against implementation description; provenance sections; objective card lines</t>
        </is>
      </c>
      <c r="G58" s="66" t="inlineStr">
        <is>
          <t>A — 100%</t>
        </is>
      </c>
      <c r="H58" s="67" t="n"/>
      <c r="I58" s="67" t="n"/>
      <c r="J58" s="67" t="n"/>
      <c r="K58" s="64">
        <f>IFERROR(INDEX('Status Map'!$B$2:$B$12,MATCH(C58,'Status Map'!$A$2:$A$12,0)),"UNDEFINED")</f>
        <v/>
      </c>
      <c r="L58" s="64">
        <f>IFERROR(INDEX('Status Map'!$C$2:$C$12,MATCH(C58,'Status Map'!$A$2:$A$12,0)),"UNDEFINED")</f>
        <v/>
      </c>
      <c r="M58" s="68" t="inlineStr">
        <is>
          <t>HEADING ONLY</t>
        </is>
      </c>
      <c r="N58" s="68" t="n"/>
      <c r="O58" s="68" t="n"/>
      <c r="P58" s="64">
        <f>IF(O58&lt;&gt;"",O58,LEFT(D58,2))</f>
        <v/>
      </c>
      <c r="Q58" s="64">
        <f>IF(O58&lt;&gt;"","Standards §6",IF(M58="HEADING ONLY","Derived from heading — PROVISIONAL",IF(M58="TEXT NOT IN REGISTRY","No text to derive from — PROVISIONAL","Derived from registered statement")))</f>
        <v/>
      </c>
      <c r="R58" s="64">
        <f>IF(OR(LEFT(G58,1)="A",L58="COUNTS",ISNUMBER(SEARCH("V1",P58)),ISNUMBER(SEARCH("V2",P58)),ISNUMBER(SEARCH("V5",P58))),"A — 100%","B — sample ≥ 30%")</f>
        <v/>
      </c>
      <c r="S58" s="67" t="n"/>
      <c r="T58" s="67" t="n"/>
      <c r="U58" s="67" t="n"/>
      <c r="V58" s="67" t="n"/>
      <c r="W58" s="67" t="n"/>
      <c r="X58" s="67" t="n"/>
    </row>
    <row r="59" ht="22.35" customHeight="1" s="45">
      <c r="A59" s="65" t="inlineStr">
        <is>
          <t>A5.1</t>
        </is>
      </c>
      <c r="B59" s="66" t="inlineStr">
        <is>
          <t>Doc 4</t>
        </is>
      </c>
      <c r="C59" s="66" t="inlineStr">
        <is>
          <t>CANON</t>
        </is>
      </c>
      <c r="D59" s="66" t="inlineStr">
        <is>
          <t>V7 — Document &amp; design inspection</t>
        </is>
      </c>
      <c r="E59" s="66" t="n"/>
      <c r="F59" s="66" t="inlineStr">
        <is>
          <t>Specification text against implementation description; provenance sections; objective card lines</t>
        </is>
      </c>
      <c r="G59" s="66" t="inlineStr">
        <is>
          <t>A — 100%</t>
        </is>
      </c>
      <c r="H59" s="67" t="n"/>
      <c r="I59" s="67" t="n"/>
      <c r="J59" s="67" t="n"/>
      <c r="K59" s="64">
        <f>IFERROR(INDEX('Status Map'!$B$2:$B$12,MATCH(C59,'Status Map'!$A$2:$A$12,0)),"UNDEFINED")</f>
        <v/>
      </c>
      <c r="L59" s="64">
        <f>IFERROR(INDEX('Status Map'!$C$2:$C$12,MATCH(C59,'Status Map'!$A$2:$A$12,0)),"UNDEFINED")</f>
        <v/>
      </c>
      <c r="M59" s="68" t="inlineStr">
        <is>
          <t>HEADING ONLY</t>
        </is>
      </c>
      <c r="N59" s="68" t="n"/>
      <c r="O59" s="68" t="n"/>
      <c r="P59" s="64">
        <f>IF(O59&lt;&gt;"",O59,LEFT(D59,2))</f>
        <v/>
      </c>
      <c r="Q59" s="64">
        <f>IF(O59&lt;&gt;"","Standards §6",IF(M59="HEADING ONLY","Derived from heading — PROVISIONAL",IF(M59="TEXT NOT IN REGISTRY","No text to derive from — PROVISIONAL","Derived from registered statement")))</f>
        <v/>
      </c>
      <c r="R59" s="64">
        <f>IF(OR(LEFT(G59,1)="A",L59="COUNTS",ISNUMBER(SEARCH("V1",P59)),ISNUMBER(SEARCH("V2",P59)),ISNUMBER(SEARCH("V5",P59))),"A — 100%","B — sample ≥ 30%")</f>
        <v/>
      </c>
      <c r="S59" s="67" t="n"/>
      <c r="T59" s="67" t="n"/>
      <c r="U59" s="67" t="n"/>
      <c r="V59" s="67" t="n"/>
      <c r="W59" s="67" t="n"/>
      <c r="X59" s="67" t="n"/>
    </row>
    <row r="60" ht="22.35" customHeight="1" s="45">
      <c r="A60" s="65" t="inlineStr">
        <is>
          <t>A5.2</t>
        </is>
      </c>
      <c r="B60" s="66" t="inlineStr">
        <is>
          <t>Doc 4</t>
        </is>
      </c>
      <c r="C60" s="66" t="inlineStr">
        <is>
          <t>CANON</t>
        </is>
      </c>
      <c r="D60" s="66" t="inlineStr">
        <is>
          <t>V1 — Test evidence</t>
        </is>
      </c>
      <c r="E60" s="66" t="n"/>
      <c r="F60" s="66" t="inlineStr">
        <is>
          <t>Golden-input, byte-identical output; RED-first test ID; ratchet manifest entry</t>
        </is>
      </c>
      <c r="G60" s="66" t="inlineStr">
        <is>
          <t>A — 100%</t>
        </is>
      </c>
      <c r="H60" s="67" t="n"/>
      <c r="I60" s="67" t="n"/>
      <c r="J60" s="67" t="n"/>
      <c r="K60" s="64">
        <f>IFERROR(INDEX('Status Map'!$B$2:$B$12,MATCH(C60,'Status Map'!$A$2:$A$12,0)),"UNDEFINED")</f>
        <v/>
      </c>
      <c r="L60" s="64">
        <f>IFERROR(INDEX('Status Map'!$C$2:$C$12,MATCH(C60,'Status Map'!$A$2:$A$12,0)),"UNDEFINED")</f>
        <v/>
      </c>
      <c r="M60" s="68" t="inlineStr">
        <is>
          <t>HEADING ONLY</t>
        </is>
      </c>
      <c r="N60" s="68" t="n"/>
      <c r="O60" s="68" t="n"/>
      <c r="P60" s="64">
        <f>IF(O60&lt;&gt;"",O60,LEFT(D60,2))</f>
        <v/>
      </c>
      <c r="Q60" s="64">
        <f>IF(O60&lt;&gt;"","Standards §6",IF(M60="HEADING ONLY","Derived from heading — PROVISIONAL",IF(M60="TEXT NOT IN REGISTRY","No text to derive from — PROVISIONAL","Derived from registered statement")))</f>
        <v/>
      </c>
      <c r="R60" s="64">
        <f>IF(OR(LEFT(G60,1)="A",L60="COUNTS",ISNUMBER(SEARCH("V1",P60)),ISNUMBER(SEARCH("V2",P60)),ISNUMBER(SEARCH("V5",P60))),"A — 100%","B — sample ≥ 30%")</f>
        <v/>
      </c>
      <c r="S60" s="67" t="n"/>
      <c r="T60" s="67" t="n"/>
      <c r="U60" s="67" t="n"/>
      <c r="V60" s="67" t="n"/>
      <c r="W60" s="67" t="n"/>
      <c r="X60" s="67" t="n"/>
    </row>
    <row r="61" ht="22.35" customHeight="1" s="45">
      <c r="A61" s="65" t="inlineStr">
        <is>
          <t>A5.3</t>
        </is>
      </c>
      <c r="B61" s="66" t="inlineStr">
        <is>
          <t>Doc 4</t>
        </is>
      </c>
      <c r="C61" s="66" t="inlineStr">
        <is>
          <t>CANON</t>
        </is>
      </c>
      <c r="D61" s="66" t="inlineStr">
        <is>
          <t>V7 — Document &amp; design inspection</t>
        </is>
      </c>
      <c r="E61" s="66" t="n"/>
      <c r="F61" s="66" t="inlineStr">
        <is>
          <t>Specification text against implementation description; provenance sections; objective card lines</t>
        </is>
      </c>
      <c r="G61" s="66" t="inlineStr">
        <is>
          <t>A — 100%</t>
        </is>
      </c>
      <c r="H61" s="67" t="n"/>
      <c r="I61" s="67" t="n"/>
      <c r="J61" s="67" t="n"/>
      <c r="K61" s="64">
        <f>IFERROR(INDEX('Status Map'!$B$2:$B$12,MATCH(C61,'Status Map'!$A$2:$A$12,0)),"UNDEFINED")</f>
        <v/>
      </c>
      <c r="L61" s="64">
        <f>IFERROR(INDEX('Status Map'!$C$2:$C$12,MATCH(C61,'Status Map'!$A$2:$A$12,0)),"UNDEFINED")</f>
        <v/>
      </c>
      <c r="M61" s="68" t="inlineStr">
        <is>
          <t>HEADING ONLY</t>
        </is>
      </c>
      <c r="N61" s="68" t="n"/>
      <c r="O61" s="68" t="n"/>
      <c r="P61" s="64">
        <f>IF(O61&lt;&gt;"",O61,LEFT(D61,2))</f>
        <v/>
      </c>
      <c r="Q61" s="64">
        <f>IF(O61&lt;&gt;"","Standards §6",IF(M61="HEADING ONLY","Derived from heading — PROVISIONAL",IF(M61="TEXT NOT IN REGISTRY","No text to derive from — PROVISIONAL","Derived from registered statement")))</f>
        <v/>
      </c>
      <c r="R61" s="64">
        <f>IF(OR(LEFT(G61,1)="A",L61="COUNTS",ISNUMBER(SEARCH("V1",P61)),ISNUMBER(SEARCH("V2",P61)),ISNUMBER(SEARCH("V5",P61))),"A — 100%","B — sample ≥ 30%")</f>
        <v/>
      </c>
      <c r="S61" s="67" t="n"/>
      <c r="T61" s="67" t="n"/>
      <c r="U61" s="67" t="n"/>
      <c r="V61" s="67" t="n"/>
      <c r="W61" s="67" t="n"/>
      <c r="X61" s="67" t="n"/>
    </row>
    <row r="62" ht="22.35" customHeight="1" s="45">
      <c r="A62" s="65" t="inlineStr">
        <is>
          <t>A5.4</t>
        </is>
      </c>
      <c r="B62" s="66" t="inlineStr">
        <is>
          <t>Doc 4</t>
        </is>
      </c>
      <c r="C62" s="66" t="inlineStr">
        <is>
          <t>CANON</t>
        </is>
      </c>
      <c r="D62" s="66" t="inlineStr">
        <is>
          <t>V7 — Document &amp; design inspection</t>
        </is>
      </c>
      <c r="E62" s="66" t="n"/>
      <c r="F62" s="66" t="inlineStr">
        <is>
          <t>Specification text against implementation description; provenance sections; objective card lines</t>
        </is>
      </c>
      <c r="G62" s="66" t="inlineStr">
        <is>
          <t>A — 100%</t>
        </is>
      </c>
      <c r="H62" s="67" t="n"/>
      <c r="I62" s="67" t="n"/>
      <c r="J62" s="67" t="n"/>
      <c r="K62" s="64">
        <f>IFERROR(INDEX('Status Map'!$B$2:$B$12,MATCH(C62,'Status Map'!$A$2:$A$12,0)),"UNDEFINED")</f>
        <v/>
      </c>
      <c r="L62" s="64">
        <f>IFERROR(INDEX('Status Map'!$C$2:$C$12,MATCH(C62,'Status Map'!$A$2:$A$12,0)),"UNDEFINED")</f>
        <v/>
      </c>
      <c r="M62" s="68" t="inlineStr">
        <is>
          <t>HEADING ONLY</t>
        </is>
      </c>
      <c r="N62" s="68" t="n"/>
      <c r="O62" s="68" t="n"/>
      <c r="P62" s="64">
        <f>IF(O62&lt;&gt;"",O62,LEFT(D62,2))</f>
        <v/>
      </c>
      <c r="Q62" s="64">
        <f>IF(O62&lt;&gt;"","Standards §6",IF(M62="HEADING ONLY","Derived from heading — PROVISIONAL",IF(M62="TEXT NOT IN REGISTRY","No text to derive from — PROVISIONAL","Derived from registered statement")))</f>
        <v/>
      </c>
      <c r="R62" s="64">
        <f>IF(OR(LEFT(G62,1)="A",L62="COUNTS",ISNUMBER(SEARCH("V1",P62)),ISNUMBER(SEARCH("V2",P62)),ISNUMBER(SEARCH("V5",P62))),"A — 100%","B — sample ≥ 30%")</f>
        <v/>
      </c>
      <c r="S62" s="67" t="n"/>
      <c r="T62" s="67" t="n"/>
      <c r="U62" s="67" t="n"/>
      <c r="V62" s="67" t="n"/>
      <c r="W62" s="67" t="n"/>
      <c r="X62" s="67" t="n"/>
    </row>
    <row r="63" ht="22.35" customHeight="1" s="45">
      <c r="A63" s="65" t="inlineStr">
        <is>
          <t>A5.5</t>
        </is>
      </c>
      <c r="B63" s="66" t="inlineStr">
        <is>
          <t>Doc 4</t>
        </is>
      </c>
      <c r="C63" s="66" t="inlineStr">
        <is>
          <t>CANON</t>
        </is>
      </c>
      <c r="D63" s="66" t="inlineStr">
        <is>
          <t>V7 — Document &amp; design inspection</t>
        </is>
      </c>
      <c r="E63" s="66" t="n"/>
      <c r="F63" s="66" t="inlineStr">
        <is>
          <t>Specification text against implementation description; provenance sections; objective card lines</t>
        </is>
      </c>
      <c r="G63" s="66" t="inlineStr">
        <is>
          <t>A — 100%</t>
        </is>
      </c>
      <c r="H63" s="67" t="n"/>
      <c r="I63" s="67" t="n"/>
      <c r="J63" s="67" t="n"/>
      <c r="K63" s="64">
        <f>IFERROR(INDEX('Status Map'!$B$2:$B$12,MATCH(C63,'Status Map'!$A$2:$A$12,0)),"UNDEFINED")</f>
        <v/>
      </c>
      <c r="L63" s="64">
        <f>IFERROR(INDEX('Status Map'!$C$2:$C$12,MATCH(C63,'Status Map'!$A$2:$A$12,0)),"UNDEFINED")</f>
        <v/>
      </c>
      <c r="M63" s="68" t="inlineStr">
        <is>
          <t>HEADING ONLY</t>
        </is>
      </c>
      <c r="N63" s="68" t="n"/>
      <c r="O63" s="68" t="n"/>
      <c r="P63" s="64">
        <f>IF(O63&lt;&gt;"",O63,LEFT(D63,2))</f>
        <v/>
      </c>
      <c r="Q63" s="64">
        <f>IF(O63&lt;&gt;"","Standards §6",IF(M63="HEADING ONLY","Derived from heading — PROVISIONAL",IF(M63="TEXT NOT IN REGISTRY","No text to derive from — PROVISIONAL","Derived from registered statement")))</f>
        <v/>
      </c>
      <c r="R63" s="64">
        <f>IF(OR(LEFT(G63,1)="A",L63="COUNTS",ISNUMBER(SEARCH("V1",P63)),ISNUMBER(SEARCH("V2",P63)),ISNUMBER(SEARCH("V5",P63))),"A — 100%","B — sample ≥ 30%")</f>
        <v/>
      </c>
      <c r="S63" s="67" t="n"/>
      <c r="T63" s="67" t="n"/>
      <c r="U63" s="67" t="n"/>
      <c r="V63" s="67" t="n"/>
      <c r="W63" s="67" t="n"/>
      <c r="X63" s="67" t="n"/>
    </row>
    <row r="64" ht="22.35" customHeight="1" s="45">
      <c r="A64" s="65" t="inlineStr">
        <is>
          <t>A5.1</t>
        </is>
      </c>
      <c r="B64" s="66" t="inlineStr">
        <is>
          <t>Doc 5</t>
        </is>
      </c>
      <c r="C64" s="66" t="inlineStr">
        <is>
          <t>CANON</t>
        </is>
      </c>
      <c r="D64" s="66" t="inlineStr">
        <is>
          <t>V7 — Document &amp; design inspection</t>
        </is>
      </c>
      <c r="E64" s="66" t="n"/>
      <c r="F64" s="66" t="inlineStr">
        <is>
          <t>Specification text against implementation description; provenance sections; objective card lines</t>
        </is>
      </c>
      <c r="G64" s="66" t="inlineStr">
        <is>
          <t>A — 100%</t>
        </is>
      </c>
      <c r="H64" s="67" t="n"/>
      <c r="I64" s="67" t="n"/>
      <c r="J64" s="67" t="n"/>
      <c r="K64" s="64">
        <f>IFERROR(INDEX('Status Map'!$B$2:$B$12,MATCH(C64,'Status Map'!$A$2:$A$12,0)),"UNDEFINED")</f>
        <v/>
      </c>
      <c r="L64" s="64">
        <f>IFERROR(INDEX('Status Map'!$C$2:$C$12,MATCH(C64,'Status Map'!$A$2:$A$12,0)),"UNDEFINED")</f>
        <v/>
      </c>
      <c r="M64" s="68" t="inlineStr">
        <is>
          <t>HEADING ONLY</t>
        </is>
      </c>
      <c r="N64" s="68" t="n"/>
      <c r="O64" s="68" t="n"/>
      <c r="P64" s="64">
        <f>IF(O64&lt;&gt;"",O64,LEFT(D64,2))</f>
        <v/>
      </c>
      <c r="Q64" s="64">
        <f>IF(O64&lt;&gt;"","Standards §6",IF(M64="HEADING ONLY","Derived from heading — PROVISIONAL",IF(M64="TEXT NOT IN REGISTRY","No text to derive from — PROVISIONAL","Derived from registered statement")))</f>
        <v/>
      </c>
      <c r="R64" s="64">
        <f>IF(OR(LEFT(G64,1)="A",L64="COUNTS",ISNUMBER(SEARCH("V1",P64)),ISNUMBER(SEARCH("V2",P64)),ISNUMBER(SEARCH("V5",P64))),"A — 100%","B — sample ≥ 30%")</f>
        <v/>
      </c>
      <c r="S64" s="67" t="n"/>
      <c r="T64" s="67" t="n"/>
      <c r="U64" s="67" t="n"/>
      <c r="V64" s="67" t="n"/>
      <c r="W64" s="67" t="n"/>
      <c r="X64" s="67" t="n"/>
    </row>
    <row r="65" ht="22.35" customHeight="1" s="45">
      <c r="A65" s="65" t="inlineStr">
        <is>
          <t>A5.2</t>
        </is>
      </c>
      <c r="B65" s="66" t="inlineStr">
        <is>
          <t>Doc 5</t>
        </is>
      </c>
      <c r="C65" s="66" t="inlineStr">
        <is>
          <t>CANON</t>
        </is>
      </c>
      <c r="D65" s="66" t="inlineStr">
        <is>
          <t>V7 — Document &amp; design inspection</t>
        </is>
      </c>
      <c r="E65" s="66" t="n"/>
      <c r="F65" s="66" t="inlineStr">
        <is>
          <t>Specification text against implementation description; provenance sections; objective card lines</t>
        </is>
      </c>
      <c r="G65" s="66" t="inlineStr">
        <is>
          <t>A — 100%</t>
        </is>
      </c>
      <c r="H65" s="67" t="n"/>
      <c r="I65" s="67" t="n"/>
      <c r="J65" s="67" t="n"/>
      <c r="K65" s="64">
        <f>IFERROR(INDEX('Status Map'!$B$2:$B$12,MATCH(C65,'Status Map'!$A$2:$A$12,0)),"UNDEFINED")</f>
        <v/>
      </c>
      <c r="L65" s="64">
        <f>IFERROR(INDEX('Status Map'!$C$2:$C$12,MATCH(C65,'Status Map'!$A$2:$A$12,0)),"UNDEFINED")</f>
        <v/>
      </c>
      <c r="M65" s="68" t="inlineStr">
        <is>
          <t>HEADING ONLY</t>
        </is>
      </c>
      <c r="N65" s="68" t="n"/>
      <c r="O65" s="68" t="n"/>
      <c r="P65" s="64">
        <f>IF(O65&lt;&gt;"",O65,LEFT(D65,2))</f>
        <v/>
      </c>
      <c r="Q65" s="64">
        <f>IF(O65&lt;&gt;"","Standards §6",IF(M65="HEADING ONLY","Derived from heading — PROVISIONAL",IF(M65="TEXT NOT IN REGISTRY","No text to derive from — PROVISIONAL","Derived from registered statement")))</f>
        <v/>
      </c>
      <c r="R65" s="64">
        <f>IF(OR(LEFT(G65,1)="A",L65="COUNTS",ISNUMBER(SEARCH("V1",P65)),ISNUMBER(SEARCH("V2",P65)),ISNUMBER(SEARCH("V5",P65))),"A — 100%","B — sample ≥ 30%")</f>
        <v/>
      </c>
      <c r="S65" s="67" t="n"/>
      <c r="T65" s="67" t="n"/>
      <c r="U65" s="67" t="n"/>
      <c r="V65" s="67" t="n"/>
      <c r="W65" s="67" t="n"/>
      <c r="X65" s="67" t="n"/>
    </row>
    <row r="66" ht="22.35" customHeight="1" s="45">
      <c r="A66" s="65" t="inlineStr">
        <is>
          <t>A5.3</t>
        </is>
      </c>
      <c r="B66" s="66" t="inlineStr">
        <is>
          <t>Doc 5</t>
        </is>
      </c>
      <c r="C66" s="66" t="inlineStr">
        <is>
          <t>CANON</t>
        </is>
      </c>
      <c r="D66" s="66" t="inlineStr">
        <is>
          <t>V7 — Document &amp; design inspection</t>
        </is>
      </c>
      <c r="E66" s="66" t="n"/>
      <c r="F66" s="66" t="inlineStr">
        <is>
          <t>Specification text against implementation description; provenance sections; objective card lines</t>
        </is>
      </c>
      <c r="G66" s="66" t="inlineStr">
        <is>
          <t>A — 100%</t>
        </is>
      </c>
      <c r="H66" s="67" t="n"/>
      <c r="I66" s="67" t="n"/>
      <c r="J66" s="67" t="n"/>
      <c r="K66" s="64">
        <f>IFERROR(INDEX('Status Map'!$B$2:$B$12,MATCH(C66,'Status Map'!$A$2:$A$12,0)),"UNDEFINED")</f>
        <v/>
      </c>
      <c r="L66" s="64">
        <f>IFERROR(INDEX('Status Map'!$C$2:$C$12,MATCH(C66,'Status Map'!$A$2:$A$12,0)),"UNDEFINED")</f>
        <v/>
      </c>
      <c r="M66" s="68" t="inlineStr">
        <is>
          <t>HEADING ONLY</t>
        </is>
      </c>
      <c r="N66" s="68" t="n"/>
      <c r="O66" s="68" t="n"/>
      <c r="P66" s="64">
        <f>IF(O66&lt;&gt;"",O66,LEFT(D66,2))</f>
        <v/>
      </c>
      <c r="Q66" s="64">
        <f>IF(O66&lt;&gt;"","Standards §6",IF(M66="HEADING ONLY","Derived from heading — PROVISIONAL",IF(M66="TEXT NOT IN REGISTRY","No text to derive from — PROVISIONAL","Derived from registered statement")))</f>
        <v/>
      </c>
      <c r="R66" s="64">
        <f>IF(OR(LEFT(G66,1)="A",L66="COUNTS",ISNUMBER(SEARCH("V1",P66)),ISNUMBER(SEARCH("V2",P66)),ISNUMBER(SEARCH("V5",P66))),"A — 100%","B — sample ≥ 30%")</f>
        <v/>
      </c>
      <c r="S66" s="67" t="n"/>
      <c r="T66" s="67" t="n"/>
      <c r="U66" s="67" t="n"/>
      <c r="V66" s="67" t="n"/>
      <c r="W66" s="67" t="n"/>
      <c r="X66" s="67" t="n"/>
    </row>
    <row r="67" ht="22.35" customHeight="1" s="45">
      <c r="A67" s="65" t="inlineStr">
        <is>
          <t>A5.4</t>
        </is>
      </c>
      <c r="B67" s="66" t="inlineStr">
        <is>
          <t>Doc 5</t>
        </is>
      </c>
      <c r="C67" s="66" t="inlineStr">
        <is>
          <t>CANON</t>
        </is>
      </c>
      <c r="D67" s="66" t="inlineStr">
        <is>
          <t>V7 — Document &amp; design inspection</t>
        </is>
      </c>
      <c r="E67" s="66" t="n"/>
      <c r="F67" s="66" t="inlineStr">
        <is>
          <t>Specification text against implementation description; provenance sections; objective card lines</t>
        </is>
      </c>
      <c r="G67" s="66" t="inlineStr">
        <is>
          <t>A — 100%</t>
        </is>
      </c>
      <c r="H67" s="67" t="n"/>
      <c r="I67" s="67" t="n"/>
      <c r="J67" s="67" t="n"/>
      <c r="K67" s="64">
        <f>IFERROR(INDEX('Status Map'!$B$2:$B$12,MATCH(C67,'Status Map'!$A$2:$A$12,0)),"UNDEFINED")</f>
        <v/>
      </c>
      <c r="L67" s="64">
        <f>IFERROR(INDEX('Status Map'!$C$2:$C$12,MATCH(C67,'Status Map'!$A$2:$A$12,0)),"UNDEFINED")</f>
        <v/>
      </c>
      <c r="M67" s="68" t="inlineStr">
        <is>
          <t>HEADING ONLY</t>
        </is>
      </c>
      <c r="N67" s="68" t="n"/>
      <c r="O67" s="68" t="n"/>
      <c r="P67" s="64">
        <f>IF(O67&lt;&gt;"",O67,LEFT(D67,2))</f>
        <v/>
      </c>
      <c r="Q67" s="64">
        <f>IF(O67&lt;&gt;"","Standards §6",IF(M67="HEADING ONLY","Derived from heading — PROVISIONAL",IF(M67="TEXT NOT IN REGISTRY","No text to derive from — PROVISIONAL","Derived from registered statement")))</f>
        <v/>
      </c>
      <c r="R67" s="64">
        <f>IF(OR(LEFT(G67,1)="A",L67="COUNTS",ISNUMBER(SEARCH("V1",P67)),ISNUMBER(SEARCH("V2",P67)),ISNUMBER(SEARCH("V5",P67))),"A — 100%","B — sample ≥ 30%")</f>
        <v/>
      </c>
      <c r="S67" s="67" t="n"/>
      <c r="T67" s="67" t="n"/>
      <c r="U67" s="67" t="n"/>
      <c r="V67" s="67" t="n"/>
      <c r="W67" s="67" t="n"/>
      <c r="X67" s="67" t="n"/>
    </row>
    <row r="68" ht="22.35" customHeight="1" s="45">
      <c r="A68" s="65" t="inlineStr">
        <is>
          <t>A5.5</t>
        </is>
      </c>
      <c r="B68" s="66" t="inlineStr">
        <is>
          <t>Doc 5</t>
        </is>
      </c>
      <c r="C68" s="66" t="inlineStr">
        <is>
          <t>CANON</t>
        </is>
      </c>
      <c r="D68" s="66" t="inlineStr">
        <is>
          <t>V7 — Document &amp; design inspection</t>
        </is>
      </c>
      <c r="E68" s="66" t="n"/>
      <c r="F68" s="66" t="inlineStr">
        <is>
          <t>Specification text against implementation description; provenance sections; objective card lines</t>
        </is>
      </c>
      <c r="G68" s="66" t="inlineStr">
        <is>
          <t>A — 100%</t>
        </is>
      </c>
      <c r="H68" s="67" t="n"/>
      <c r="I68" s="67" t="n"/>
      <c r="J68" s="67" t="n"/>
      <c r="K68" s="64">
        <f>IFERROR(INDEX('Status Map'!$B$2:$B$12,MATCH(C68,'Status Map'!$A$2:$A$12,0)),"UNDEFINED")</f>
        <v/>
      </c>
      <c r="L68" s="64">
        <f>IFERROR(INDEX('Status Map'!$C$2:$C$12,MATCH(C68,'Status Map'!$A$2:$A$12,0)),"UNDEFINED")</f>
        <v/>
      </c>
      <c r="M68" s="68" t="inlineStr">
        <is>
          <t>HEADING ONLY</t>
        </is>
      </c>
      <c r="N68" s="68" t="n"/>
      <c r="O68" s="68" t="n"/>
      <c r="P68" s="64">
        <f>IF(O68&lt;&gt;"",O68,LEFT(D68,2))</f>
        <v/>
      </c>
      <c r="Q68" s="64">
        <f>IF(O68&lt;&gt;"","Standards §6",IF(M68="HEADING ONLY","Derived from heading — PROVISIONAL",IF(M68="TEXT NOT IN REGISTRY","No text to derive from — PROVISIONAL","Derived from registered statement")))</f>
        <v/>
      </c>
      <c r="R68" s="64">
        <f>IF(OR(LEFT(G68,1)="A",L68="COUNTS",ISNUMBER(SEARCH("V1",P68)),ISNUMBER(SEARCH("V2",P68)),ISNUMBER(SEARCH("V5",P68))),"A — 100%","B — sample ≥ 30%")</f>
        <v/>
      </c>
      <c r="S68" s="67" t="n"/>
      <c r="T68" s="67" t="n"/>
      <c r="U68" s="67" t="n"/>
      <c r="V68" s="67" t="n"/>
      <c r="W68" s="67" t="n"/>
      <c r="X68" s="67" t="n"/>
    </row>
    <row r="69" ht="22.35" customHeight="1" s="45">
      <c r="A69" s="65" t="inlineStr">
        <is>
          <t>A5.6</t>
        </is>
      </c>
      <c r="B69" s="66" t="inlineStr">
        <is>
          <t>Doc 5</t>
        </is>
      </c>
      <c r="C69" s="66" t="inlineStr">
        <is>
          <t>CANON</t>
        </is>
      </c>
      <c r="D69" s="66" t="inlineStr">
        <is>
          <t>V7 — Document &amp; design inspection</t>
        </is>
      </c>
      <c r="E69" s="66" t="n"/>
      <c r="F69" s="66" t="inlineStr">
        <is>
          <t>Specification text against implementation description; provenance sections; objective card lines</t>
        </is>
      </c>
      <c r="G69" s="66" t="inlineStr">
        <is>
          <t>A — 100%</t>
        </is>
      </c>
      <c r="H69" s="67" t="n"/>
      <c r="I69" s="67" t="n"/>
      <c r="J69" s="67" t="n"/>
      <c r="K69" s="64">
        <f>IFERROR(INDEX('Status Map'!$B$2:$B$12,MATCH(C69,'Status Map'!$A$2:$A$12,0)),"UNDEFINED")</f>
        <v/>
      </c>
      <c r="L69" s="64">
        <f>IFERROR(INDEX('Status Map'!$C$2:$C$12,MATCH(C69,'Status Map'!$A$2:$A$12,0)),"UNDEFINED")</f>
        <v/>
      </c>
      <c r="M69" s="68" t="inlineStr">
        <is>
          <t>HEADING ONLY</t>
        </is>
      </c>
      <c r="N69" s="68" t="n"/>
      <c r="O69" s="68" t="n"/>
      <c r="P69" s="64">
        <f>IF(O69&lt;&gt;"",O69,LEFT(D69,2))</f>
        <v/>
      </c>
      <c r="Q69" s="64">
        <f>IF(O69&lt;&gt;"","Standards §6",IF(M69="HEADING ONLY","Derived from heading — PROVISIONAL",IF(M69="TEXT NOT IN REGISTRY","No text to derive from — PROVISIONAL","Derived from registered statement")))</f>
        <v/>
      </c>
      <c r="R69" s="64">
        <f>IF(OR(LEFT(G69,1)="A",L69="COUNTS",ISNUMBER(SEARCH("V1",P69)),ISNUMBER(SEARCH("V2",P69)),ISNUMBER(SEARCH("V5",P69))),"A — 100%","B — sample ≥ 30%")</f>
        <v/>
      </c>
      <c r="S69" s="67" t="n"/>
      <c r="T69" s="67" t="n"/>
      <c r="U69" s="67" t="n"/>
      <c r="V69" s="67" t="n"/>
      <c r="W69" s="67" t="n"/>
      <c r="X69" s="67" t="n"/>
    </row>
    <row r="70" ht="22.35" customHeight="1" s="45">
      <c r="A70" s="65" t="inlineStr">
        <is>
          <t>A5.1</t>
        </is>
      </c>
      <c r="B70" s="66" t="inlineStr">
        <is>
          <t>Doc 6</t>
        </is>
      </c>
      <c r="C70" s="66" t="inlineStr">
        <is>
          <t>PROPOSED</t>
        </is>
      </c>
      <c r="D70" s="66" t="inlineStr">
        <is>
          <t>V7 — Document &amp; design inspection</t>
        </is>
      </c>
      <c r="E70" s="66" t="n"/>
      <c r="F70" s="66" t="inlineStr">
        <is>
          <t>Specification text against implementation description; provenance sections; objective card lines</t>
        </is>
      </c>
      <c r="G70" s="66" t="inlineStr">
        <is>
          <t>B — sample ≥ 30%</t>
        </is>
      </c>
      <c r="H70" s="67" t="n"/>
      <c r="I70" s="67" t="n"/>
      <c r="J70" s="67" t="n"/>
      <c r="K70" s="64">
        <f>IFERROR(INDEX('Status Map'!$B$2:$B$12,MATCH(C70,'Status Map'!$A$2:$A$12,0)),"UNDEFINED")</f>
        <v/>
      </c>
      <c r="L70" s="64">
        <f>IFERROR(INDEX('Status Map'!$C$2:$C$12,MATCH(C70,'Status Map'!$A$2:$A$12,0)),"UNDEFINED")</f>
        <v/>
      </c>
      <c r="M70" s="68" t="inlineStr">
        <is>
          <t>HEADING ONLY</t>
        </is>
      </c>
      <c r="N70" s="68" t="n"/>
      <c r="O70" s="68" t="n"/>
      <c r="P70" s="64">
        <f>IF(O70&lt;&gt;"",O70,LEFT(D70,2))</f>
        <v/>
      </c>
      <c r="Q70" s="64">
        <f>IF(O70&lt;&gt;"","Standards §6",IF(M70="HEADING ONLY","Derived from heading — PROVISIONAL",IF(M70="TEXT NOT IN REGISTRY","No text to derive from — PROVISIONAL","Derived from registered statement")))</f>
        <v/>
      </c>
      <c r="R70" s="64">
        <f>IF(OR(LEFT(G70,1)="A",L70="COUNTS",ISNUMBER(SEARCH("V1",P70)),ISNUMBER(SEARCH("V2",P70)),ISNUMBER(SEARCH("V5",P70))),"A — 100%","B — sample ≥ 30%")</f>
        <v/>
      </c>
      <c r="S70" s="67" t="n"/>
      <c r="T70" s="67" t="n"/>
      <c r="U70" s="67" t="n"/>
      <c r="V70" s="67" t="n"/>
      <c r="W70" s="67" t="n"/>
      <c r="X70" s="67" t="n"/>
    </row>
    <row r="71" ht="22.35" customHeight="1" s="45">
      <c r="A71" s="65" t="inlineStr">
        <is>
          <t>A5.2</t>
        </is>
      </c>
      <c r="B71" s="66" t="inlineStr">
        <is>
          <t>Doc 6</t>
        </is>
      </c>
      <c r="C71" s="66" t="inlineStr">
        <is>
          <t>PROPOSED</t>
        </is>
      </c>
      <c r="D71" s="66" t="inlineStr">
        <is>
          <t>V7 — Document &amp; design inspection</t>
        </is>
      </c>
      <c r="E71" s="66" t="n"/>
      <c r="F71" s="66" t="inlineStr">
        <is>
          <t>Specification text against implementation description; provenance sections; objective card lines</t>
        </is>
      </c>
      <c r="G71" s="66" t="inlineStr">
        <is>
          <t>B — sample ≥ 30%</t>
        </is>
      </c>
      <c r="H71" s="67" t="n"/>
      <c r="I71" s="67" t="n"/>
      <c r="J71" s="67" t="n"/>
      <c r="K71" s="64">
        <f>IFERROR(INDEX('Status Map'!$B$2:$B$12,MATCH(C71,'Status Map'!$A$2:$A$12,0)),"UNDEFINED")</f>
        <v/>
      </c>
      <c r="L71" s="64">
        <f>IFERROR(INDEX('Status Map'!$C$2:$C$12,MATCH(C71,'Status Map'!$A$2:$A$12,0)),"UNDEFINED")</f>
        <v/>
      </c>
      <c r="M71" s="68" t="inlineStr">
        <is>
          <t>HEADING ONLY</t>
        </is>
      </c>
      <c r="N71" s="68" t="n"/>
      <c r="O71" s="68" t="n"/>
      <c r="P71" s="64">
        <f>IF(O71&lt;&gt;"",O71,LEFT(D71,2))</f>
        <v/>
      </c>
      <c r="Q71" s="64">
        <f>IF(O71&lt;&gt;"","Standards §6",IF(M71="HEADING ONLY","Derived from heading — PROVISIONAL",IF(M71="TEXT NOT IN REGISTRY","No text to derive from — PROVISIONAL","Derived from registered statement")))</f>
        <v/>
      </c>
      <c r="R71" s="64">
        <f>IF(OR(LEFT(G71,1)="A",L71="COUNTS",ISNUMBER(SEARCH("V1",P71)),ISNUMBER(SEARCH("V2",P71)),ISNUMBER(SEARCH("V5",P71))),"A — 100%","B — sample ≥ 30%")</f>
        <v/>
      </c>
      <c r="S71" s="67" t="n"/>
      <c r="T71" s="67" t="n"/>
      <c r="U71" s="67" t="n"/>
      <c r="V71" s="67" t="n"/>
      <c r="W71" s="67" t="n"/>
      <c r="X71" s="67" t="n"/>
    </row>
    <row r="72" ht="22.35" customHeight="1" s="45">
      <c r="A72" s="65" t="inlineStr">
        <is>
          <t>A5.3</t>
        </is>
      </c>
      <c r="B72" s="66" t="inlineStr">
        <is>
          <t>Doc 6</t>
        </is>
      </c>
      <c r="C72" s="66" t="inlineStr">
        <is>
          <t>RULED</t>
        </is>
      </c>
      <c r="D72" s="66" t="inlineStr">
        <is>
          <t>V7 — Document &amp; design inspection</t>
        </is>
      </c>
      <c r="E72" s="66" t="n"/>
      <c r="F72" s="66" t="inlineStr">
        <is>
          <t>Specification text against implementation description; provenance sections; objective card lines</t>
        </is>
      </c>
      <c r="G72" s="66" t="inlineStr">
        <is>
          <t>B — sample ≥ 30%</t>
        </is>
      </c>
      <c r="H72" s="67" t="n"/>
      <c r="I72" s="67" t="n"/>
      <c r="J72" s="67" t="n"/>
      <c r="K72" s="64">
        <f>IFERROR(INDEX('Status Map'!$B$2:$B$12,MATCH(C72,'Status Map'!$A$2:$A$12,0)),"UNDEFINED")</f>
        <v/>
      </c>
      <c r="L72" s="64">
        <f>IFERROR(INDEX('Status Map'!$C$2:$C$12,MATCH(C72,'Status Map'!$A$2:$A$12,0)),"UNDEFINED")</f>
        <v/>
      </c>
      <c r="M72" s="68" t="inlineStr">
        <is>
          <t>HEADING ONLY</t>
        </is>
      </c>
      <c r="N72" s="68" t="n"/>
      <c r="O72" s="68" t="n"/>
      <c r="P72" s="64">
        <f>IF(O72&lt;&gt;"",O72,LEFT(D72,2))</f>
        <v/>
      </c>
      <c r="Q72" s="64">
        <f>IF(O72&lt;&gt;"","Standards §6",IF(M72="HEADING ONLY","Derived from heading — PROVISIONAL",IF(M72="TEXT NOT IN REGISTRY","No text to derive from — PROVISIONAL","Derived from registered statement")))</f>
        <v/>
      </c>
      <c r="R72" s="64">
        <f>IF(OR(LEFT(G72,1)="A",L72="COUNTS",ISNUMBER(SEARCH("V1",P72)),ISNUMBER(SEARCH("V2",P72)),ISNUMBER(SEARCH("V5",P72))),"A — 100%","B — sample ≥ 30%")</f>
        <v/>
      </c>
      <c r="S72" s="67" t="n"/>
      <c r="T72" s="67" t="n"/>
      <c r="U72" s="67" t="n"/>
      <c r="V72" s="67" t="n"/>
      <c r="W72" s="67" t="n"/>
      <c r="X72" s="67" t="n"/>
    </row>
    <row r="73" ht="22.35" customHeight="1" s="45">
      <c r="A73" s="65" t="inlineStr">
        <is>
          <t>A5.4</t>
        </is>
      </c>
      <c r="B73" s="66" t="inlineStr">
        <is>
          <t>Doc 6</t>
        </is>
      </c>
      <c r="C73" s="66" t="inlineStr">
        <is>
          <t>PROPOSED</t>
        </is>
      </c>
      <c r="D73" s="66" t="inlineStr">
        <is>
          <t>V3 — Record evidence</t>
        </is>
      </c>
      <c r="E73" s="66" t="n"/>
      <c r="F73" s="66" t="inlineStr">
        <is>
          <t>Ledger rows inspected; hash-chain verifier receipt; refused operations present on identical terms</t>
        </is>
      </c>
      <c r="G73" s="66" t="inlineStr">
        <is>
          <t>B — sample ≥ 30%</t>
        </is>
      </c>
      <c r="H73" s="67" t="n"/>
      <c r="I73" s="67" t="n"/>
      <c r="J73" s="67" t="n"/>
      <c r="K73" s="64">
        <f>IFERROR(INDEX('Status Map'!$B$2:$B$12,MATCH(C73,'Status Map'!$A$2:$A$12,0)),"UNDEFINED")</f>
        <v/>
      </c>
      <c r="L73" s="64">
        <f>IFERROR(INDEX('Status Map'!$C$2:$C$12,MATCH(C73,'Status Map'!$A$2:$A$12,0)),"UNDEFINED")</f>
        <v/>
      </c>
      <c r="M73" s="68" t="inlineStr">
        <is>
          <t>HEADING ONLY</t>
        </is>
      </c>
      <c r="N73" s="68" t="n"/>
      <c r="O73" s="68" t="n"/>
      <c r="P73" s="64">
        <f>IF(O73&lt;&gt;"",O73,LEFT(D73,2))</f>
        <v/>
      </c>
      <c r="Q73" s="64">
        <f>IF(O73&lt;&gt;"","Standards §6",IF(M73="HEADING ONLY","Derived from heading — PROVISIONAL",IF(M73="TEXT NOT IN REGISTRY","No text to derive from — PROVISIONAL","Derived from registered statement")))</f>
        <v/>
      </c>
      <c r="R73" s="64">
        <f>IF(OR(LEFT(G73,1)="A",L73="COUNTS",ISNUMBER(SEARCH("V1",P73)),ISNUMBER(SEARCH("V2",P73)),ISNUMBER(SEARCH("V5",P73))),"A — 100%","B — sample ≥ 30%")</f>
        <v/>
      </c>
      <c r="S73" s="67" t="n"/>
      <c r="T73" s="67" t="n"/>
      <c r="U73" s="67" t="n"/>
      <c r="V73" s="67" t="n"/>
      <c r="W73" s="67" t="n"/>
      <c r="X73" s="67" t="n"/>
    </row>
    <row r="74" ht="22.35" customHeight="1" s="45">
      <c r="A74" s="65" t="inlineStr">
        <is>
          <t>A5.5</t>
        </is>
      </c>
      <c r="B74" s="66" t="inlineStr">
        <is>
          <t>Doc 6</t>
        </is>
      </c>
      <c r="C74" s="66" t="inlineStr">
        <is>
          <t>RULED</t>
        </is>
      </c>
      <c r="D74" s="66" t="inlineStr">
        <is>
          <t>V7 — Document &amp; design inspection</t>
        </is>
      </c>
      <c r="E74" s="66" t="n"/>
      <c r="F74" s="66" t="inlineStr">
        <is>
          <t>Specification text against implementation description; provenance sections; objective card lines</t>
        </is>
      </c>
      <c r="G74" s="66" t="inlineStr">
        <is>
          <t>B — sample ≥ 30%</t>
        </is>
      </c>
      <c r="H74" s="67" t="n"/>
      <c r="I74" s="67" t="n"/>
      <c r="J74" s="67" t="n"/>
      <c r="K74" s="64">
        <f>IFERROR(INDEX('Status Map'!$B$2:$B$12,MATCH(C74,'Status Map'!$A$2:$A$12,0)),"UNDEFINED")</f>
        <v/>
      </c>
      <c r="L74" s="64">
        <f>IFERROR(INDEX('Status Map'!$C$2:$C$12,MATCH(C74,'Status Map'!$A$2:$A$12,0)),"UNDEFINED")</f>
        <v/>
      </c>
      <c r="M74" s="68" t="inlineStr">
        <is>
          <t>HEADING ONLY</t>
        </is>
      </c>
      <c r="N74" s="68" t="n"/>
      <c r="O74" s="68" t="n"/>
      <c r="P74" s="64">
        <f>IF(O74&lt;&gt;"",O74,LEFT(D74,2))</f>
        <v/>
      </c>
      <c r="Q74" s="64">
        <f>IF(O74&lt;&gt;"","Standards §6",IF(M74="HEADING ONLY","Derived from heading — PROVISIONAL",IF(M74="TEXT NOT IN REGISTRY","No text to derive from — PROVISIONAL","Derived from registered statement")))</f>
        <v/>
      </c>
      <c r="R74" s="64">
        <f>IF(OR(LEFT(G74,1)="A",L74="COUNTS",ISNUMBER(SEARCH("V1",P74)),ISNUMBER(SEARCH("V2",P74)),ISNUMBER(SEARCH("V5",P74))),"A — 100%","B — sample ≥ 30%")</f>
        <v/>
      </c>
      <c r="S74" s="67" t="n"/>
      <c r="T74" s="67" t="n"/>
      <c r="U74" s="67" t="n"/>
      <c r="V74" s="67" t="n"/>
      <c r="W74" s="67" t="n"/>
      <c r="X74" s="67" t="n"/>
    </row>
    <row r="75" ht="22.35" customHeight="1" s="45">
      <c r="A75" s="65" t="inlineStr">
        <is>
          <t>B5.1</t>
        </is>
      </c>
      <c r="B75" s="66" t="inlineStr">
        <is>
          <t>Doc 5</t>
        </is>
      </c>
      <c r="C75" s="66" t="inlineStr">
        <is>
          <t>CANON</t>
        </is>
      </c>
      <c r="D75" s="66" t="inlineStr">
        <is>
          <t>V7 — Document &amp; design inspection</t>
        </is>
      </c>
      <c r="E75" s="66" t="n"/>
      <c r="F75" s="66" t="inlineStr">
        <is>
          <t>Specification text against implementation description; provenance sections; objective card lines</t>
        </is>
      </c>
      <c r="G75" s="66" t="inlineStr">
        <is>
          <t>A — 100%</t>
        </is>
      </c>
      <c r="H75" s="67" t="n"/>
      <c r="I75" s="67" t="n"/>
      <c r="J75" s="67" t="n"/>
      <c r="K75" s="64">
        <f>IFERROR(INDEX('Status Map'!$B$2:$B$12,MATCH(C75,'Status Map'!$A$2:$A$12,0)),"UNDEFINED")</f>
        <v/>
      </c>
      <c r="L75" s="64">
        <f>IFERROR(INDEX('Status Map'!$C$2:$C$12,MATCH(C75,'Status Map'!$A$2:$A$12,0)),"UNDEFINED")</f>
        <v/>
      </c>
      <c r="M75" s="68" t="inlineStr">
        <is>
          <t>HEADING ONLY</t>
        </is>
      </c>
      <c r="N75" s="68" t="n"/>
      <c r="O75" s="68" t="n"/>
      <c r="P75" s="64">
        <f>IF(O75&lt;&gt;"",O75,LEFT(D75,2))</f>
        <v/>
      </c>
      <c r="Q75" s="64">
        <f>IF(O75&lt;&gt;"","Standards §6",IF(M75="HEADING ONLY","Derived from heading — PROVISIONAL",IF(M75="TEXT NOT IN REGISTRY","No text to derive from — PROVISIONAL","Derived from registered statement")))</f>
        <v/>
      </c>
      <c r="R75" s="64">
        <f>IF(OR(LEFT(G75,1)="A",L75="COUNTS",ISNUMBER(SEARCH("V1",P75)),ISNUMBER(SEARCH("V2",P75)),ISNUMBER(SEARCH("V5",P75))),"A — 100%","B — sample ≥ 30%")</f>
        <v/>
      </c>
      <c r="S75" s="67" t="n"/>
      <c r="T75" s="67" t="n"/>
      <c r="U75" s="67" t="n"/>
      <c r="V75" s="67" t="n"/>
      <c r="W75" s="67" t="n"/>
      <c r="X75" s="67" t="n"/>
    </row>
    <row r="76" ht="22.35" customHeight="1" s="45">
      <c r="A76" s="65" t="inlineStr">
        <is>
          <t>B5.2</t>
        </is>
      </c>
      <c r="B76" s="66" t="inlineStr">
        <is>
          <t>Doc 5</t>
        </is>
      </c>
      <c r="C76" s="66" t="inlineStr">
        <is>
          <t>CANON</t>
        </is>
      </c>
      <c r="D76" s="66" t="inlineStr">
        <is>
          <t>V7 — Document &amp; design inspection</t>
        </is>
      </c>
      <c r="E76" s="66" t="n"/>
      <c r="F76" s="66" t="inlineStr">
        <is>
          <t>Specification text against implementation description; provenance sections; objective card lines</t>
        </is>
      </c>
      <c r="G76" s="66" t="inlineStr">
        <is>
          <t>A — 100%</t>
        </is>
      </c>
      <c r="H76" s="67" t="n"/>
      <c r="I76" s="67" t="n"/>
      <c r="J76" s="67" t="n"/>
      <c r="K76" s="64">
        <f>IFERROR(INDEX('Status Map'!$B$2:$B$12,MATCH(C76,'Status Map'!$A$2:$A$12,0)),"UNDEFINED")</f>
        <v/>
      </c>
      <c r="L76" s="64">
        <f>IFERROR(INDEX('Status Map'!$C$2:$C$12,MATCH(C76,'Status Map'!$A$2:$A$12,0)),"UNDEFINED")</f>
        <v/>
      </c>
      <c r="M76" s="68" t="inlineStr">
        <is>
          <t>HEADING ONLY</t>
        </is>
      </c>
      <c r="N76" s="68" t="n"/>
      <c r="O76" s="68" t="n"/>
      <c r="P76" s="64">
        <f>IF(O76&lt;&gt;"",O76,LEFT(D76,2))</f>
        <v/>
      </c>
      <c r="Q76" s="64">
        <f>IF(O76&lt;&gt;"","Standards §6",IF(M76="HEADING ONLY","Derived from heading — PROVISIONAL",IF(M76="TEXT NOT IN REGISTRY","No text to derive from — PROVISIONAL","Derived from registered statement")))</f>
        <v/>
      </c>
      <c r="R76" s="64">
        <f>IF(OR(LEFT(G76,1)="A",L76="COUNTS",ISNUMBER(SEARCH("V1",P76)),ISNUMBER(SEARCH("V2",P76)),ISNUMBER(SEARCH("V5",P76))),"A — 100%","B — sample ≥ 30%")</f>
        <v/>
      </c>
      <c r="S76" s="67" t="n"/>
      <c r="T76" s="67" t="n"/>
      <c r="U76" s="67" t="n"/>
      <c r="V76" s="67" t="n"/>
      <c r="W76" s="67" t="n"/>
      <c r="X76" s="67" t="n"/>
    </row>
    <row r="77" ht="22.35" customHeight="1" s="45">
      <c r="A77" s="65" t="inlineStr">
        <is>
          <t>B5.3</t>
        </is>
      </c>
      <c r="B77" s="66" t="inlineStr">
        <is>
          <t>Doc 5</t>
        </is>
      </c>
      <c r="C77" s="66" t="inlineStr">
        <is>
          <t>CANON</t>
        </is>
      </c>
      <c r="D77" s="66" t="inlineStr">
        <is>
          <t>V7 — Document &amp; design inspection</t>
        </is>
      </c>
      <c r="E77" s="66" t="n"/>
      <c r="F77" s="66" t="inlineStr">
        <is>
          <t>Specification text against implementation description; provenance sections; objective card lines</t>
        </is>
      </c>
      <c r="G77" s="66" t="inlineStr">
        <is>
          <t>A — 100%</t>
        </is>
      </c>
      <c r="H77" s="67" t="n"/>
      <c r="I77" s="67" t="n"/>
      <c r="J77" s="67" t="n"/>
      <c r="K77" s="64">
        <f>IFERROR(INDEX('Status Map'!$B$2:$B$12,MATCH(C77,'Status Map'!$A$2:$A$12,0)),"UNDEFINED")</f>
        <v/>
      </c>
      <c r="L77" s="64">
        <f>IFERROR(INDEX('Status Map'!$C$2:$C$12,MATCH(C77,'Status Map'!$A$2:$A$12,0)),"UNDEFINED")</f>
        <v/>
      </c>
      <c r="M77" s="68" t="inlineStr">
        <is>
          <t>HEADING ONLY</t>
        </is>
      </c>
      <c r="N77" s="68" t="n"/>
      <c r="O77" s="68" t="n"/>
      <c r="P77" s="64">
        <f>IF(O77&lt;&gt;"",O77,LEFT(D77,2))</f>
        <v/>
      </c>
      <c r="Q77" s="64">
        <f>IF(O77&lt;&gt;"","Standards §6",IF(M77="HEADING ONLY","Derived from heading — PROVISIONAL",IF(M77="TEXT NOT IN REGISTRY","No text to derive from — PROVISIONAL","Derived from registered statement")))</f>
        <v/>
      </c>
      <c r="R77" s="64">
        <f>IF(OR(LEFT(G77,1)="A",L77="COUNTS",ISNUMBER(SEARCH("V1",P77)),ISNUMBER(SEARCH("V2",P77)),ISNUMBER(SEARCH("V5",P77))),"A — 100%","B — sample ≥ 30%")</f>
        <v/>
      </c>
      <c r="S77" s="67" t="n"/>
      <c r="T77" s="67" t="n"/>
      <c r="U77" s="67" t="n"/>
      <c r="V77" s="67" t="n"/>
      <c r="W77" s="67" t="n"/>
      <c r="X77" s="67" t="n"/>
    </row>
    <row r="78" ht="22.35" customHeight="1" s="45">
      <c r="A78" s="65" t="inlineStr">
        <is>
          <t>B5.4</t>
        </is>
      </c>
      <c r="B78" s="66" t="inlineStr">
        <is>
          <t>Doc 5</t>
        </is>
      </c>
      <c r="C78" s="66" t="inlineStr">
        <is>
          <t>CANON</t>
        </is>
      </c>
      <c r="D78" s="66" t="inlineStr">
        <is>
          <t>V3 — Record evidence</t>
        </is>
      </c>
      <c r="E78" s="66" t="n"/>
      <c r="F78" s="66" t="inlineStr">
        <is>
          <t>Ledger rows inspected; hash-chain verifier receipt; refused operations present on identical terms</t>
        </is>
      </c>
      <c r="G78" s="66" t="inlineStr">
        <is>
          <t>A — 100%</t>
        </is>
      </c>
      <c r="H78" s="67" t="n"/>
      <c r="I78" s="67" t="n"/>
      <c r="J78" s="67" t="n"/>
      <c r="K78" s="64">
        <f>IFERROR(INDEX('Status Map'!$B$2:$B$12,MATCH(C78,'Status Map'!$A$2:$A$12,0)),"UNDEFINED")</f>
        <v/>
      </c>
      <c r="L78" s="64">
        <f>IFERROR(INDEX('Status Map'!$C$2:$C$12,MATCH(C78,'Status Map'!$A$2:$A$12,0)),"UNDEFINED")</f>
        <v/>
      </c>
      <c r="M78" s="68" t="inlineStr">
        <is>
          <t>HEADING ONLY</t>
        </is>
      </c>
      <c r="N78" s="68" t="n"/>
      <c r="O78" s="68" t="n"/>
      <c r="P78" s="64">
        <f>IF(O78&lt;&gt;"",O78,LEFT(D78,2))</f>
        <v/>
      </c>
      <c r="Q78" s="64">
        <f>IF(O78&lt;&gt;"","Standards §6",IF(M78="HEADING ONLY","Derived from heading — PROVISIONAL",IF(M78="TEXT NOT IN REGISTRY","No text to derive from — PROVISIONAL","Derived from registered statement")))</f>
        <v/>
      </c>
      <c r="R78" s="64">
        <f>IF(OR(LEFT(G78,1)="A",L78="COUNTS",ISNUMBER(SEARCH("V1",P78)),ISNUMBER(SEARCH("V2",P78)),ISNUMBER(SEARCH("V5",P78))),"A — 100%","B — sample ≥ 30%")</f>
        <v/>
      </c>
      <c r="S78" s="67" t="n"/>
      <c r="T78" s="67" t="n"/>
      <c r="U78" s="67" t="n"/>
      <c r="V78" s="67" t="n"/>
      <c r="W78" s="67" t="n"/>
      <c r="X78" s="67" t="n"/>
    </row>
    <row r="79" ht="22.35" customHeight="1" s="45">
      <c r="A79" s="65" t="inlineStr">
        <is>
          <t>B5.5</t>
        </is>
      </c>
      <c r="B79" s="66" t="inlineStr">
        <is>
          <t>Doc 5</t>
        </is>
      </c>
      <c r="C79" s="66" t="inlineStr">
        <is>
          <t>CANON</t>
        </is>
      </c>
      <c r="D79" s="66" t="inlineStr">
        <is>
          <t>V7 — Document &amp; design inspection</t>
        </is>
      </c>
      <c r="E79" s="66" t="n"/>
      <c r="F79" s="66" t="inlineStr">
        <is>
          <t>Specification text against implementation description; provenance sections; objective card lines</t>
        </is>
      </c>
      <c r="G79" s="66" t="inlineStr">
        <is>
          <t>A — 100%</t>
        </is>
      </c>
      <c r="H79" s="67" t="n"/>
      <c r="I79" s="67" t="n"/>
      <c r="J79" s="67" t="n"/>
      <c r="K79" s="64">
        <f>IFERROR(INDEX('Status Map'!$B$2:$B$12,MATCH(C79,'Status Map'!$A$2:$A$12,0)),"UNDEFINED")</f>
        <v/>
      </c>
      <c r="L79" s="64">
        <f>IFERROR(INDEX('Status Map'!$C$2:$C$12,MATCH(C79,'Status Map'!$A$2:$A$12,0)),"UNDEFINED")</f>
        <v/>
      </c>
      <c r="M79" s="68" t="inlineStr">
        <is>
          <t>HEADING ONLY</t>
        </is>
      </c>
      <c r="N79" s="68" t="n"/>
      <c r="O79" s="68" t="n"/>
      <c r="P79" s="64">
        <f>IF(O79&lt;&gt;"",O79,LEFT(D79,2))</f>
        <v/>
      </c>
      <c r="Q79" s="64">
        <f>IF(O79&lt;&gt;"","Standards §6",IF(M79="HEADING ONLY","Derived from heading — PROVISIONAL",IF(M79="TEXT NOT IN REGISTRY","No text to derive from — PROVISIONAL","Derived from registered statement")))</f>
        <v/>
      </c>
      <c r="R79" s="64">
        <f>IF(OR(LEFT(G79,1)="A",L79="COUNTS",ISNUMBER(SEARCH("V1",P79)),ISNUMBER(SEARCH("V2",P79)),ISNUMBER(SEARCH("V5",P79))),"A — 100%","B — sample ≥ 30%")</f>
        <v/>
      </c>
      <c r="S79" s="67" t="n"/>
      <c r="T79" s="67" t="n"/>
      <c r="U79" s="67" t="n"/>
      <c r="V79" s="67" t="n"/>
      <c r="W79" s="67" t="n"/>
      <c r="X79" s="67" t="n"/>
    </row>
    <row r="80" ht="22.35" customHeight="1" s="45">
      <c r="A80" s="65" t="inlineStr">
        <is>
          <t>A5.1</t>
        </is>
      </c>
      <c r="B80" s="66" t="inlineStr">
        <is>
          <t>Doc 7</t>
        </is>
      </c>
      <c r="C80" s="66" t="inlineStr">
        <is>
          <t>CANON</t>
        </is>
      </c>
      <c r="D80" s="66" t="inlineStr">
        <is>
          <t>V7 — Document &amp; design inspection</t>
        </is>
      </c>
      <c r="E80" s="66" t="n"/>
      <c r="F80" s="66" t="inlineStr">
        <is>
          <t>Specification text against implementation description; provenance sections; objective card lines</t>
        </is>
      </c>
      <c r="G80" s="66" t="inlineStr">
        <is>
          <t>B — sample ≥ 30%</t>
        </is>
      </c>
      <c r="H80" s="67" t="n"/>
      <c r="I80" s="67" t="n"/>
      <c r="J80" s="67" t="n"/>
      <c r="K80" s="64">
        <f>IFERROR(INDEX('Status Map'!$B$2:$B$12,MATCH(C80,'Status Map'!$A$2:$A$12,0)),"UNDEFINED")</f>
        <v/>
      </c>
      <c r="L80" s="64">
        <f>IFERROR(INDEX('Status Map'!$C$2:$C$12,MATCH(C80,'Status Map'!$A$2:$A$12,0)),"UNDEFINED")</f>
        <v/>
      </c>
      <c r="M80" s="68" t="inlineStr">
        <is>
          <t>HEADING ONLY</t>
        </is>
      </c>
      <c r="N80" s="68" t="n"/>
      <c r="O80" s="68" t="n"/>
      <c r="P80" s="64">
        <f>IF(O80&lt;&gt;"",O80,LEFT(D80,2))</f>
        <v/>
      </c>
      <c r="Q80" s="64">
        <f>IF(O80&lt;&gt;"","Standards §6",IF(M80="HEADING ONLY","Derived from heading — PROVISIONAL",IF(M80="TEXT NOT IN REGISTRY","No text to derive from — PROVISIONAL","Derived from registered statement")))</f>
        <v/>
      </c>
      <c r="R80" s="64">
        <f>IF(OR(LEFT(G80,1)="A",L80="COUNTS",ISNUMBER(SEARCH("V1",P80)),ISNUMBER(SEARCH("V2",P80)),ISNUMBER(SEARCH("V5",P80))),"A — 100%","B — sample ≥ 30%")</f>
        <v/>
      </c>
      <c r="S80" s="67" t="n"/>
      <c r="T80" s="67" t="n"/>
      <c r="U80" s="67" t="n"/>
      <c r="V80" s="67" t="n"/>
      <c r="W80" s="67" t="n"/>
      <c r="X80" s="67" t="n"/>
    </row>
    <row r="81" ht="22.35" customHeight="1" s="45">
      <c r="A81" s="65" t="inlineStr">
        <is>
          <t>A5.2</t>
        </is>
      </c>
      <c r="B81" s="66" t="inlineStr">
        <is>
          <t>Doc 7</t>
        </is>
      </c>
      <c r="C81" s="66" t="inlineStr">
        <is>
          <t>CANON</t>
        </is>
      </c>
      <c r="D81" s="66" t="inlineStr">
        <is>
          <t>V7 — Document &amp; design inspection</t>
        </is>
      </c>
      <c r="E81" s="66" t="n"/>
      <c r="F81" s="66" t="inlineStr">
        <is>
          <t>Specification text against implementation description; provenance sections; objective card lines</t>
        </is>
      </c>
      <c r="G81" s="66" t="inlineStr">
        <is>
          <t>B — sample ≥ 30%</t>
        </is>
      </c>
      <c r="H81" s="67" t="n"/>
      <c r="I81" s="67" t="n"/>
      <c r="J81" s="67" t="n"/>
      <c r="K81" s="64">
        <f>IFERROR(INDEX('Status Map'!$B$2:$B$12,MATCH(C81,'Status Map'!$A$2:$A$12,0)),"UNDEFINED")</f>
        <v/>
      </c>
      <c r="L81" s="64">
        <f>IFERROR(INDEX('Status Map'!$C$2:$C$12,MATCH(C81,'Status Map'!$A$2:$A$12,0)),"UNDEFINED")</f>
        <v/>
      </c>
      <c r="M81" s="68" t="inlineStr">
        <is>
          <t>HEADING ONLY</t>
        </is>
      </c>
      <c r="N81" s="68" t="n"/>
      <c r="O81" s="68" t="n"/>
      <c r="P81" s="64">
        <f>IF(O81&lt;&gt;"",O81,LEFT(D81,2))</f>
        <v/>
      </c>
      <c r="Q81" s="64">
        <f>IF(O81&lt;&gt;"","Standards §6",IF(M81="HEADING ONLY","Derived from heading — PROVISIONAL",IF(M81="TEXT NOT IN REGISTRY","No text to derive from — PROVISIONAL","Derived from registered statement")))</f>
        <v/>
      </c>
      <c r="R81" s="64">
        <f>IF(OR(LEFT(G81,1)="A",L81="COUNTS",ISNUMBER(SEARCH("V1",P81)),ISNUMBER(SEARCH("V2",P81)),ISNUMBER(SEARCH("V5",P81))),"A — 100%","B — sample ≥ 30%")</f>
        <v/>
      </c>
      <c r="S81" s="67" t="n"/>
      <c r="T81" s="67" t="n"/>
      <c r="U81" s="67" t="n"/>
      <c r="V81" s="67" t="n"/>
      <c r="W81" s="67" t="n"/>
      <c r="X81" s="67" t="n"/>
    </row>
    <row r="82" ht="22.35" customHeight="1" s="45">
      <c r="A82" s="65" t="inlineStr">
        <is>
          <t>A5.3</t>
        </is>
      </c>
      <c r="B82" s="66" t="inlineStr">
        <is>
          <t>Doc 7</t>
        </is>
      </c>
      <c r="C82" s="66" t="inlineStr">
        <is>
          <t>CANON</t>
        </is>
      </c>
      <c r="D82" s="66" t="inlineStr">
        <is>
          <t>V7 — Document &amp; design inspection</t>
        </is>
      </c>
      <c r="E82" s="66" t="n"/>
      <c r="F82" s="66" t="inlineStr">
        <is>
          <t>Specification text against implementation description; provenance sections; objective card lines</t>
        </is>
      </c>
      <c r="G82" s="66" t="inlineStr">
        <is>
          <t>B — sample ≥ 30%</t>
        </is>
      </c>
      <c r="H82" s="67" t="n"/>
      <c r="I82" s="67" t="n"/>
      <c r="J82" s="67" t="n"/>
      <c r="K82" s="64">
        <f>IFERROR(INDEX('Status Map'!$B$2:$B$12,MATCH(C82,'Status Map'!$A$2:$A$12,0)),"UNDEFINED")</f>
        <v/>
      </c>
      <c r="L82" s="64">
        <f>IFERROR(INDEX('Status Map'!$C$2:$C$12,MATCH(C82,'Status Map'!$A$2:$A$12,0)),"UNDEFINED")</f>
        <v/>
      </c>
      <c r="M82" s="68" t="inlineStr">
        <is>
          <t>HEADING ONLY</t>
        </is>
      </c>
      <c r="N82" s="68" t="n"/>
      <c r="O82" s="68" t="n"/>
      <c r="P82" s="64">
        <f>IF(O82&lt;&gt;"",O82,LEFT(D82,2))</f>
        <v/>
      </c>
      <c r="Q82" s="64">
        <f>IF(O82&lt;&gt;"","Standards §6",IF(M82="HEADING ONLY","Derived from heading — PROVISIONAL",IF(M82="TEXT NOT IN REGISTRY","No text to derive from — PROVISIONAL","Derived from registered statement")))</f>
        <v/>
      </c>
      <c r="R82" s="64">
        <f>IF(OR(LEFT(G82,1)="A",L82="COUNTS",ISNUMBER(SEARCH("V1",P82)),ISNUMBER(SEARCH("V2",P82)),ISNUMBER(SEARCH("V5",P82))),"A — 100%","B — sample ≥ 30%")</f>
        <v/>
      </c>
      <c r="S82" s="67" t="n"/>
      <c r="T82" s="67" t="n"/>
      <c r="U82" s="67" t="n"/>
      <c r="V82" s="67" t="n"/>
      <c r="W82" s="67" t="n"/>
      <c r="X82" s="67" t="n"/>
    </row>
    <row r="83" ht="22.35" customHeight="1" s="45">
      <c r="A83" s="65" t="inlineStr">
        <is>
          <t>A5.4</t>
        </is>
      </c>
      <c r="B83" s="66" t="inlineStr">
        <is>
          <t>Doc 7</t>
        </is>
      </c>
      <c r="C83" s="66" t="inlineStr">
        <is>
          <t>CANON</t>
        </is>
      </c>
      <c r="D83" s="66" t="inlineStr">
        <is>
          <t>V7 — Document &amp; design inspection</t>
        </is>
      </c>
      <c r="E83" s="66" t="n"/>
      <c r="F83" s="66" t="inlineStr">
        <is>
          <t>Specification text against implementation description; provenance sections; objective card lines</t>
        </is>
      </c>
      <c r="G83" s="66" t="inlineStr">
        <is>
          <t>B — sample ≥ 30%</t>
        </is>
      </c>
      <c r="H83" s="67" t="n"/>
      <c r="I83" s="67" t="n"/>
      <c r="J83" s="67" t="n"/>
      <c r="K83" s="64">
        <f>IFERROR(INDEX('Status Map'!$B$2:$B$12,MATCH(C83,'Status Map'!$A$2:$A$12,0)),"UNDEFINED")</f>
        <v/>
      </c>
      <c r="L83" s="64">
        <f>IFERROR(INDEX('Status Map'!$C$2:$C$12,MATCH(C83,'Status Map'!$A$2:$A$12,0)),"UNDEFINED")</f>
        <v/>
      </c>
      <c r="M83" s="68" t="inlineStr">
        <is>
          <t>HEADING ONLY</t>
        </is>
      </c>
      <c r="N83" s="68" t="n"/>
      <c r="O83" s="68" t="n"/>
      <c r="P83" s="64">
        <f>IF(O83&lt;&gt;"",O83,LEFT(D83,2))</f>
        <v/>
      </c>
      <c r="Q83" s="64">
        <f>IF(O83&lt;&gt;"","Standards §6",IF(M83="HEADING ONLY","Derived from heading — PROVISIONAL",IF(M83="TEXT NOT IN REGISTRY","No text to derive from — PROVISIONAL","Derived from registered statement")))</f>
        <v/>
      </c>
      <c r="R83" s="64">
        <f>IF(OR(LEFT(G83,1)="A",L83="COUNTS",ISNUMBER(SEARCH("V1",P83)),ISNUMBER(SEARCH("V2",P83)),ISNUMBER(SEARCH("V5",P83))),"A — 100%","B — sample ≥ 30%")</f>
        <v/>
      </c>
      <c r="S83" s="67" t="n"/>
      <c r="T83" s="67" t="n"/>
      <c r="U83" s="67" t="n"/>
      <c r="V83" s="67" t="n"/>
      <c r="W83" s="67" t="n"/>
      <c r="X83" s="67" t="n"/>
    </row>
    <row r="84" ht="22.35" customHeight="1" s="45">
      <c r="A84" s="65" t="inlineStr">
        <is>
          <t>A5.5</t>
        </is>
      </c>
      <c r="B84" s="66" t="inlineStr">
        <is>
          <t>Doc 7</t>
        </is>
      </c>
      <c r="C84" s="66" t="inlineStr">
        <is>
          <t>RULED</t>
        </is>
      </c>
      <c r="D84" s="66" t="inlineStr">
        <is>
          <t>V7 — Document &amp; design inspection</t>
        </is>
      </c>
      <c r="E84" s="66" t="n"/>
      <c r="F84" s="66" t="inlineStr">
        <is>
          <t>Specification text against implementation description; provenance sections; objective card lines</t>
        </is>
      </c>
      <c r="G84" s="66" t="inlineStr">
        <is>
          <t>B — sample ≥ 30%</t>
        </is>
      </c>
      <c r="H84" s="67" t="n"/>
      <c r="I84" s="67" t="n"/>
      <c r="J84" s="67" t="n"/>
      <c r="K84" s="64">
        <f>IFERROR(INDEX('Status Map'!$B$2:$B$12,MATCH(C84,'Status Map'!$A$2:$A$12,0)),"UNDEFINED")</f>
        <v/>
      </c>
      <c r="L84" s="64">
        <f>IFERROR(INDEX('Status Map'!$C$2:$C$12,MATCH(C84,'Status Map'!$A$2:$A$12,0)),"UNDEFINED")</f>
        <v/>
      </c>
      <c r="M84" s="68" t="inlineStr">
        <is>
          <t>HEADING ONLY</t>
        </is>
      </c>
      <c r="N84" s="68" t="n"/>
      <c r="O84" s="68" t="n"/>
      <c r="P84" s="64">
        <f>IF(O84&lt;&gt;"",O84,LEFT(D84,2))</f>
        <v/>
      </c>
      <c r="Q84" s="64">
        <f>IF(O84&lt;&gt;"","Standards §6",IF(M84="HEADING ONLY","Derived from heading — PROVISIONAL",IF(M84="TEXT NOT IN REGISTRY","No text to derive from — PROVISIONAL","Derived from registered statement")))</f>
        <v/>
      </c>
      <c r="R84" s="64">
        <f>IF(OR(LEFT(G84,1)="A",L84="COUNTS",ISNUMBER(SEARCH("V1",P84)),ISNUMBER(SEARCH("V2",P84)),ISNUMBER(SEARCH("V5",P84))),"A — 100%","B — sample ≥ 30%")</f>
        <v/>
      </c>
      <c r="S84" s="67" t="n"/>
      <c r="T84" s="67" t="n"/>
      <c r="U84" s="67" t="n"/>
      <c r="V84" s="67" t="n"/>
      <c r="W84" s="67" t="n"/>
      <c r="X84" s="67" t="n"/>
    </row>
    <row r="85" ht="22.35" customHeight="1" s="45">
      <c r="A85" s="65" t="inlineStr">
        <is>
          <t>A5.6</t>
        </is>
      </c>
      <c r="B85" s="66" t="inlineStr">
        <is>
          <t>Doc 7</t>
        </is>
      </c>
      <c r="C85" s="66" t="inlineStr">
        <is>
          <t>CANON</t>
        </is>
      </c>
      <c r="D85" s="66" t="inlineStr">
        <is>
          <t>V7 — Document &amp; design inspection</t>
        </is>
      </c>
      <c r="E85" s="66" t="n"/>
      <c r="F85" s="66" t="inlineStr">
        <is>
          <t>Specification text against implementation description; provenance sections; objective card lines</t>
        </is>
      </c>
      <c r="G85" s="66" t="inlineStr">
        <is>
          <t>B — sample ≥ 30%</t>
        </is>
      </c>
      <c r="H85" s="67" t="n"/>
      <c r="I85" s="67" t="n"/>
      <c r="J85" s="67" t="n"/>
      <c r="K85" s="64">
        <f>IFERROR(INDEX('Status Map'!$B$2:$B$12,MATCH(C85,'Status Map'!$A$2:$A$12,0)),"UNDEFINED")</f>
        <v/>
      </c>
      <c r="L85" s="64">
        <f>IFERROR(INDEX('Status Map'!$C$2:$C$12,MATCH(C85,'Status Map'!$A$2:$A$12,0)),"UNDEFINED")</f>
        <v/>
      </c>
      <c r="M85" s="68" t="inlineStr">
        <is>
          <t>HEADING ONLY</t>
        </is>
      </c>
      <c r="N85" s="68" t="n"/>
      <c r="O85" s="68" t="n"/>
      <c r="P85" s="64">
        <f>IF(O85&lt;&gt;"",O85,LEFT(D85,2))</f>
        <v/>
      </c>
      <c r="Q85" s="64">
        <f>IF(O85&lt;&gt;"","Standards §6",IF(M85="HEADING ONLY","Derived from heading — PROVISIONAL",IF(M85="TEXT NOT IN REGISTRY","No text to derive from — PROVISIONAL","Derived from registered statement")))</f>
        <v/>
      </c>
      <c r="R85" s="64">
        <f>IF(OR(LEFT(G85,1)="A",L85="COUNTS",ISNUMBER(SEARCH("V1",P85)),ISNUMBER(SEARCH("V2",P85)),ISNUMBER(SEARCH("V5",P85))),"A — 100%","B — sample ≥ 30%")</f>
        <v/>
      </c>
      <c r="S85" s="67" t="n"/>
      <c r="T85" s="67" t="n"/>
      <c r="U85" s="67" t="n"/>
      <c r="V85" s="67" t="n"/>
      <c r="W85" s="67" t="n"/>
      <c r="X85" s="67" t="n"/>
    </row>
    <row r="86" ht="22.35" customHeight="1" s="45">
      <c r="A86" s="65" t="inlineStr">
        <is>
          <t>A5.1</t>
        </is>
      </c>
      <c r="B86" s="66" t="inlineStr">
        <is>
          <t>Doc 8</t>
        </is>
      </c>
      <c r="C86" s="66" t="inlineStr">
        <is>
          <t>CANON</t>
        </is>
      </c>
      <c r="D86" s="66" t="inlineStr">
        <is>
          <t>V7 — Document &amp; design inspection</t>
        </is>
      </c>
      <c r="E86" s="66" t="n"/>
      <c r="F86" s="66" t="inlineStr">
        <is>
          <t>Specification text against implementation description; provenance sections; objective card lines</t>
        </is>
      </c>
      <c r="G86" s="66" t="inlineStr">
        <is>
          <t>B — sample ≥ 30%</t>
        </is>
      </c>
      <c r="H86" s="67" t="n"/>
      <c r="I86" s="67" t="n"/>
      <c r="J86" s="67" t="n"/>
      <c r="K86" s="64">
        <f>IFERROR(INDEX('Status Map'!$B$2:$B$12,MATCH(C86,'Status Map'!$A$2:$A$12,0)),"UNDEFINED")</f>
        <v/>
      </c>
      <c r="L86" s="64">
        <f>IFERROR(INDEX('Status Map'!$C$2:$C$12,MATCH(C86,'Status Map'!$A$2:$A$12,0)),"UNDEFINED")</f>
        <v/>
      </c>
      <c r="M86" s="68" t="inlineStr">
        <is>
          <t>HEADING ONLY</t>
        </is>
      </c>
      <c r="N86" s="68" t="n"/>
      <c r="O86" s="68" t="n"/>
      <c r="P86" s="64">
        <f>IF(O86&lt;&gt;"",O86,LEFT(D86,2))</f>
        <v/>
      </c>
      <c r="Q86" s="64">
        <f>IF(O86&lt;&gt;"","Standards §6",IF(M86="HEADING ONLY","Derived from heading — PROVISIONAL",IF(M86="TEXT NOT IN REGISTRY","No text to derive from — PROVISIONAL","Derived from registered statement")))</f>
        <v/>
      </c>
      <c r="R86" s="64">
        <f>IF(OR(LEFT(G86,1)="A",L86="COUNTS",ISNUMBER(SEARCH("V1",P86)),ISNUMBER(SEARCH("V2",P86)),ISNUMBER(SEARCH("V5",P86))),"A — 100%","B — sample ≥ 30%")</f>
        <v/>
      </c>
      <c r="S86" s="67" t="n"/>
      <c r="T86" s="67" t="n"/>
      <c r="U86" s="67" t="n"/>
      <c r="V86" s="67" t="n"/>
      <c r="W86" s="67" t="n"/>
      <c r="X86" s="67" t="n"/>
    </row>
    <row r="87" ht="22.35" customHeight="1" s="45">
      <c r="A87" s="65" t="inlineStr">
        <is>
          <t>A5.2</t>
        </is>
      </c>
      <c r="B87" s="66" t="inlineStr">
        <is>
          <t>Doc 8</t>
        </is>
      </c>
      <c r="C87" s="66" t="inlineStr">
        <is>
          <t>CANON</t>
        </is>
      </c>
      <c r="D87" s="66" t="inlineStr">
        <is>
          <t>V7 — Document &amp; design inspection</t>
        </is>
      </c>
      <c r="E87" s="66" t="n"/>
      <c r="F87" s="66" t="inlineStr">
        <is>
          <t>Specification text against implementation description; provenance sections; objective card lines</t>
        </is>
      </c>
      <c r="G87" s="66" t="inlineStr">
        <is>
          <t>B — sample ≥ 30%</t>
        </is>
      </c>
      <c r="H87" s="67" t="n"/>
      <c r="I87" s="67" t="n"/>
      <c r="J87" s="67" t="n"/>
      <c r="K87" s="64">
        <f>IFERROR(INDEX('Status Map'!$B$2:$B$12,MATCH(C87,'Status Map'!$A$2:$A$12,0)),"UNDEFINED")</f>
        <v/>
      </c>
      <c r="L87" s="64">
        <f>IFERROR(INDEX('Status Map'!$C$2:$C$12,MATCH(C87,'Status Map'!$A$2:$A$12,0)),"UNDEFINED")</f>
        <v/>
      </c>
      <c r="M87" s="68" t="inlineStr">
        <is>
          <t>HEADING ONLY</t>
        </is>
      </c>
      <c r="N87" s="68" t="n"/>
      <c r="O87" s="68" t="n"/>
      <c r="P87" s="64">
        <f>IF(O87&lt;&gt;"",O87,LEFT(D87,2))</f>
        <v/>
      </c>
      <c r="Q87" s="64">
        <f>IF(O87&lt;&gt;"","Standards §6",IF(M87="HEADING ONLY","Derived from heading — PROVISIONAL",IF(M87="TEXT NOT IN REGISTRY","No text to derive from — PROVISIONAL","Derived from registered statement")))</f>
        <v/>
      </c>
      <c r="R87" s="64">
        <f>IF(OR(LEFT(G87,1)="A",L87="COUNTS",ISNUMBER(SEARCH("V1",P87)),ISNUMBER(SEARCH("V2",P87)),ISNUMBER(SEARCH("V5",P87))),"A — 100%","B — sample ≥ 30%")</f>
        <v/>
      </c>
      <c r="S87" s="67" t="n"/>
      <c r="T87" s="67" t="n"/>
      <c r="U87" s="67" t="n"/>
      <c r="V87" s="67" t="n"/>
      <c r="W87" s="67" t="n"/>
      <c r="X87" s="67" t="n"/>
    </row>
    <row r="88" ht="22.35" customHeight="1" s="45">
      <c r="A88" s="65" t="inlineStr">
        <is>
          <t>A5.3</t>
        </is>
      </c>
      <c r="B88" s="66" t="inlineStr">
        <is>
          <t>Doc 8</t>
        </is>
      </c>
      <c r="C88" s="66" t="inlineStr">
        <is>
          <t>CANON</t>
        </is>
      </c>
      <c r="D88" s="66" t="inlineStr">
        <is>
          <t>V7 — Document &amp; design inspection</t>
        </is>
      </c>
      <c r="E88" s="66" t="n"/>
      <c r="F88" s="66" t="inlineStr">
        <is>
          <t>Specification text against implementation description; provenance sections; objective card lines</t>
        </is>
      </c>
      <c r="G88" s="66" t="inlineStr">
        <is>
          <t>B — sample ≥ 30%</t>
        </is>
      </c>
      <c r="H88" s="67" t="n"/>
      <c r="I88" s="67" t="n"/>
      <c r="J88" s="67" t="n"/>
      <c r="K88" s="64">
        <f>IFERROR(INDEX('Status Map'!$B$2:$B$12,MATCH(C88,'Status Map'!$A$2:$A$12,0)),"UNDEFINED")</f>
        <v/>
      </c>
      <c r="L88" s="64">
        <f>IFERROR(INDEX('Status Map'!$C$2:$C$12,MATCH(C88,'Status Map'!$A$2:$A$12,0)),"UNDEFINED")</f>
        <v/>
      </c>
      <c r="M88" s="68" t="inlineStr">
        <is>
          <t>HEADING ONLY</t>
        </is>
      </c>
      <c r="N88" s="68" t="n"/>
      <c r="O88" s="68" t="n"/>
      <c r="P88" s="64">
        <f>IF(O88&lt;&gt;"",O88,LEFT(D88,2))</f>
        <v/>
      </c>
      <c r="Q88" s="64">
        <f>IF(O88&lt;&gt;"","Standards §6",IF(M88="HEADING ONLY","Derived from heading — PROVISIONAL",IF(M88="TEXT NOT IN REGISTRY","No text to derive from — PROVISIONAL","Derived from registered statement")))</f>
        <v/>
      </c>
      <c r="R88" s="64">
        <f>IF(OR(LEFT(G88,1)="A",L88="COUNTS",ISNUMBER(SEARCH("V1",P88)),ISNUMBER(SEARCH("V2",P88)),ISNUMBER(SEARCH("V5",P88))),"A — 100%","B — sample ≥ 30%")</f>
        <v/>
      </c>
      <c r="S88" s="67" t="n"/>
      <c r="T88" s="67" t="n"/>
      <c r="U88" s="67" t="n"/>
      <c r="V88" s="67" t="n"/>
      <c r="W88" s="67" t="n"/>
      <c r="X88" s="67" t="n"/>
    </row>
    <row r="89" ht="22.35" customHeight="1" s="45">
      <c r="A89" s="65" t="inlineStr">
        <is>
          <t>A5.4</t>
        </is>
      </c>
      <c r="B89" s="66" t="inlineStr">
        <is>
          <t>Doc 8</t>
        </is>
      </c>
      <c r="C89" s="66" t="inlineStr">
        <is>
          <t>CANON</t>
        </is>
      </c>
      <c r="D89" s="66" t="inlineStr">
        <is>
          <t>V7 — Document &amp; design inspection</t>
        </is>
      </c>
      <c r="E89" s="66" t="n"/>
      <c r="F89" s="66" t="inlineStr">
        <is>
          <t>Specification text against implementation description; provenance sections; objective card lines</t>
        </is>
      </c>
      <c r="G89" s="66" t="inlineStr">
        <is>
          <t>B — sample ≥ 30%</t>
        </is>
      </c>
      <c r="H89" s="67" t="n"/>
      <c r="I89" s="67" t="n"/>
      <c r="J89" s="67" t="n"/>
      <c r="K89" s="64">
        <f>IFERROR(INDEX('Status Map'!$B$2:$B$12,MATCH(C89,'Status Map'!$A$2:$A$12,0)),"UNDEFINED")</f>
        <v/>
      </c>
      <c r="L89" s="64">
        <f>IFERROR(INDEX('Status Map'!$C$2:$C$12,MATCH(C89,'Status Map'!$A$2:$A$12,0)),"UNDEFINED")</f>
        <v/>
      </c>
      <c r="M89" s="68" t="inlineStr">
        <is>
          <t>HEADING ONLY</t>
        </is>
      </c>
      <c r="N89" s="68" t="n"/>
      <c r="O89" s="68" t="n"/>
      <c r="P89" s="64">
        <f>IF(O89&lt;&gt;"",O89,LEFT(D89,2))</f>
        <v/>
      </c>
      <c r="Q89" s="64">
        <f>IF(O89&lt;&gt;"","Standards §6",IF(M89="HEADING ONLY","Derived from heading — PROVISIONAL",IF(M89="TEXT NOT IN REGISTRY","No text to derive from — PROVISIONAL","Derived from registered statement")))</f>
        <v/>
      </c>
      <c r="R89" s="64">
        <f>IF(OR(LEFT(G89,1)="A",L89="COUNTS",ISNUMBER(SEARCH("V1",P89)),ISNUMBER(SEARCH("V2",P89)),ISNUMBER(SEARCH("V5",P89))),"A — 100%","B — sample ≥ 30%")</f>
        <v/>
      </c>
      <c r="S89" s="67" t="n"/>
      <c r="T89" s="67" t="n"/>
      <c r="U89" s="67" t="n"/>
      <c r="V89" s="67" t="n"/>
      <c r="W89" s="67" t="n"/>
      <c r="X89" s="67" t="n"/>
    </row>
    <row r="90" ht="22.35" customHeight="1" s="45">
      <c r="A90" s="65" t="inlineStr">
        <is>
          <t>B5.1</t>
        </is>
      </c>
      <c r="B90" s="66" t="inlineStr">
        <is>
          <t>Doc 8</t>
        </is>
      </c>
      <c r="C90" s="66" t="inlineStr">
        <is>
          <t>CANON</t>
        </is>
      </c>
      <c r="D90" s="66" t="inlineStr">
        <is>
          <t>V7 — Document &amp; design inspection</t>
        </is>
      </c>
      <c r="E90" s="66" t="n"/>
      <c r="F90" s="66" t="inlineStr">
        <is>
          <t>Specification text against implementation description; provenance sections; objective card lines</t>
        </is>
      </c>
      <c r="G90" s="66" t="inlineStr">
        <is>
          <t>B — sample ≥ 30%</t>
        </is>
      </c>
      <c r="H90" s="67" t="n"/>
      <c r="I90" s="67" t="n"/>
      <c r="J90" s="67" t="n"/>
      <c r="K90" s="64">
        <f>IFERROR(INDEX('Status Map'!$B$2:$B$12,MATCH(C90,'Status Map'!$A$2:$A$12,0)),"UNDEFINED")</f>
        <v/>
      </c>
      <c r="L90" s="64">
        <f>IFERROR(INDEX('Status Map'!$C$2:$C$12,MATCH(C90,'Status Map'!$A$2:$A$12,0)),"UNDEFINED")</f>
        <v/>
      </c>
      <c r="M90" s="68" t="inlineStr">
        <is>
          <t>HEADING ONLY</t>
        </is>
      </c>
      <c r="N90" s="68" t="n"/>
      <c r="O90" s="68" t="n"/>
      <c r="P90" s="64">
        <f>IF(O90&lt;&gt;"",O90,LEFT(D90,2))</f>
        <v/>
      </c>
      <c r="Q90" s="64">
        <f>IF(O90&lt;&gt;"","Standards §6",IF(M90="HEADING ONLY","Derived from heading — PROVISIONAL",IF(M90="TEXT NOT IN REGISTRY","No text to derive from — PROVISIONAL","Derived from registered statement")))</f>
        <v/>
      </c>
      <c r="R90" s="64">
        <f>IF(OR(LEFT(G90,1)="A",L90="COUNTS",ISNUMBER(SEARCH("V1",P90)),ISNUMBER(SEARCH("V2",P90)),ISNUMBER(SEARCH("V5",P90))),"A — 100%","B — sample ≥ 30%")</f>
        <v/>
      </c>
      <c r="S90" s="67" t="n"/>
      <c r="T90" s="67" t="n"/>
      <c r="U90" s="67" t="n"/>
      <c r="V90" s="67" t="n"/>
      <c r="W90" s="67" t="n"/>
      <c r="X90" s="67" t="n"/>
    </row>
    <row r="91" ht="22.35" customHeight="1" s="45">
      <c r="A91" s="65" t="inlineStr">
        <is>
          <t>B5.2</t>
        </is>
      </c>
      <c r="B91" s="66" t="inlineStr">
        <is>
          <t>Doc 8</t>
        </is>
      </c>
      <c r="C91" s="66" t="inlineStr">
        <is>
          <t>CANON</t>
        </is>
      </c>
      <c r="D91" s="66" t="inlineStr">
        <is>
          <t>V7 — Document &amp; design inspection</t>
        </is>
      </c>
      <c r="E91" s="66" t="n"/>
      <c r="F91" s="66" t="inlineStr">
        <is>
          <t>Specification text against implementation description; provenance sections; objective card lines</t>
        </is>
      </c>
      <c r="G91" s="66" t="inlineStr">
        <is>
          <t>B — sample ≥ 30%</t>
        </is>
      </c>
      <c r="H91" s="67" t="n"/>
      <c r="I91" s="67" t="n"/>
      <c r="J91" s="67" t="n"/>
      <c r="K91" s="64">
        <f>IFERROR(INDEX('Status Map'!$B$2:$B$12,MATCH(C91,'Status Map'!$A$2:$A$12,0)),"UNDEFINED")</f>
        <v/>
      </c>
      <c r="L91" s="64">
        <f>IFERROR(INDEX('Status Map'!$C$2:$C$12,MATCH(C91,'Status Map'!$A$2:$A$12,0)),"UNDEFINED")</f>
        <v/>
      </c>
      <c r="M91" s="68" t="inlineStr">
        <is>
          <t>HEADING ONLY</t>
        </is>
      </c>
      <c r="N91" s="68" t="n"/>
      <c r="O91" s="68" t="n"/>
      <c r="P91" s="64">
        <f>IF(O91&lt;&gt;"",O91,LEFT(D91,2))</f>
        <v/>
      </c>
      <c r="Q91" s="64">
        <f>IF(O91&lt;&gt;"","Standards §6",IF(M91="HEADING ONLY","Derived from heading — PROVISIONAL",IF(M91="TEXT NOT IN REGISTRY","No text to derive from — PROVISIONAL","Derived from registered statement")))</f>
        <v/>
      </c>
      <c r="R91" s="64">
        <f>IF(OR(LEFT(G91,1)="A",L91="COUNTS",ISNUMBER(SEARCH("V1",P91)),ISNUMBER(SEARCH("V2",P91)),ISNUMBER(SEARCH("V5",P91))),"A — 100%","B — sample ≥ 30%")</f>
        <v/>
      </c>
      <c r="S91" s="67" t="n"/>
      <c r="T91" s="67" t="n"/>
      <c r="U91" s="67" t="n"/>
      <c r="V91" s="67" t="n"/>
      <c r="W91" s="67" t="n"/>
      <c r="X91" s="67" t="n"/>
    </row>
    <row r="92" ht="22.35" customHeight="1" s="45">
      <c r="A92" s="65" t="inlineStr">
        <is>
          <t>B5.3</t>
        </is>
      </c>
      <c r="B92" s="66" t="inlineStr">
        <is>
          <t>Doc 8</t>
        </is>
      </c>
      <c r="C92" s="66" t="inlineStr">
        <is>
          <t>CANON</t>
        </is>
      </c>
      <c r="D92" s="66" t="inlineStr">
        <is>
          <t>V7 — Document &amp; design inspection</t>
        </is>
      </c>
      <c r="E92" s="66" t="n"/>
      <c r="F92" s="66" t="inlineStr">
        <is>
          <t>Specification text against implementation description; provenance sections; objective card lines</t>
        </is>
      </c>
      <c r="G92" s="66" t="inlineStr">
        <is>
          <t>B — sample ≥ 30%</t>
        </is>
      </c>
      <c r="H92" s="67" t="n"/>
      <c r="I92" s="67" t="n"/>
      <c r="J92" s="67" t="n"/>
      <c r="K92" s="64">
        <f>IFERROR(INDEX('Status Map'!$B$2:$B$12,MATCH(C92,'Status Map'!$A$2:$A$12,0)),"UNDEFINED")</f>
        <v/>
      </c>
      <c r="L92" s="64">
        <f>IFERROR(INDEX('Status Map'!$C$2:$C$12,MATCH(C92,'Status Map'!$A$2:$A$12,0)),"UNDEFINED")</f>
        <v/>
      </c>
      <c r="M92" s="68" t="inlineStr">
        <is>
          <t>HEADING ONLY</t>
        </is>
      </c>
      <c r="N92" s="68" t="n"/>
      <c r="O92" s="68" t="n"/>
      <c r="P92" s="64">
        <f>IF(O92&lt;&gt;"",O92,LEFT(D92,2))</f>
        <v/>
      </c>
      <c r="Q92" s="64">
        <f>IF(O92&lt;&gt;"","Standards §6",IF(M92="HEADING ONLY","Derived from heading — PROVISIONAL",IF(M92="TEXT NOT IN REGISTRY","No text to derive from — PROVISIONAL","Derived from registered statement")))</f>
        <v/>
      </c>
      <c r="R92" s="64">
        <f>IF(OR(LEFT(G92,1)="A",L92="COUNTS",ISNUMBER(SEARCH("V1",P92)),ISNUMBER(SEARCH("V2",P92)),ISNUMBER(SEARCH("V5",P92))),"A — 100%","B — sample ≥ 30%")</f>
        <v/>
      </c>
      <c r="S92" s="67" t="n"/>
      <c r="T92" s="67" t="n"/>
      <c r="U92" s="67" t="n"/>
      <c r="V92" s="67" t="n"/>
      <c r="W92" s="67" t="n"/>
      <c r="X92" s="67" t="n"/>
    </row>
    <row r="93" ht="22.35" customHeight="1" s="45">
      <c r="A93" s="65" t="inlineStr">
        <is>
          <t>B5.4</t>
        </is>
      </c>
      <c r="B93" s="66" t="inlineStr">
        <is>
          <t>Doc 8</t>
        </is>
      </c>
      <c r="C93" s="66" t="inlineStr">
        <is>
          <t>CANON</t>
        </is>
      </c>
      <c r="D93" s="66" t="inlineStr">
        <is>
          <t>V7 — Document &amp; design inspection</t>
        </is>
      </c>
      <c r="E93" s="66" t="n"/>
      <c r="F93" s="66" t="inlineStr">
        <is>
          <t>Specification text against implementation description; provenance sections; objective card lines</t>
        </is>
      </c>
      <c r="G93" s="66" t="inlineStr">
        <is>
          <t>B — sample ≥ 30%</t>
        </is>
      </c>
      <c r="H93" s="67" t="n"/>
      <c r="I93" s="67" t="n"/>
      <c r="J93" s="67" t="n"/>
      <c r="K93" s="64">
        <f>IFERROR(INDEX('Status Map'!$B$2:$B$12,MATCH(C93,'Status Map'!$A$2:$A$12,0)),"UNDEFINED")</f>
        <v/>
      </c>
      <c r="L93" s="64">
        <f>IFERROR(INDEX('Status Map'!$C$2:$C$12,MATCH(C93,'Status Map'!$A$2:$A$12,0)),"UNDEFINED")</f>
        <v/>
      </c>
      <c r="M93" s="68" t="inlineStr">
        <is>
          <t>HEADING ONLY</t>
        </is>
      </c>
      <c r="N93" s="68" t="n"/>
      <c r="O93" s="68" t="n"/>
      <c r="P93" s="64">
        <f>IF(O93&lt;&gt;"",O93,LEFT(D93,2))</f>
        <v/>
      </c>
      <c r="Q93" s="64">
        <f>IF(O93&lt;&gt;"","Standards §6",IF(M93="HEADING ONLY","Derived from heading — PROVISIONAL",IF(M93="TEXT NOT IN REGISTRY","No text to derive from — PROVISIONAL","Derived from registered statement")))</f>
        <v/>
      </c>
      <c r="R93" s="64">
        <f>IF(OR(LEFT(G93,1)="A",L93="COUNTS",ISNUMBER(SEARCH("V1",P93)),ISNUMBER(SEARCH("V2",P93)),ISNUMBER(SEARCH("V5",P93))),"A — 100%","B — sample ≥ 30%")</f>
        <v/>
      </c>
      <c r="S93" s="67" t="n"/>
      <c r="T93" s="67" t="n"/>
      <c r="U93" s="67" t="n"/>
      <c r="V93" s="67" t="n"/>
      <c r="W93" s="67" t="n"/>
      <c r="X93" s="67" t="n"/>
    </row>
    <row r="94" ht="22.35" customHeight="1" s="45">
      <c r="A94" s="65" t="inlineStr">
        <is>
          <t>B5.5</t>
        </is>
      </c>
      <c r="B94" s="66" t="inlineStr">
        <is>
          <t>Doc 8</t>
        </is>
      </c>
      <c r="C94" s="66" t="inlineStr">
        <is>
          <t>CANON</t>
        </is>
      </c>
      <c r="D94" s="66" t="inlineStr">
        <is>
          <t>V7 — Document &amp; design inspection</t>
        </is>
      </c>
      <c r="E94" s="66" t="n"/>
      <c r="F94" s="66" t="inlineStr">
        <is>
          <t>Specification text against implementation description; provenance sections; objective card lines</t>
        </is>
      </c>
      <c r="G94" s="66" t="inlineStr">
        <is>
          <t>B — sample ≥ 30%</t>
        </is>
      </c>
      <c r="H94" s="67" t="n"/>
      <c r="I94" s="67" t="n"/>
      <c r="J94" s="67" t="n"/>
      <c r="K94" s="64">
        <f>IFERROR(INDEX('Status Map'!$B$2:$B$12,MATCH(C94,'Status Map'!$A$2:$A$12,0)),"UNDEFINED")</f>
        <v/>
      </c>
      <c r="L94" s="64">
        <f>IFERROR(INDEX('Status Map'!$C$2:$C$12,MATCH(C94,'Status Map'!$A$2:$A$12,0)),"UNDEFINED")</f>
        <v/>
      </c>
      <c r="M94" s="68" t="inlineStr">
        <is>
          <t>HEADING ONLY</t>
        </is>
      </c>
      <c r="N94" s="68" t="n"/>
      <c r="O94" s="68" t="n"/>
      <c r="P94" s="64">
        <f>IF(O94&lt;&gt;"",O94,LEFT(D94,2))</f>
        <v/>
      </c>
      <c r="Q94" s="64">
        <f>IF(O94&lt;&gt;"","Standards §6",IF(M94="HEADING ONLY","Derived from heading — PROVISIONAL",IF(M94="TEXT NOT IN REGISTRY","No text to derive from — PROVISIONAL","Derived from registered statement")))</f>
        <v/>
      </c>
      <c r="R94" s="64">
        <f>IF(OR(LEFT(G94,1)="A",L94="COUNTS",ISNUMBER(SEARCH("V1",P94)),ISNUMBER(SEARCH("V2",P94)),ISNUMBER(SEARCH("V5",P94))),"A — 100%","B — sample ≥ 30%")</f>
        <v/>
      </c>
      <c r="S94" s="67" t="n"/>
      <c r="T94" s="67" t="n"/>
      <c r="U94" s="67" t="n"/>
      <c r="V94" s="67" t="n"/>
      <c r="W94" s="67" t="n"/>
      <c r="X94" s="67" t="n"/>
    </row>
    <row r="95" ht="22.35" customHeight="1" s="45">
      <c r="A95" s="65" t="inlineStr">
        <is>
          <t>A5.1</t>
        </is>
      </c>
      <c r="B95" s="66" t="inlineStr">
        <is>
          <t>Doc 9</t>
        </is>
      </c>
      <c r="C95" s="66" t="inlineStr">
        <is>
          <t>CANON</t>
        </is>
      </c>
      <c r="D95" s="66" t="inlineStr">
        <is>
          <t>V7 — Document &amp; design inspection</t>
        </is>
      </c>
      <c r="E95" s="66" t="n"/>
      <c r="F95" s="66" t="inlineStr">
        <is>
          <t>Specification text against implementation description; provenance sections; objective card lines</t>
        </is>
      </c>
      <c r="G95" s="66" t="inlineStr">
        <is>
          <t>B — sample ≥ 30%</t>
        </is>
      </c>
      <c r="H95" s="67" t="n"/>
      <c r="I95" s="67" t="n"/>
      <c r="J95" s="67" t="n"/>
      <c r="K95" s="64">
        <f>IFERROR(INDEX('Status Map'!$B$2:$B$12,MATCH(C95,'Status Map'!$A$2:$A$12,0)),"UNDEFINED")</f>
        <v/>
      </c>
      <c r="L95" s="64">
        <f>IFERROR(INDEX('Status Map'!$C$2:$C$12,MATCH(C95,'Status Map'!$A$2:$A$12,0)),"UNDEFINED")</f>
        <v/>
      </c>
      <c r="M95" s="68" t="inlineStr">
        <is>
          <t>HEADING ONLY</t>
        </is>
      </c>
      <c r="N95" s="68" t="n"/>
      <c r="O95" s="68" t="n"/>
      <c r="P95" s="64">
        <f>IF(O95&lt;&gt;"",O95,LEFT(D95,2))</f>
        <v/>
      </c>
      <c r="Q95" s="64">
        <f>IF(O95&lt;&gt;"","Standards §6",IF(M95="HEADING ONLY","Derived from heading — PROVISIONAL",IF(M95="TEXT NOT IN REGISTRY","No text to derive from — PROVISIONAL","Derived from registered statement")))</f>
        <v/>
      </c>
      <c r="R95" s="64">
        <f>IF(OR(LEFT(G95,1)="A",L95="COUNTS",ISNUMBER(SEARCH("V1",P95)),ISNUMBER(SEARCH("V2",P95)),ISNUMBER(SEARCH("V5",P95))),"A — 100%","B — sample ≥ 30%")</f>
        <v/>
      </c>
      <c r="S95" s="67" t="n"/>
      <c r="T95" s="67" t="n"/>
      <c r="U95" s="67" t="n"/>
      <c r="V95" s="67" t="n"/>
      <c r="W95" s="67" t="n"/>
      <c r="X95" s="67" t="n"/>
    </row>
    <row r="96" ht="22.35" customHeight="1" s="45">
      <c r="A96" s="65" t="inlineStr">
        <is>
          <t>A5.2</t>
        </is>
      </c>
      <c r="B96" s="66" t="inlineStr">
        <is>
          <t>Doc 9</t>
        </is>
      </c>
      <c r="C96" s="66" t="inlineStr">
        <is>
          <t>CANON</t>
        </is>
      </c>
      <c r="D96" s="66" t="inlineStr">
        <is>
          <t>V7 — Document &amp; design inspection</t>
        </is>
      </c>
      <c r="E96" s="66" t="n"/>
      <c r="F96" s="66" t="inlineStr">
        <is>
          <t>Specification text against implementation description; provenance sections; objective card lines</t>
        </is>
      </c>
      <c r="G96" s="66" t="inlineStr">
        <is>
          <t>B — sample ≥ 30%</t>
        </is>
      </c>
      <c r="H96" s="67" t="n"/>
      <c r="I96" s="67" t="n"/>
      <c r="J96" s="67" t="n"/>
      <c r="K96" s="64">
        <f>IFERROR(INDEX('Status Map'!$B$2:$B$12,MATCH(C96,'Status Map'!$A$2:$A$12,0)),"UNDEFINED")</f>
        <v/>
      </c>
      <c r="L96" s="64">
        <f>IFERROR(INDEX('Status Map'!$C$2:$C$12,MATCH(C96,'Status Map'!$A$2:$A$12,0)),"UNDEFINED")</f>
        <v/>
      </c>
      <c r="M96" s="68" t="inlineStr">
        <is>
          <t>HEADING ONLY</t>
        </is>
      </c>
      <c r="N96" s="68" t="n"/>
      <c r="O96" s="68" t="n"/>
      <c r="P96" s="64">
        <f>IF(O96&lt;&gt;"",O96,LEFT(D96,2))</f>
        <v/>
      </c>
      <c r="Q96" s="64">
        <f>IF(O96&lt;&gt;"","Standards §6",IF(M96="HEADING ONLY","Derived from heading — PROVISIONAL",IF(M96="TEXT NOT IN REGISTRY","No text to derive from — PROVISIONAL","Derived from registered statement")))</f>
        <v/>
      </c>
      <c r="R96" s="64">
        <f>IF(OR(LEFT(G96,1)="A",L96="COUNTS",ISNUMBER(SEARCH("V1",P96)),ISNUMBER(SEARCH("V2",P96)),ISNUMBER(SEARCH("V5",P96))),"A — 100%","B — sample ≥ 30%")</f>
        <v/>
      </c>
      <c r="S96" s="67" t="n"/>
      <c r="T96" s="67" t="n"/>
      <c r="U96" s="67" t="n"/>
      <c r="V96" s="67" t="n"/>
      <c r="W96" s="67" t="n"/>
      <c r="X96" s="67" t="n"/>
    </row>
    <row r="97" ht="22.35" customHeight="1" s="45">
      <c r="A97" s="65" t="inlineStr">
        <is>
          <t>A5.3</t>
        </is>
      </c>
      <c r="B97" s="66" t="inlineStr">
        <is>
          <t>Doc 9</t>
        </is>
      </c>
      <c r="C97" s="66" t="inlineStr">
        <is>
          <t>CANON</t>
        </is>
      </c>
      <c r="D97" s="66" t="inlineStr">
        <is>
          <t>V3 — Record evidence</t>
        </is>
      </c>
      <c r="E97" s="66" t="n"/>
      <c r="F97" s="66" t="inlineStr">
        <is>
          <t>Ledger rows inspected; hash-chain verifier receipt; refused operations present on identical terms</t>
        </is>
      </c>
      <c r="G97" s="66" t="inlineStr">
        <is>
          <t>B — sample ≥ 30%</t>
        </is>
      </c>
      <c r="H97" s="67" t="n"/>
      <c r="I97" s="67" t="n"/>
      <c r="J97" s="67" t="n"/>
      <c r="K97" s="64">
        <f>IFERROR(INDEX('Status Map'!$B$2:$B$12,MATCH(C97,'Status Map'!$A$2:$A$12,0)),"UNDEFINED")</f>
        <v/>
      </c>
      <c r="L97" s="64">
        <f>IFERROR(INDEX('Status Map'!$C$2:$C$12,MATCH(C97,'Status Map'!$A$2:$A$12,0)),"UNDEFINED")</f>
        <v/>
      </c>
      <c r="M97" s="68" t="inlineStr">
        <is>
          <t>HEADING ONLY</t>
        </is>
      </c>
      <c r="N97" s="68" t="n"/>
      <c r="O97" s="68" t="n"/>
      <c r="P97" s="64">
        <f>IF(O97&lt;&gt;"",O97,LEFT(D97,2))</f>
        <v/>
      </c>
      <c r="Q97" s="64">
        <f>IF(O97&lt;&gt;"","Standards §6",IF(M97="HEADING ONLY","Derived from heading — PROVISIONAL",IF(M97="TEXT NOT IN REGISTRY","No text to derive from — PROVISIONAL","Derived from registered statement")))</f>
        <v/>
      </c>
      <c r="R97" s="64">
        <f>IF(OR(LEFT(G97,1)="A",L97="COUNTS",ISNUMBER(SEARCH("V1",P97)),ISNUMBER(SEARCH("V2",P97)),ISNUMBER(SEARCH("V5",P97))),"A — 100%","B — sample ≥ 30%")</f>
        <v/>
      </c>
      <c r="S97" s="67" t="n"/>
      <c r="T97" s="67" t="n"/>
      <c r="U97" s="67" t="n"/>
      <c r="V97" s="67" t="n"/>
      <c r="W97" s="67" t="n"/>
      <c r="X97" s="67" t="n"/>
    </row>
    <row r="98" ht="22.35" customHeight="1" s="45">
      <c r="A98" s="65" t="inlineStr">
        <is>
          <t>A5.4</t>
        </is>
      </c>
      <c r="B98" s="66" t="inlineStr">
        <is>
          <t>Doc 9</t>
        </is>
      </c>
      <c r="C98" s="66" t="inlineStr">
        <is>
          <t>PROPOSED</t>
        </is>
      </c>
      <c r="D98" s="66" t="inlineStr">
        <is>
          <t>V7 — Document &amp; design inspection</t>
        </is>
      </c>
      <c r="E98" s="66" t="n"/>
      <c r="F98" s="66" t="inlineStr">
        <is>
          <t>Specification text against implementation description; provenance sections; objective card lines</t>
        </is>
      </c>
      <c r="G98" s="66" t="inlineStr">
        <is>
          <t>B — sample ≥ 30%</t>
        </is>
      </c>
      <c r="H98" s="67" t="n"/>
      <c r="I98" s="67" t="n"/>
      <c r="J98" s="67" t="n"/>
      <c r="K98" s="64">
        <f>IFERROR(INDEX('Status Map'!$B$2:$B$12,MATCH(C98,'Status Map'!$A$2:$A$12,0)),"UNDEFINED")</f>
        <v/>
      </c>
      <c r="L98" s="64">
        <f>IFERROR(INDEX('Status Map'!$C$2:$C$12,MATCH(C98,'Status Map'!$A$2:$A$12,0)),"UNDEFINED")</f>
        <v/>
      </c>
      <c r="M98" s="68" t="inlineStr">
        <is>
          <t>HEADING ONLY</t>
        </is>
      </c>
      <c r="N98" s="68" t="n"/>
      <c r="O98" s="68" t="n"/>
      <c r="P98" s="64">
        <f>IF(O98&lt;&gt;"",O98,LEFT(D98,2))</f>
        <v/>
      </c>
      <c r="Q98" s="64">
        <f>IF(O98&lt;&gt;"","Standards §6",IF(M98="HEADING ONLY","Derived from heading — PROVISIONAL",IF(M98="TEXT NOT IN REGISTRY","No text to derive from — PROVISIONAL","Derived from registered statement")))</f>
        <v/>
      </c>
      <c r="R98" s="64">
        <f>IF(OR(LEFT(G98,1)="A",L98="COUNTS",ISNUMBER(SEARCH("V1",P98)),ISNUMBER(SEARCH("V2",P98)),ISNUMBER(SEARCH("V5",P98))),"A — 100%","B — sample ≥ 30%")</f>
        <v/>
      </c>
      <c r="S98" s="67" t="n"/>
      <c r="T98" s="67" t="n"/>
      <c r="U98" s="67" t="n"/>
      <c r="V98" s="67" t="n"/>
      <c r="W98" s="67" t="n"/>
      <c r="X98" s="67" t="n"/>
    </row>
    <row r="99" ht="22.35" customHeight="1" s="45">
      <c r="A99" s="65" t="inlineStr">
        <is>
          <t>B5.1</t>
        </is>
      </c>
      <c r="B99" s="66" t="inlineStr">
        <is>
          <t>Doc 9</t>
        </is>
      </c>
      <c r="C99" s="66" t="inlineStr">
        <is>
          <t>CANON</t>
        </is>
      </c>
      <c r="D99" s="66" t="inlineStr">
        <is>
          <t>V7 — Document &amp; design inspection</t>
        </is>
      </c>
      <c r="E99" s="66" t="n"/>
      <c r="F99" s="66" t="inlineStr">
        <is>
          <t>Specification text against implementation description; provenance sections; objective card lines</t>
        </is>
      </c>
      <c r="G99" s="66" t="inlineStr">
        <is>
          <t>B — sample ≥ 30%</t>
        </is>
      </c>
      <c r="H99" s="67" t="n"/>
      <c r="I99" s="67" t="n"/>
      <c r="J99" s="67" t="n"/>
      <c r="K99" s="64">
        <f>IFERROR(INDEX('Status Map'!$B$2:$B$12,MATCH(C99,'Status Map'!$A$2:$A$12,0)),"UNDEFINED")</f>
        <v/>
      </c>
      <c r="L99" s="64">
        <f>IFERROR(INDEX('Status Map'!$C$2:$C$12,MATCH(C99,'Status Map'!$A$2:$A$12,0)),"UNDEFINED")</f>
        <v/>
      </c>
      <c r="M99" s="68" t="inlineStr">
        <is>
          <t>HEADING ONLY</t>
        </is>
      </c>
      <c r="N99" s="68" t="n"/>
      <c r="O99" s="68" t="n"/>
      <c r="P99" s="64">
        <f>IF(O99&lt;&gt;"",O99,LEFT(D99,2))</f>
        <v/>
      </c>
      <c r="Q99" s="64">
        <f>IF(O99&lt;&gt;"","Standards §6",IF(M99="HEADING ONLY","Derived from heading — PROVISIONAL",IF(M99="TEXT NOT IN REGISTRY","No text to derive from — PROVISIONAL","Derived from registered statement")))</f>
        <v/>
      </c>
      <c r="R99" s="64">
        <f>IF(OR(LEFT(G99,1)="A",L99="COUNTS",ISNUMBER(SEARCH("V1",P99)),ISNUMBER(SEARCH("V2",P99)),ISNUMBER(SEARCH("V5",P99))),"A — 100%","B — sample ≥ 30%")</f>
        <v/>
      </c>
      <c r="S99" s="67" t="n"/>
      <c r="T99" s="67" t="n"/>
      <c r="U99" s="67" t="n"/>
      <c r="V99" s="67" t="n"/>
      <c r="W99" s="67" t="n"/>
      <c r="X99" s="67" t="n"/>
    </row>
    <row r="100" ht="22.35" customHeight="1" s="45">
      <c r="A100" s="65" t="inlineStr">
        <is>
          <t>B5.2</t>
        </is>
      </c>
      <c r="B100" s="66" t="inlineStr">
        <is>
          <t>Doc 9</t>
        </is>
      </c>
      <c r="C100" s="66" t="inlineStr">
        <is>
          <t>CANON</t>
        </is>
      </c>
      <c r="D100" s="66" t="inlineStr">
        <is>
          <t>V3 — Record evidence</t>
        </is>
      </c>
      <c r="E100" s="66" t="n"/>
      <c r="F100" s="66" t="inlineStr">
        <is>
          <t>Ledger rows inspected; hash-chain verifier receipt; refused operations present on identical terms</t>
        </is>
      </c>
      <c r="G100" s="66" t="inlineStr">
        <is>
          <t>B — sample ≥ 30%</t>
        </is>
      </c>
      <c r="H100" s="67" t="n"/>
      <c r="I100" s="67" t="n"/>
      <c r="J100" s="67" t="n"/>
      <c r="K100" s="64">
        <f>IFERROR(INDEX('Status Map'!$B$2:$B$12,MATCH(C100,'Status Map'!$A$2:$A$12,0)),"UNDEFINED")</f>
        <v/>
      </c>
      <c r="L100" s="64">
        <f>IFERROR(INDEX('Status Map'!$C$2:$C$12,MATCH(C100,'Status Map'!$A$2:$A$12,0)),"UNDEFINED")</f>
        <v/>
      </c>
      <c r="M100" s="68" t="inlineStr">
        <is>
          <t>HEADING ONLY</t>
        </is>
      </c>
      <c r="N100" s="68" t="n"/>
      <c r="O100" s="68" t="n"/>
      <c r="P100" s="64">
        <f>IF(O100&lt;&gt;"",O100,LEFT(D100,2))</f>
        <v/>
      </c>
      <c r="Q100" s="64">
        <f>IF(O100&lt;&gt;"","Standards §6",IF(M100="HEADING ONLY","Derived from heading — PROVISIONAL",IF(M100="TEXT NOT IN REGISTRY","No text to derive from — PROVISIONAL","Derived from registered statement")))</f>
        <v/>
      </c>
      <c r="R100" s="64">
        <f>IF(OR(LEFT(G100,1)="A",L100="COUNTS",ISNUMBER(SEARCH("V1",P100)),ISNUMBER(SEARCH("V2",P100)),ISNUMBER(SEARCH("V5",P100))),"A — 100%","B — sample ≥ 30%")</f>
        <v/>
      </c>
      <c r="S100" s="67" t="n"/>
      <c r="T100" s="67" t="n"/>
      <c r="U100" s="67" t="n"/>
      <c r="V100" s="67" t="n"/>
      <c r="W100" s="67" t="n"/>
      <c r="X100" s="67" t="n"/>
    </row>
    <row r="101" ht="22.35" customHeight="1" s="45">
      <c r="A101" s="65" t="inlineStr">
        <is>
          <t>B5.3</t>
        </is>
      </c>
      <c r="B101" s="66" t="inlineStr">
        <is>
          <t>Doc 9</t>
        </is>
      </c>
      <c r="C101" s="66" t="inlineStr">
        <is>
          <t>CANON</t>
        </is>
      </c>
      <c r="D101" s="66" t="inlineStr">
        <is>
          <t>V7 — Document &amp; design inspection</t>
        </is>
      </c>
      <c r="E101" s="66" t="n"/>
      <c r="F101" s="66" t="inlineStr">
        <is>
          <t>Specification text against implementation description; provenance sections; objective card lines</t>
        </is>
      </c>
      <c r="G101" s="66" t="inlineStr">
        <is>
          <t>B — sample ≥ 30%</t>
        </is>
      </c>
      <c r="H101" s="67" t="n"/>
      <c r="I101" s="67" t="n"/>
      <c r="J101" s="67" t="n"/>
      <c r="K101" s="64">
        <f>IFERROR(INDEX('Status Map'!$B$2:$B$12,MATCH(C101,'Status Map'!$A$2:$A$12,0)),"UNDEFINED")</f>
        <v/>
      </c>
      <c r="L101" s="64">
        <f>IFERROR(INDEX('Status Map'!$C$2:$C$12,MATCH(C101,'Status Map'!$A$2:$A$12,0)),"UNDEFINED")</f>
        <v/>
      </c>
      <c r="M101" s="68" t="inlineStr">
        <is>
          <t>HEADING ONLY</t>
        </is>
      </c>
      <c r="N101" s="68" t="n"/>
      <c r="O101" s="68" t="n"/>
      <c r="P101" s="64">
        <f>IF(O101&lt;&gt;"",O101,LEFT(D101,2))</f>
        <v/>
      </c>
      <c r="Q101" s="64">
        <f>IF(O101&lt;&gt;"","Standards §6",IF(M101="HEADING ONLY","Derived from heading — PROVISIONAL",IF(M101="TEXT NOT IN REGISTRY","No text to derive from — PROVISIONAL","Derived from registered statement")))</f>
        <v/>
      </c>
      <c r="R101" s="64">
        <f>IF(OR(LEFT(G101,1)="A",L101="COUNTS",ISNUMBER(SEARCH("V1",P101)),ISNUMBER(SEARCH("V2",P101)),ISNUMBER(SEARCH("V5",P101))),"A — 100%","B — sample ≥ 30%")</f>
        <v/>
      </c>
      <c r="S101" s="67" t="n"/>
      <c r="T101" s="67" t="n"/>
      <c r="U101" s="67" t="n"/>
      <c r="V101" s="67" t="n"/>
      <c r="W101" s="67" t="n"/>
      <c r="X101" s="67" t="n"/>
    </row>
    <row r="102" ht="22.35" customHeight="1" s="45">
      <c r="A102" s="65" t="inlineStr">
        <is>
          <t>B5.4</t>
        </is>
      </c>
      <c r="B102" s="66" t="inlineStr">
        <is>
          <t>Doc 9</t>
        </is>
      </c>
      <c r="C102" s="66" t="inlineStr">
        <is>
          <t>CANON</t>
        </is>
      </c>
      <c r="D102" s="66" t="inlineStr">
        <is>
          <t>V7 — Document &amp; design inspection</t>
        </is>
      </c>
      <c r="E102" s="66" t="n"/>
      <c r="F102" s="66" t="inlineStr">
        <is>
          <t>Specification text against implementation description; provenance sections; objective card lines</t>
        </is>
      </c>
      <c r="G102" s="66" t="inlineStr">
        <is>
          <t>B — sample ≥ 30%</t>
        </is>
      </c>
      <c r="H102" s="67" t="n"/>
      <c r="I102" s="67" t="n"/>
      <c r="J102" s="67" t="n"/>
      <c r="K102" s="64">
        <f>IFERROR(INDEX('Status Map'!$B$2:$B$12,MATCH(C102,'Status Map'!$A$2:$A$12,0)),"UNDEFINED")</f>
        <v/>
      </c>
      <c r="L102" s="64">
        <f>IFERROR(INDEX('Status Map'!$C$2:$C$12,MATCH(C102,'Status Map'!$A$2:$A$12,0)),"UNDEFINED")</f>
        <v/>
      </c>
      <c r="M102" s="68" t="inlineStr">
        <is>
          <t>HEADING ONLY</t>
        </is>
      </c>
      <c r="N102" s="68" t="n"/>
      <c r="O102" s="68" t="n"/>
      <c r="P102" s="64">
        <f>IF(O102&lt;&gt;"",O102,LEFT(D102,2))</f>
        <v/>
      </c>
      <c r="Q102" s="64">
        <f>IF(O102&lt;&gt;"","Standards §6",IF(M102="HEADING ONLY","Derived from heading — PROVISIONAL",IF(M102="TEXT NOT IN REGISTRY","No text to derive from — PROVISIONAL","Derived from registered statement")))</f>
        <v/>
      </c>
      <c r="R102" s="64">
        <f>IF(OR(LEFT(G102,1)="A",L102="COUNTS",ISNUMBER(SEARCH("V1",P102)),ISNUMBER(SEARCH("V2",P102)),ISNUMBER(SEARCH("V5",P102))),"A — 100%","B — sample ≥ 30%")</f>
        <v/>
      </c>
      <c r="S102" s="67" t="n"/>
      <c r="T102" s="67" t="n"/>
      <c r="U102" s="67" t="n"/>
      <c r="V102" s="67" t="n"/>
      <c r="W102" s="67" t="n"/>
      <c r="X102" s="67" t="n"/>
    </row>
    <row r="103" ht="22.35" customHeight="1" s="45">
      <c r="A103" s="65" t="inlineStr">
        <is>
          <t>B5.5</t>
        </is>
      </c>
      <c r="B103" s="66" t="inlineStr">
        <is>
          <t>Doc 9</t>
        </is>
      </c>
      <c r="C103" s="66" t="inlineStr">
        <is>
          <t>CANON</t>
        </is>
      </c>
      <c r="D103" s="66" t="inlineStr">
        <is>
          <t>V1 — Test evidence</t>
        </is>
      </c>
      <c r="E103" s="66" t="n"/>
      <c r="F103" s="66" t="inlineStr">
        <is>
          <t>Golden-input, byte-identical output; RED-first test ID; ratchet manifest entry</t>
        </is>
      </c>
      <c r="G103" s="66" t="inlineStr">
        <is>
          <t>A — 100%</t>
        </is>
      </c>
      <c r="H103" s="67" t="n"/>
      <c r="I103" s="67" t="n"/>
      <c r="J103" s="67" t="n"/>
      <c r="K103" s="64">
        <f>IFERROR(INDEX('Status Map'!$B$2:$B$12,MATCH(C103,'Status Map'!$A$2:$A$12,0)),"UNDEFINED")</f>
        <v/>
      </c>
      <c r="L103" s="64">
        <f>IFERROR(INDEX('Status Map'!$C$2:$C$12,MATCH(C103,'Status Map'!$A$2:$A$12,0)),"UNDEFINED")</f>
        <v/>
      </c>
      <c r="M103" s="68" t="inlineStr">
        <is>
          <t>HEADING ONLY</t>
        </is>
      </c>
      <c r="N103" s="68" t="n"/>
      <c r="O103" s="68" t="n"/>
      <c r="P103" s="64">
        <f>IF(O103&lt;&gt;"",O103,LEFT(D103,2))</f>
        <v/>
      </c>
      <c r="Q103" s="64">
        <f>IF(O103&lt;&gt;"","Standards §6",IF(M103="HEADING ONLY","Derived from heading — PROVISIONAL",IF(M103="TEXT NOT IN REGISTRY","No text to derive from — PROVISIONAL","Derived from registered statement")))</f>
        <v/>
      </c>
      <c r="R103" s="64">
        <f>IF(OR(LEFT(G103,1)="A",L103="COUNTS",ISNUMBER(SEARCH("V1",P103)),ISNUMBER(SEARCH("V2",P103)),ISNUMBER(SEARCH("V5",P103))),"A — 100%","B — sample ≥ 30%")</f>
        <v/>
      </c>
      <c r="S103" s="67" t="n"/>
      <c r="T103" s="67" t="n"/>
      <c r="U103" s="67" t="n"/>
      <c r="V103" s="67" t="n"/>
      <c r="W103" s="67" t="n"/>
      <c r="X103" s="67" t="n"/>
    </row>
    <row r="104" ht="22.35" customHeight="1" s="45">
      <c r="A104" s="65" t="inlineStr">
        <is>
          <t>B5.6</t>
        </is>
      </c>
      <c r="B104" s="66" t="inlineStr">
        <is>
          <t>Doc 9</t>
        </is>
      </c>
      <c r="C104" s="66" t="inlineStr">
        <is>
          <t>CANON</t>
        </is>
      </c>
      <c r="D104" s="66" t="inlineStr">
        <is>
          <t>V7 — Document &amp; design inspection</t>
        </is>
      </c>
      <c r="E104" s="66" t="n"/>
      <c r="F104" s="66" t="inlineStr">
        <is>
          <t>Specification text against implementation description; provenance sections; objective card lines</t>
        </is>
      </c>
      <c r="G104" s="66" t="inlineStr">
        <is>
          <t>B — sample ≥ 30%</t>
        </is>
      </c>
      <c r="H104" s="67" t="n"/>
      <c r="I104" s="67" t="n"/>
      <c r="J104" s="67" t="n"/>
      <c r="K104" s="64">
        <f>IFERROR(INDEX('Status Map'!$B$2:$B$12,MATCH(C104,'Status Map'!$A$2:$A$12,0)),"UNDEFINED")</f>
        <v/>
      </c>
      <c r="L104" s="64">
        <f>IFERROR(INDEX('Status Map'!$C$2:$C$12,MATCH(C104,'Status Map'!$A$2:$A$12,0)),"UNDEFINED")</f>
        <v/>
      </c>
      <c r="M104" s="68" t="inlineStr">
        <is>
          <t>HEADING ONLY</t>
        </is>
      </c>
      <c r="N104" s="68" t="n"/>
      <c r="O104" s="68" t="n"/>
      <c r="P104" s="64">
        <f>IF(O104&lt;&gt;"",O104,LEFT(D104,2))</f>
        <v/>
      </c>
      <c r="Q104" s="64">
        <f>IF(O104&lt;&gt;"","Standards §6",IF(M104="HEADING ONLY","Derived from heading — PROVISIONAL",IF(M104="TEXT NOT IN REGISTRY","No text to derive from — PROVISIONAL","Derived from registered statement")))</f>
        <v/>
      </c>
      <c r="R104" s="64">
        <f>IF(OR(LEFT(G104,1)="A",L104="COUNTS",ISNUMBER(SEARCH("V1",P104)),ISNUMBER(SEARCH("V2",P104)),ISNUMBER(SEARCH("V5",P104))),"A — 100%","B — sample ≥ 30%")</f>
        <v/>
      </c>
      <c r="S104" s="67" t="n"/>
      <c r="T104" s="67" t="n"/>
      <c r="U104" s="67" t="n"/>
      <c r="V104" s="67" t="n"/>
      <c r="W104" s="67" t="n"/>
      <c r="X104" s="67" t="n"/>
    </row>
    <row r="105" ht="22.35" customHeight="1" s="45">
      <c r="A105" s="65" t="inlineStr">
        <is>
          <t>B5.7</t>
        </is>
      </c>
      <c r="B105" s="66" t="inlineStr">
        <is>
          <t>Doc 9</t>
        </is>
      </c>
      <c r="C105" s="66" t="inlineStr">
        <is>
          <t>CANON</t>
        </is>
      </c>
      <c r="D105" s="66" t="inlineStr">
        <is>
          <t>V7 — Document &amp; design inspection</t>
        </is>
      </c>
      <c r="E105" s="66" t="n"/>
      <c r="F105" s="66" t="inlineStr">
        <is>
          <t>Specification text against implementation description; provenance sections; objective card lines</t>
        </is>
      </c>
      <c r="G105" s="66" t="inlineStr">
        <is>
          <t>B — sample ≥ 30%</t>
        </is>
      </c>
      <c r="H105" s="67" t="n"/>
      <c r="I105" s="67" t="n"/>
      <c r="J105" s="67" t="n"/>
      <c r="K105" s="64">
        <f>IFERROR(INDEX('Status Map'!$B$2:$B$12,MATCH(C105,'Status Map'!$A$2:$A$12,0)),"UNDEFINED")</f>
        <v/>
      </c>
      <c r="L105" s="64">
        <f>IFERROR(INDEX('Status Map'!$C$2:$C$12,MATCH(C105,'Status Map'!$A$2:$A$12,0)),"UNDEFINED")</f>
        <v/>
      </c>
      <c r="M105" s="68" t="inlineStr">
        <is>
          <t>HEADING ONLY</t>
        </is>
      </c>
      <c r="N105" s="68" t="n"/>
      <c r="O105" s="68" t="n"/>
      <c r="P105" s="64">
        <f>IF(O105&lt;&gt;"",O105,LEFT(D105,2))</f>
        <v/>
      </c>
      <c r="Q105" s="64">
        <f>IF(O105&lt;&gt;"","Standards §6",IF(M105="HEADING ONLY","Derived from heading — PROVISIONAL",IF(M105="TEXT NOT IN REGISTRY","No text to derive from — PROVISIONAL","Derived from registered statement")))</f>
        <v/>
      </c>
      <c r="R105" s="64">
        <f>IF(OR(LEFT(G105,1)="A",L105="COUNTS",ISNUMBER(SEARCH("V1",P105)),ISNUMBER(SEARCH("V2",P105)),ISNUMBER(SEARCH("V5",P105))),"A — 100%","B — sample ≥ 30%")</f>
        <v/>
      </c>
      <c r="S105" s="67" t="n"/>
      <c r="T105" s="67" t="n"/>
      <c r="U105" s="67" t="n"/>
      <c r="V105" s="67" t="n"/>
      <c r="W105" s="67" t="n"/>
      <c r="X105" s="67" t="n"/>
    </row>
    <row r="106" ht="22.35" customHeight="1" s="45">
      <c r="A106" s="65" t="inlineStr">
        <is>
          <t>A5.1</t>
        </is>
      </c>
      <c r="B106" s="66" t="inlineStr">
        <is>
          <t>Doc 10</t>
        </is>
      </c>
      <c r="C106" s="66" t="inlineStr">
        <is>
          <t>CANON</t>
        </is>
      </c>
      <c r="D106" s="66" t="inlineStr">
        <is>
          <t>V7 — Document &amp; design inspection</t>
        </is>
      </c>
      <c r="E106" s="66" t="n"/>
      <c r="F106" s="66" t="inlineStr">
        <is>
          <t>Specification text against implementation description; provenance sections; objective card lines</t>
        </is>
      </c>
      <c r="G106" s="66" t="inlineStr">
        <is>
          <t>B — sample ≥ 30%</t>
        </is>
      </c>
      <c r="H106" s="67" t="n"/>
      <c r="I106" s="67" t="n"/>
      <c r="J106" s="67" t="n"/>
      <c r="K106" s="64">
        <f>IFERROR(INDEX('Status Map'!$B$2:$B$12,MATCH(C106,'Status Map'!$A$2:$A$12,0)),"UNDEFINED")</f>
        <v/>
      </c>
      <c r="L106" s="64">
        <f>IFERROR(INDEX('Status Map'!$C$2:$C$12,MATCH(C106,'Status Map'!$A$2:$A$12,0)),"UNDEFINED")</f>
        <v/>
      </c>
      <c r="M106" s="68" t="inlineStr">
        <is>
          <t>HEADING ONLY</t>
        </is>
      </c>
      <c r="N106" s="68" t="n"/>
      <c r="O106" s="68" t="n"/>
      <c r="P106" s="64">
        <f>IF(O106&lt;&gt;"",O106,LEFT(D106,2))</f>
        <v/>
      </c>
      <c r="Q106" s="64">
        <f>IF(O106&lt;&gt;"","Standards §6",IF(M106="HEADING ONLY","Derived from heading — PROVISIONAL",IF(M106="TEXT NOT IN REGISTRY","No text to derive from — PROVISIONAL","Derived from registered statement")))</f>
        <v/>
      </c>
      <c r="R106" s="64">
        <f>IF(OR(LEFT(G106,1)="A",L106="COUNTS",ISNUMBER(SEARCH("V1",P106)),ISNUMBER(SEARCH("V2",P106)),ISNUMBER(SEARCH("V5",P106))),"A — 100%","B — sample ≥ 30%")</f>
        <v/>
      </c>
      <c r="S106" s="67" t="n"/>
      <c r="T106" s="67" t="n"/>
      <c r="U106" s="67" t="n"/>
      <c r="V106" s="67" t="n"/>
      <c r="W106" s="67" t="n"/>
      <c r="X106" s="67" t="n"/>
    </row>
    <row r="107" ht="22.35" customHeight="1" s="45">
      <c r="A107" s="65" t="inlineStr">
        <is>
          <t>A5.2</t>
        </is>
      </c>
      <c r="B107" s="66" t="inlineStr">
        <is>
          <t>Doc 10</t>
        </is>
      </c>
      <c r="C107" s="66" t="inlineStr">
        <is>
          <t>CANON</t>
        </is>
      </c>
      <c r="D107" s="66" t="inlineStr">
        <is>
          <t>V7 — Document &amp; design inspection</t>
        </is>
      </c>
      <c r="E107" s="66" t="n"/>
      <c r="F107" s="66" t="inlineStr">
        <is>
          <t>Specification text against implementation description; provenance sections; objective card lines</t>
        </is>
      </c>
      <c r="G107" s="66" t="inlineStr">
        <is>
          <t>B — sample ≥ 30%</t>
        </is>
      </c>
      <c r="H107" s="67" t="n"/>
      <c r="I107" s="67" t="n"/>
      <c r="J107" s="67" t="n"/>
      <c r="K107" s="64">
        <f>IFERROR(INDEX('Status Map'!$B$2:$B$12,MATCH(C107,'Status Map'!$A$2:$A$12,0)),"UNDEFINED")</f>
        <v/>
      </c>
      <c r="L107" s="64">
        <f>IFERROR(INDEX('Status Map'!$C$2:$C$12,MATCH(C107,'Status Map'!$A$2:$A$12,0)),"UNDEFINED")</f>
        <v/>
      </c>
      <c r="M107" s="68" t="inlineStr">
        <is>
          <t>HEADING ONLY</t>
        </is>
      </c>
      <c r="N107" s="68" t="n"/>
      <c r="O107" s="68" t="n"/>
      <c r="P107" s="64">
        <f>IF(O107&lt;&gt;"",O107,LEFT(D107,2))</f>
        <v/>
      </c>
      <c r="Q107" s="64">
        <f>IF(O107&lt;&gt;"","Standards §6",IF(M107="HEADING ONLY","Derived from heading — PROVISIONAL",IF(M107="TEXT NOT IN REGISTRY","No text to derive from — PROVISIONAL","Derived from registered statement")))</f>
        <v/>
      </c>
      <c r="R107" s="64">
        <f>IF(OR(LEFT(G107,1)="A",L107="COUNTS",ISNUMBER(SEARCH("V1",P107)),ISNUMBER(SEARCH("V2",P107)),ISNUMBER(SEARCH("V5",P107))),"A — 100%","B — sample ≥ 30%")</f>
        <v/>
      </c>
      <c r="S107" s="67" t="n"/>
      <c r="T107" s="67" t="n"/>
      <c r="U107" s="67" t="n"/>
      <c r="V107" s="67" t="n"/>
      <c r="W107" s="67" t="n"/>
      <c r="X107" s="67" t="n"/>
    </row>
    <row r="108" ht="22.35" customHeight="1" s="45">
      <c r="A108" s="65" t="inlineStr">
        <is>
          <t>A5.3</t>
        </is>
      </c>
      <c r="B108" s="66" t="inlineStr">
        <is>
          <t>Doc 10</t>
        </is>
      </c>
      <c r="C108" s="66" t="inlineStr">
        <is>
          <t>—</t>
        </is>
      </c>
      <c r="D108" s="66" t="inlineStr">
        <is>
          <t>V7 — Document &amp; design inspection</t>
        </is>
      </c>
      <c r="E108" s="66" t="n"/>
      <c r="F108" s="66" t="inlineStr">
        <is>
          <t>Specification text against implementation description; provenance sections; objective card lines</t>
        </is>
      </c>
      <c r="G108" s="66" t="inlineStr">
        <is>
          <t>B — sample ≥ 30%</t>
        </is>
      </c>
      <c r="H108" s="67" t="n"/>
      <c r="I108" s="67" t="n"/>
      <c r="J108" s="67" t="n"/>
      <c r="K108" s="64">
        <f>IFERROR(INDEX('Status Map'!$B$2:$B$12,MATCH(C108,'Status Map'!$A$2:$A$12,0)),"UNDEFINED")</f>
        <v/>
      </c>
      <c r="L108" s="64">
        <f>IFERROR(INDEX('Status Map'!$C$2:$C$12,MATCH(C108,'Status Map'!$A$2:$A$12,0)),"UNDEFINED")</f>
        <v/>
      </c>
      <c r="M108" s="68" t="inlineStr">
        <is>
          <t>HEADING ONLY</t>
        </is>
      </c>
      <c r="N108" s="68" t="n"/>
      <c r="O108" s="68" t="n"/>
      <c r="P108" s="64">
        <f>IF(O108&lt;&gt;"",O108,LEFT(D108,2))</f>
        <v/>
      </c>
      <c r="Q108" s="64">
        <f>IF(O108&lt;&gt;"","Standards §6",IF(M108="HEADING ONLY","Derived from heading — PROVISIONAL",IF(M108="TEXT NOT IN REGISTRY","No text to derive from — PROVISIONAL","Derived from registered statement")))</f>
        <v/>
      </c>
      <c r="R108" s="64">
        <f>IF(OR(LEFT(G108,1)="A",L108="COUNTS",ISNUMBER(SEARCH("V1",P108)),ISNUMBER(SEARCH("V2",P108)),ISNUMBER(SEARCH("V5",P108))),"A — 100%","B — sample ≥ 30%")</f>
        <v/>
      </c>
      <c r="S108" s="67" t="n"/>
      <c r="T108" s="67" t="n"/>
      <c r="U108" s="67" t="n"/>
      <c r="V108" s="67" t="n"/>
      <c r="W108" s="67" t="n"/>
      <c r="X108" s="67" t="n"/>
    </row>
    <row r="109" ht="22.35" customHeight="1" s="45">
      <c r="A109" s="65" t="inlineStr">
        <is>
          <t>A5.4</t>
        </is>
      </c>
      <c r="B109" s="66" t="inlineStr">
        <is>
          <t>Doc 10</t>
        </is>
      </c>
      <c r="C109" s="66" t="inlineStr">
        <is>
          <t>—</t>
        </is>
      </c>
      <c r="D109" s="66" t="inlineStr">
        <is>
          <t>V7 — Document &amp; design inspection</t>
        </is>
      </c>
      <c r="E109" s="66" t="n"/>
      <c r="F109" s="66" t="inlineStr">
        <is>
          <t>Specification text against implementation description; provenance sections; objective card lines</t>
        </is>
      </c>
      <c r="G109" s="66" t="inlineStr">
        <is>
          <t>B — sample ≥ 30%</t>
        </is>
      </c>
      <c r="H109" s="67" t="n"/>
      <c r="I109" s="67" t="n"/>
      <c r="J109" s="67" t="n"/>
      <c r="K109" s="64">
        <f>IFERROR(INDEX('Status Map'!$B$2:$B$12,MATCH(C109,'Status Map'!$A$2:$A$12,0)),"UNDEFINED")</f>
        <v/>
      </c>
      <c r="L109" s="64">
        <f>IFERROR(INDEX('Status Map'!$C$2:$C$12,MATCH(C109,'Status Map'!$A$2:$A$12,0)),"UNDEFINED")</f>
        <v/>
      </c>
      <c r="M109" s="68" t="inlineStr">
        <is>
          <t>HEADING ONLY</t>
        </is>
      </c>
      <c r="N109" s="68" t="n"/>
      <c r="O109" s="68" t="n"/>
      <c r="P109" s="64">
        <f>IF(O109&lt;&gt;"",O109,LEFT(D109,2))</f>
        <v/>
      </c>
      <c r="Q109" s="64">
        <f>IF(O109&lt;&gt;"","Standards §6",IF(M109="HEADING ONLY","Derived from heading — PROVISIONAL",IF(M109="TEXT NOT IN REGISTRY","No text to derive from — PROVISIONAL","Derived from registered statement")))</f>
        <v/>
      </c>
      <c r="R109" s="64">
        <f>IF(OR(LEFT(G109,1)="A",L109="COUNTS",ISNUMBER(SEARCH("V1",P109)),ISNUMBER(SEARCH("V2",P109)),ISNUMBER(SEARCH("V5",P109))),"A — 100%","B — sample ≥ 30%")</f>
        <v/>
      </c>
      <c r="S109" s="67" t="n"/>
      <c r="T109" s="67" t="n"/>
      <c r="U109" s="67" t="n"/>
      <c r="V109" s="67" t="n"/>
      <c r="W109" s="67" t="n"/>
      <c r="X109" s="67" t="n"/>
    </row>
    <row r="110" ht="22.35" customHeight="1" s="45">
      <c r="A110" s="65" t="inlineStr">
        <is>
          <t>A5.5</t>
        </is>
      </c>
      <c r="B110" s="66" t="inlineStr">
        <is>
          <t>Doc 10</t>
        </is>
      </c>
      <c r="C110" s="66" t="inlineStr">
        <is>
          <t>CANON</t>
        </is>
      </c>
      <c r="D110" s="66" t="inlineStr">
        <is>
          <t>V7 — Document &amp; design inspection</t>
        </is>
      </c>
      <c r="E110" s="66" t="n"/>
      <c r="F110" s="66" t="inlineStr">
        <is>
          <t>Specification text against implementation description; provenance sections; objective card lines</t>
        </is>
      </c>
      <c r="G110" s="66" t="inlineStr">
        <is>
          <t>B — sample ≥ 30%</t>
        </is>
      </c>
      <c r="H110" s="67" t="n"/>
      <c r="I110" s="67" t="n"/>
      <c r="J110" s="67" t="n"/>
      <c r="K110" s="64">
        <f>IFERROR(INDEX('Status Map'!$B$2:$B$12,MATCH(C110,'Status Map'!$A$2:$A$12,0)),"UNDEFINED")</f>
        <v/>
      </c>
      <c r="L110" s="64">
        <f>IFERROR(INDEX('Status Map'!$C$2:$C$12,MATCH(C110,'Status Map'!$A$2:$A$12,0)),"UNDEFINED")</f>
        <v/>
      </c>
      <c r="M110" s="68" t="inlineStr">
        <is>
          <t>HEADING ONLY</t>
        </is>
      </c>
      <c r="N110" s="68" t="n"/>
      <c r="O110" s="68" t="n"/>
      <c r="P110" s="64">
        <f>IF(O110&lt;&gt;"",O110,LEFT(D110,2))</f>
        <v/>
      </c>
      <c r="Q110" s="64">
        <f>IF(O110&lt;&gt;"","Standards §6",IF(M110="HEADING ONLY","Derived from heading — PROVISIONAL",IF(M110="TEXT NOT IN REGISTRY","No text to derive from — PROVISIONAL","Derived from registered statement")))</f>
        <v/>
      </c>
      <c r="R110" s="64">
        <f>IF(OR(LEFT(G110,1)="A",L110="COUNTS",ISNUMBER(SEARCH("V1",P110)),ISNUMBER(SEARCH("V2",P110)),ISNUMBER(SEARCH("V5",P110))),"A — 100%","B — sample ≥ 30%")</f>
        <v/>
      </c>
      <c r="S110" s="67" t="n"/>
      <c r="T110" s="67" t="n"/>
      <c r="U110" s="67" t="n"/>
      <c r="V110" s="67" t="n"/>
      <c r="W110" s="67" t="n"/>
      <c r="X110" s="67" t="n"/>
    </row>
    <row r="111" ht="22.35" customHeight="1" s="45">
      <c r="A111" s="65" t="inlineStr">
        <is>
          <t>C5.1</t>
        </is>
      </c>
      <c r="B111" s="66" t="inlineStr">
        <is>
          <t>Doc 9</t>
        </is>
      </c>
      <c r="C111" s="66" t="inlineStr">
        <is>
          <t>CANON</t>
        </is>
      </c>
      <c r="D111" s="66" t="inlineStr">
        <is>
          <t>V7 — Document &amp; design inspection</t>
        </is>
      </c>
      <c r="E111" s="66" t="n"/>
      <c r="F111" s="66" t="inlineStr">
        <is>
          <t>Specification text against implementation description; provenance sections; objective card lines</t>
        </is>
      </c>
      <c r="G111" s="66" t="inlineStr">
        <is>
          <t>B — sample ≥ 30%</t>
        </is>
      </c>
      <c r="H111" s="67" t="n"/>
      <c r="I111" s="67" t="n"/>
      <c r="J111" s="67" t="n"/>
      <c r="K111" s="64">
        <f>IFERROR(INDEX('Status Map'!$B$2:$B$12,MATCH(C111,'Status Map'!$A$2:$A$12,0)),"UNDEFINED")</f>
        <v/>
      </c>
      <c r="L111" s="64">
        <f>IFERROR(INDEX('Status Map'!$C$2:$C$12,MATCH(C111,'Status Map'!$A$2:$A$12,0)),"UNDEFINED")</f>
        <v/>
      </c>
      <c r="M111" s="68" t="inlineStr">
        <is>
          <t>HEADING ONLY</t>
        </is>
      </c>
      <c r="N111" s="68" t="n"/>
      <c r="O111" s="68" t="n"/>
      <c r="P111" s="64">
        <f>IF(O111&lt;&gt;"",O111,LEFT(D111,2))</f>
        <v/>
      </c>
      <c r="Q111" s="64">
        <f>IF(O111&lt;&gt;"","Standards §6",IF(M111="HEADING ONLY","Derived from heading — PROVISIONAL",IF(M111="TEXT NOT IN REGISTRY","No text to derive from — PROVISIONAL","Derived from registered statement")))</f>
        <v/>
      </c>
      <c r="R111" s="64">
        <f>IF(OR(LEFT(G111,1)="A",L111="COUNTS",ISNUMBER(SEARCH("V1",P111)),ISNUMBER(SEARCH("V2",P111)),ISNUMBER(SEARCH("V5",P111))),"A — 100%","B — sample ≥ 30%")</f>
        <v/>
      </c>
      <c r="S111" s="67" t="n"/>
      <c r="T111" s="67" t="n"/>
      <c r="U111" s="67" t="n"/>
      <c r="V111" s="67" t="n"/>
      <c r="W111" s="67" t="n"/>
      <c r="X111" s="67" t="n"/>
    </row>
    <row r="112" ht="22.35" customHeight="1" s="45">
      <c r="A112" s="65" t="inlineStr">
        <is>
          <t>C5.2</t>
        </is>
      </c>
      <c r="B112" s="66" t="inlineStr">
        <is>
          <t>Doc 9</t>
        </is>
      </c>
      <c r="C112" s="66" t="inlineStr">
        <is>
          <t>CANON</t>
        </is>
      </c>
      <c r="D112" s="66" t="inlineStr">
        <is>
          <t>V7 — Document &amp; design inspection</t>
        </is>
      </c>
      <c r="E112" s="66" t="n"/>
      <c r="F112" s="66" t="inlineStr">
        <is>
          <t>Specification text against implementation description; provenance sections; objective card lines</t>
        </is>
      </c>
      <c r="G112" s="66" t="inlineStr">
        <is>
          <t>B — sample ≥ 30%</t>
        </is>
      </c>
      <c r="H112" s="67" t="n"/>
      <c r="I112" s="67" t="n"/>
      <c r="J112" s="67" t="n"/>
      <c r="K112" s="64">
        <f>IFERROR(INDEX('Status Map'!$B$2:$B$12,MATCH(C112,'Status Map'!$A$2:$A$12,0)),"UNDEFINED")</f>
        <v/>
      </c>
      <c r="L112" s="64">
        <f>IFERROR(INDEX('Status Map'!$C$2:$C$12,MATCH(C112,'Status Map'!$A$2:$A$12,0)),"UNDEFINED")</f>
        <v/>
      </c>
      <c r="M112" s="68" t="inlineStr">
        <is>
          <t>HEADING ONLY</t>
        </is>
      </c>
      <c r="N112" s="68" t="n"/>
      <c r="O112" s="68" t="n"/>
      <c r="P112" s="64">
        <f>IF(O112&lt;&gt;"",O112,LEFT(D112,2))</f>
        <v/>
      </c>
      <c r="Q112" s="64">
        <f>IF(O112&lt;&gt;"","Standards §6",IF(M112="HEADING ONLY","Derived from heading — PROVISIONAL",IF(M112="TEXT NOT IN REGISTRY","No text to derive from — PROVISIONAL","Derived from registered statement")))</f>
        <v/>
      </c>
      <c r="R112" s="64">
        <f>IF(OR(LEFT(G112,1)="A",L112="COUNTS",ISNUMBER(SEARCH("V1",P112)),ISNUMBER(SEARCH("V2",P112)),ISNUMBER(SEARCH("V5",P112))),"A — 100%","B — sample ≥ 30%")</f>
        <v/>
      </c>
      <c r="S112" s="67" t="n"/>
      <c r="T112" s="67" t="n"/>
      <c r="U112" s="67" t="n"/>
      <c r="V112" s="67" t="n"/>
      <c r="W112" s="67" t="n"/>
      <c r="X112" s="67" t="n"/>
    </row>
    <row r="113" ht="22.35" customHeight="1" s="45">
      <c r="A113" s="65" t="inlineStr">
        <is>
          <t>C5.3</t>
        </is>
      </c>
      <c r="B113" s="66" t="inlineStr">
        <is>
          <t>Doc 9</t>
        </is>
      </c>
      <c r="C113" s="66" t="inlineStr">
        <is>
          <t>CANON</t>
        </is>
      </c>
      <c r="D113" s="66" t="inlineStr">
        <is>
          <t>V7 — Document &amp; design inspection</t>
        </is>
      </c>
      <c r="E113" s="66" t="n"/>
      <c r="F113" s="66" t="inlineStr">
        <is>
          <t>Specification text against implementation description; provenance sections; objective card lines</t>
        </is>
      </c>
      <c r="G113" s="66" t="inlineStr">
        <is>
          <t>B — sample ≥ 30%</t>
        </is>
      </c>
      <c r="H113" s="67" t="n"/>
      <c r="I113" s="67" t="n"/>
      <c r="J113" s="67" t="n"/>
      <c r="K113" s="64">
        <f>IFERROR(INDEX('Status Map'!$B$2:$B$12,MATCH(C113,'Status Map'!$A$2:$A$12,0)),"UNDEFINED")</f>
        <v/>
      </c>
      <c r="L113" s="64">
        <f>IFERROR(INDEX('Status Map'!$C$2:$C$12,MATCH(C113,'Status Map'!$A$2:$A$12,0)),"UNDEFINED")</f>
        <v/>
      </c>
      <c r="M113" s="68" t="inlineStr">
        <is>
          <t>HEADING ONLY</t>
        </is>
      </c>
      <c r="N113" s="68" t="n"/>
      <c r="O113" s="68" t="n"/>
      <c r="P113" s="64">
        <f>IF(O113&lt;&gt;"",O113,LEFT(D113,2))</f>
        <v/>
      </c>
      <c r="Q113" s="64">
        <f>IF(O113&lt;&gt;"","Standards §6",IF(M113="HEADING ONLY","Derived from heading — PROVISIONAL",IF(M113="TEXT NOT IN REGISTRY","No text to derive from — PROVISIONAL","Derived from registered statement")))</f>
        <v/>
      </c>
      <c r="R113" s="64">
        <f>IF(OR(LEFT(G113,1)="A",L113="COUNTS",ISNUMBER(SEARCH("V1",P113)),ISNUMBER(SEARCH("V2",P113)),ISNUMBER(SEARCH("V5",P113))),"A — 100%","B — sample ≥ 30%")</f>
        <v/>
      </c>
      <c r="S113" s="67" t="n"/>
      <c r="T113" s="67" t="n"/>
      <c r="U113" s="67" t="n"/>
      <c r="V113" s="67" t="n"/>
      <c r="W113" s="67" t="n"/>
      <c r="X113" s="67" t="n"/>
    </row>
    <row r="114" ht="22.35" customHeight="1" s="45">
      <c r="A114" s="65" t="inlineStr">
        <is>
          <t>C5.4</t>
        </is>
      </c>
      <c r="B114" s="66" t="inlineStr">
        <is>
          <t>Doc 9</t>
        </is>
      </c>
      <c r="C114" s="66" t="inlineStr">
        <is>
          <t>CANON</t>
        </is>
      </c>
      <c r="D114" s="66" t="inlineStr">
        <is>
          <t>V1 — Test evidence</t>
        </is>
      </c>
      <c r="E114" s="66" t="n"/>
      <c r="F114" s="66" t="inlineStr">
        <is>
          <t>Golden-input, byte-identical output; RED-first test ID; ratchet manifest entry</t>
        </is>
      </c>
      <c r="G114" s="66" t="inlineStr">
        <is>
          <t>A — 100%</t>
        </is>
      </c>
      <c r="H114" s="67" t="n"/>
      <c r="I114" s="67" t="n"/>
      <c r="J114" s="67" t="n"/>
      <c r="K114" s="64">
        <f>IFERROR(INDEX('Status Map'!$B$2:$B$12,MATCH(C114,'Status Map'!$A$2:$A$12,0)),"UNDEFINED")</f>
        <v/>
      </c>
      <c r="L114" s="64">
        <f>IFERROR(INDEX('Status Map'!$C$2:$C$12,MATCH(C114,'Status Map'!$A$2:$A$12,0)),"UNDEFINED")</f>
        <v/>
      </c>
      <c r="M114" s="68" t="inlineStr">
        <is>
          <t>HEADING ONLY</t>
        </is>
      </c>
      <c r="N114" s="68" t="n"/>
      <c r="O114" s="68" t="n"/>
      <c r="P114" s="64">
        <f>IF(O114&lt;&gt;"",O114,LEFT(D114,2))</f>
        <v/>
      </c>
      <c r="Q114" s="64">
        <f>IF(O114&lt;&gt;"","Standards §6",IF(M114="HEADING ONLY","Derived from heading — PROVISIONAL",IF(M114="TEXT NOT IN REGISTRY","No text to derive from — PROVISIONAL","Derived from registered statement")))</f>
        <v/>
      </c>
      <c r="R114" s="64">
        <f>IF(OR(LEFT(G114,1)="A",L114="COUNTS",ISNUMBER(SEARCH("V1",P114)),ISNUMBER(SEARCH("V2",P114)),ISNUMBER(SEARCH("V5",P114))),"A — 100%","B — sample ≥ 30%")</f>
        <v/>
      </c>
      <c r="S114" s="67" t="n"/>
      <c r="T114" s="67" t="n"/>
      <c r="U114" s="67" t="n"/>
      <c r="V114" s="67" t="n"/>
      <c r="W114" s="67" t="n"/>
      <c r="X114" s="67" t="n"/>
    </row>
    <row r="115" ht="22.35" customHeight="1" s="45">
      <c r="A115" s="65" t="inlineStr">
        <is>
          <t>C5.5</t>
        </is>
      </c>
      <c r="B115" s="66" t="inlineStr">
        <is>
          <t>Doc 9</t>
        </is>
      </c>
      <c r="C115" s="66" t="inlineStr">
        <is>
          <t>CANON</t>
        </is>
      </c>
      <c r="D115" s="66" t="inlineStr">
        <is>
          <t>V7 — Document &amp; design inspection</t>
        </is>
      </c>
      <c r="E115" s="66" t="n"/>
      <c r="F115" s="66" t="inlineStr">
        <is>
          <t>Specification text against implementation description; provenance sections; objective card lines</t>
        </is>
      </c>
      <c r="G115" s="66" t="inlineStr">
        <is>
          <t>B — sample ≥ 30%</t>
        </is>
      </c>
      <c r="H115" s="67" t="n"/>
      <c r="I115" s="67" t="n"/>
      <c r="J115" s="67" t="n"/>
      <c r="K115" s="64">
        <f>IFERROR(INDEX('Status Map'!$B$2:$B$12,MATCH(C115,'Status Map'!$A$2:$A$12,0)),"UNDEFINED")</f>
        <v/>
      </c>
      <c r="L115" s="64">
        <f>IFERROR(INDEX('Status Map'!$C$2:$C$12,MATCH(C115,'Status Map'!$A$2:$A$12,0)),"UNDEFINED")</f>
        <v/>
      </c>
      <c r="M115" s="68" t="inlineStr">
        <is>
          <t>HEADING ONLY</t>
        </is>
      </c>
      <c r="N115" s="68" t="n"/>
      <c r="O115" s="68" t="n"/>
      <c r="P115" s="64">
        <f>IF(O115&lt;&gt;"",O115,LEFT(D115,2))</f>
        <v/>
      </c>
      <c r="Q115" s="64">
        <f>IF(O115&lt;&gt;"","Standards §6",IF(M115="HEADING ONLY","Derived from heading — PROVISIONAL",IF(M115="TEXT NOT IN REGISTRY","No text to derive from — PROVISIONAL","Derived from registered statement")))</f>
        <v/>
      </c>
      <c r="R115" s="64">
        <f>IF(OR(LEFT(G115,1)="A",L115="COUNTS",ISNUMBER(SEARCH("V1",P115)),ISNUMBER(SEARCH("V2",P115)),ISNUMBER(SEARCH("V5",P115))),"A — 100%","B — sample ≥ 30%")</f>
        <v/>
      </c>
      <c r="S115" s="67" t="n"/>
      <c r="T115" s="67" t="n"/>
      <c r="U115" s="67" t="n"/>
      <c r="V115" s="67" t="n"/>
      <c r="W115" s="67" t="n"/>
      <c r="X115" s="67" t="n"/>
    </row>
    <row r="116" ht="22.35" customHeight="1" s="45">
      <c r="A116" s="65" t="inlineStr">
        <is>
          <t>C5.6</t>
        </is>
      </c>
      <c r="B116" s="66" t="inlineStr">
        <is>
          <t>Doc 9</t>
        </is>
      </c>
      <c r="C116" s="66" t="inlineStr">
        <is>
          <t>CANON</t>
        </is>
      </c>
      <c r="D116" s="66" t="inlineStr">
        <is>
          <t>V7 — Document &amp; design inspection</t>
        </is>
      </c>
      <c r="E116" s="66" t="n"/>
      <c r="F116" s="66" t="inlineStr">
        <is>
          <t>Specification text against implementation description; provenance sections; objective card lines</t>
        </is>
      </c>
      <c r="G116" s="66" t="inlineStr">
        <is>
          <t>B — sample ≥ 30%</t>
        </is>
      </c>
      <c r="H116" s="67" t="n"/>
      <c r="I116" s="67" t="n"/>
      <c r="J116" s="67" t="n"/>
      <c r="K116" s="64">
        <f>IFERROR(INDEX('Status Map'!$B$2:$B$12,MATCH(C116,'Status Map'!$A$2:$A$12,0)),"UNDEFINED")</f>
        <v/>
      </c>
      <c r="L116" s="64">
        <f>IFERROR(INDEX('Status Map'!$C$2:$C$12,MATCH(C116,'Status Map'!$A$2:$A$12,0)),"UNDEFINED")</f>
        <v/>
      </c>
      <c r="M116" s="68" t="inlineStr">
        <is>
          <t>HEADING ONLY</t>
        </is>
      </c>
      <c r="N116" s="68" t="n"/>
      <c r="O116" s="68" t="n"/>
      <c r="P116" s="64">
        <f>IF(O116&lt;&gt;"",O116,LEFT(D116,2))</f>
        <v/>
      </c>
      <c r="Q116" s="64">
        <f>IF(O116&lt;&gt;"","Standards §6",IF(M116="HEADING ONLY","Derived from heading — PROVISIONAL",IF(M116="TEXT NOT IN REGISTRY","No text to derive from — PROVISIONAL","Derived from registered statement")))</f>
        <v/>
      </c>
      <c r="R116" s="64">
        <f>IF(OR(LEFT(G116,1)="A",L116="COUNTS",ISNUMBER(SEARCH("V1",P116)),ISNUMBER(SEARCH("V2",P116)),ISNUMBER(SEARCH("V5",P116))),"A — 100%","B — sample ≥ 30%")</f>
        <v/>
      </c>
      <c r="S116" s="67" t="n"/>
      <c r="T116" s="67" t="n"/>
      <c r="U116" s="67" t="n"/>
      <c r="V116" s="67" t="n"/>
      <c r="W116" s="67" t="n"/>
      <c r="X116" s="67" t="n"/>
    </row>
    <row r="117" ht="22.35" customHeight="1" s="45">
      <c r="A117" s="65" t="inlineStr">
        <is>
          <t>A5.1</t>
        </is>
      </c>
      <c r="B117" s="66" t="inlineStr">
        <is>
          <t>Doc 12</t>
        </is>
      </c>
      <c r="C117" s="66" t="inlineStr">
        <is>
          <t>CANON</t>
        </is>
      </c>
      <c r="D117" s="66" t="inlineStr">
        <is>
          <t>V7 — Document &amp; design inspection</t>
        </is>
      </c>
      <c r="E117" s="66" t="n"/>
      <c r="F117" s="66" t="inlineStr">
        <is>
          <t>Specification text against implementation description; provenance sections; objective card lines</t>
        </is>
      </c>
      <c r="G117" s="66" t="inlineStr">
        <is>
          <t>B — sample ≥ 30%</t>
        </is>
      </c>
      <c r="H117" s="67" t="n"/>
      <c r="I117" s="67" t="n"/>
      <c r="J117" s="67" t="n"/>
      <c r="K117" s="64">
        <f>IFERROR(INDEX('Status Map'!$B$2:$B$12,MATCH(C117,'Status Map'!$A$2:$A$12,0)),"UNDEFINED")</f>
        <v/>
      </c>
      <c r="L117" s="64">
        <f>IFERROR(INDEX('Status Map'!$C$2:$C$12,MATCH(C117,'Status Map'!$A$2:$A$12,0)),"UNDEFINED")</f>
        <v/>
      </c>
      <c r="M117" s="68" t="inlineStr">
        <is>
          <t>HEADING ONLY</t>
        </is>
      </c>
      <c r="N117" s="68" t="n"/>
      <c r="O117" s="68" t="n"/>
      <c r="P117" s="64">
        <f>IF(O117&lt;&gt;"",O117,LEFT(D117,2))</f>
        <v/>
      </c>
      <c r="Q117" s="64">
        <f>IF(O117&lt;&gt;"","Standards §6",IF(M117="HEADING ONLY","Derived from heading — PROVISIONAL",IF(M117="TEXT NOT IN REGISTRY","No text to derive from — PROVISIONAL","Derived from registered statement")))</f>
        <v/>
      </c>
      <c r="R117" s="64">
        <f>IF(OR(LEFT(G117,1)="A",L117="COUNTS",ISNUMBER(SEARCH("V1",P117)),ISNUMBER(SEARCH("V2",P117)),ISNUMBER(SEARCH("V5",P117))),"A — 100%","B — sample ≥ 30%")</f>
        <v/>
      </c>
      <c r="S117" s="67" t="n"/>
      <c r="T117" s="67" t="n"/>
      <c r="U117" s="67" t="n"/>
      <c r="V117" s="67" t="n"/>
      <c r="W117" s="67" t="n"/>
      <c r="X117" s="67" t="n"/>
    </row>
    <row r="118" ht="22.35" customHeight="1" s="45">
      <c r="A118" s="65" t="inlineStr">
        <is>
          <t>A5.2</t>
        </is>
      </c>
      <c r="B118" s="66" t="inlineStr">
        <is>
          <t>Doc 12</t>
        </is>
      </c>
      <c r="C118" s="66" t="inlineStr">
        <is>
          <t>CANON</t>
        </is>
      </c>
      <c r="D118" s="66" t="inlineStr">
        <is>
          <t>V7 — Document &amp; design inspection</t>
        </is>
      </c>
      <c r="E118" s="66" t="n"/>
      <c r="F118" s="66" t="inlineStr">
        <is>
          <t>Specification text against implementation description; provenance sections; objective card lines</t>
        </is>
      </c>
      <c r="G118" s="66" t="inlineStr">
        <is>
          <t>B — sample ≥ 30%</t>
        </is>
      </c>
      <c r="H118" s="67" t="n"/>
      <c r="I118" s="67" t="n"/>
      <c r="J118" s="67" t="n"/>
      <c r="K118" s="64">
        <f>IFERROR(INDEX('Status Map'!$B$2:$B$12,MATCH(C118,'Status Map'!$A$2:$A$12,0)),"UNDEFINED")</f>
        <v/>
      </c>
      <c r="L118" s="64">
        <f>IFERROR(INDEX('Status Map'!$C$2:$C$12,MATCH(C118,'Status Map'!$A$2:$A$12,0)),"UNDEFINED")</f>
        <v/>
      </c>
      <c r="M118" s="68" t="inlineStr">
        <is>
          <t>HEADING ONLY</t>
        </is>
      </c>
      <c r="N118" s="68" t="n"/>
      <c r="O118" s="68" t="n"/>
      <c r="P118" s="64">
        <f>IF(O118&lt;&gt;"",O118,LEFT(D118,2))</f>
        <v/>
      </c>
      <c r="Q118" s="64">
        <f>IF(O118&lt;&gt;"","Standards §6",IF(M118="HEADING ONLY","Derived from heading — PROVISIONAL",IF(M118="TEXT NOT IN REGISTRY","No text to derive from — PROVISIONAL","Derived from registered statement")))</f>
        <v/>
      </c>
      <c r="R118" s="64">
        <f>IF(OR(LEFT(G118,1)="A",L118="COUNTS",ISNUMBER(SEARCH("V1",P118)),ISNUMBER(SEARCH("V2",P118)),ISNUMBER(SEARCH("V5",P118))),"A — 100%","B — sample ≥ 30%")</f>
        <v/>
      </c>
      <c r="S118" s="67" t="n"/>
      <c r="T118" s="67" t="n"/>
      <c r="U118" s="67" t="n"/>
      <c r="V118" s="67" t="n"/>
      <c r="W118" s="67" t="n"/>
      <c r="X118" s="67" t="n"/>
    </row>
    <row r="119" ht="22.35" customHeight="1" s="45">
      <c r="A119" s="65" t="inlineStr">
        <is>
          <t>A5.3</t>
        </is>
      </c>
      <c r="B119" s="66" t="inlineStr">
        <is>
          <t>Doc 12</t>
        </is>
      </c>
      <c r="C119" s="66" t="inlineStr">
        <is>
          <t>CANON</t>
        </is>
      </c>
      <c r="D119" s="66" t="inlineStr">
        <is>
          <t>V7 — Document &amp; design inspection</t>
        </is>
      </c>
      <c r="E119" s="66" t="n"/>
      <c r="F119" s="66" t="inlineStr">
        <is>
          <t>Specification text against implementation description; provenance sections; objective card lines</t>
        </is>
      </c>
      <c r="G119" s="66" t="inlineStr">
        <is>
          <t>B — sample ≥ 30%</t>
        </is>
      </c>
      <c r="H119" s="67" t="n"/>
      <c r="I119" s="67" t="n"/>
      <c r="J119" s="67" t="n"/>
      <c r="K119" s="64">
        <f>IFERROR(INDEX('Status Map'!$B$2:$B$12,MATCH(C119,'Status Map'!$A$2:$A$12,0)),"UNDEFINED")</f>
        <v/>
      </c>
      <c r="L119" s="64">
        <f>IFERROR(INDEX('Status Map'!$C$2:$C$12,MATCH(C119,'Status Map'!$A$2:$A$12,0)),"UNDEFINED")</f>
        <v/>
      </c>
      <c r="M119" s="68" t="inlineStr">
        <is>
          <t>HEADING ONLY</t>
        </is>
      </c>
      <c r="N119" s="68" t="n"/>
      <c r="O119" s="68" t="n"/>
      <c r="P119" s="64">
        <f>IF(O119&lt;&gt;"",O119,LEFT(D119,2))</f>
        <v/>
      </c>
      <c r="Q119" s="64">
        <f>IF(O119&lt;&gt;"","Standards §6",IF(M119="HEADING ONLY","Derived from heading — PROVISIONAL",IF(M119="TEXT NOT IN REGISTRY","No text to derive from — PROVISIONAL","Derived from registered statement")))</f>
        <v/>
      </c>
      <c r="R119" s="64">
        <f>IF(OR(LEFT(G119,1)="A",L119="COUNTS",ISNUMBER(SEARCH("V1",P119)),ISNUMBER(SEARCH("V2",P119)),ISNUMBER(SEARCH("V5",P119))),"A — 100%","B — sample ≥ 30%")</f>
        <v/>
      </c>
      <c r="S119" s="67" t="n"/>
      <c r="T119" s="67" t="n"/>
      <c r="U119" s="67" t="n"/>
      <c r="V119" s="67" t="n"/>
      <c r="W119" s="67" t="n"/>
      <c r="X119" s="67" t="n"/>
    </row>
    <row r="120" ht="22.35" customHeight="1" s="45">
      <c r="A120" s="65" t="inlineStr">
        <is>
          <t>A5.4</t>
        </is>
      </c>
      <c r="B120" s="66" t="inlineStr">
        <is>
          <t>Doc 12</t>
        </is>
      </c>
      <c r="C120" s="66" t="inlineStr">
        <is>
          <t>RULED</t>
        </is>
      </c>
      <c r="D120" s="66" t="inlineStr">
        <is>
          <t>V7 — Document &amp; design inspection</t>
        </is>
      </c>
      <c r="E120" s="66" t="n"/>
      <c r="F120" s="66" t="inlineStr">
        <is>
          <t>Specification text against implementation description; provenance sections; objective card lines</t>
        </is>
      </c>
      <c r="G120" s="66" t="inlineStr">
        <is>
          <t>B — sample ≥ 30%</t>
        </is>
      </c>
      <c r="H120" s="67" t="n"/>
      <c r="I120" s="67" t="n"/>
      <c r="J120" s="67" t="n"/>
      <c r="K120" s="64">
        <f>IFERROR(INDEX('Status Map'!$B$2:$B$12,MATCH(C120,'Status Map'!$A$2:$A$12,0)),"UNDEFINED")</f>
        <v/>
      </c>
      <c r="L120" s="64">
        <f>IFERROR(INDEX('Status Map'!$C$2:$C$12,MATCH(C120,'Status Map'!$A$2:$A$12,0)),"UNDEFINED")</f>
        <v/>
      </c>
      <c r="M120" s="68" t="inlineStr">
        <is>
          <t>HEADING ONLY</t>
        </is>
      </c>
      <c r="N120" s="68" t="n"/>
      <c r="O120" s="68" t="n"/>
      <c r="P120" s="64">
        <f>IF(O120&lt;&gt;"",O120,LEFT(D120,2))</f>
        <v/>
      </c>
      <c r="Q120" s="64">
        <f>IF(O120&lt;&gt;"","Standards §6",IF(M120="HEADING ONLY","Derived from heading — PROVISIONAL",IF(M120="TEXT NOT IN REGISTRY","No text to derive from — PROVISIONAL","Derived from registered statement")))</f>
        <v/>
      </c>
      <c r="R120" s="64">
        <f>IF(OR(LEFT(G120,1)="A",L120="COUNTS",ISNUMBER(SEARCH("V1",P120)),ISNUMBER(SEARCH("V2",P120)),ISNUMBER(SEARCH("V5",P120))),"A — 100%","B — sample ≥ 30%")</f>
        <v/>
      </c>
      <c r="S120" s="67" t="n"/>
      <c r="T120" s="67" t="n"/>
      <c r="U120" s="67" t="n"/>
      <c r="V120" s="67" t="n"/>
      <c r="W120" s="67" t="n"/>
      <c r="X120" s="67" t="n"/>
    </row>
    <row r="121" ht="22.35" customHeight="1" s="45">
      <c r="A121" s="65" t="inlineStr">
        <is>
          <t>B5.1</t>
        </is>
      </c>
      <c r="B121" s="66" t="inlineStr">
        <is>
          <t>Doc 12</t>
        </is>
      </c>
      <c r="C121" s="66" t="inlineStr">
        <is>
          <t>CANON</t>
        </is>
      </c>
      <c r="D121" s="66" t="inlineStr">
        <is>
          <t>V7 — Document &amp; design inspection</t>
        </is>
      </c>
      <c r="E121" s="66" t="n"/>
      <c r="F121" s="66" t="inlineStr">
        <is>
          <t>Specification text against implementation description; provenance sections; objective card lines</t>
        </is>
      </c>
      <c r="G121" s="66" t="inlineStr">
        <is>
          <t>B — sample ≥ 30%</t>
        </is>
      </c>
      <c r="H121" s="67" t="n"/>
      <c r="I121" s="67" t="n"/>
      <c r="J121" s="67" t="n"/>
      <c r="K121" s="64">
        <f>IFERROR(INDEX('Status Map'!$B$2:$B$12,MATCH(C121,'Status Map'!$A$2:$A$12,0)),"UNDEFINED")</f>
        <v/>
      </c>
      <c r="L121" s="64">
        <f>IFERROR(INDEX('Status Map'!$C$2:$C$12,MATCH(C121,'Status Map'!$A$2:$A$12,0)),"UNDEFINED")</f>
        <v/>
      </c>
      <c r="M121" s="68" t="inlineStr">
        <is>
          <t>HEADING ONLY</t>
        </is>
      </c>
      <c r="N121" s="68" t="n"/>
      <c r="O121" s="68" t="n"/>
      <c r="P121" s="64">
        <f>IF(O121&lt;&gt;"",O121,LEFT(D121,2))</f>
        <v/>
      </c>
      <c r="Q121" s="64">
        <f>IF(O121&lt;&gt;"","Standards §6",IF(M121="HEADING ONLY","Derived from heading — PROVISIONAL",IF(M121="TEXT NOT IN REGISTRY","No text to derive from — PROVISIONAL","Derived from registered statement")))</f>
        <v/>
      </c>
      <c r="R121" s="64">
        <f>IF(OR(LEFT(G121,1)="A",L121="COUNTS",ISNUMBER(SEARCH("V1",P121)),ISNUMBER(SEARCH("V2",P121)),ISNUMBER(SEARCH("V5",P121))),"A — 100%","B — sample ≥ 30%")</f>
        <v/>
      </c>
      <c r="S121" s="67" t="n"/>
      <c r="T121" s="67" t="n"/>
      <c r="U121" s="67" t="n"/>
      <c r="V121" s="67" t="n"/>
      <c r="W121" s="67" t="n"/>
      <c r="X121" s="67" t="n"/>
    </row>
    <row r="122" ht="22.35" customHeight="1" s="45">
      <c r="A122" s="65" t="inlineStr">
        <is>
          <t>B5.2</t>
        </is>
      </c>
      <c r="B122" s="66" t="inlineStr">
        <is>
          <t>Doc 12</t>
        </is>
      </c>
      <c r="C122" s="66" t="inlineStr">
        <is>
          <t>CANON</t>
        </is>
      </c>
      <c r="D122" s="66" t="inlineStr">
        <is>
          <t>V7 — Document &amp; design inspection</t>
        </is>
      </c>
      <c r="E122" s="66" t="n"/>
      <c r="F122" s="66" t="inlineStr">
        <is>
          <t>Specification text against implementation description; provenance sections; objective card lines</t>
        </is>
      </c>
      <c r="G122" s="66" t="inlineStr">
        <is>
          <t>B — sample ≥ 30%</t>
        </is>
      </c>
      <c r="H122" s="67" t="n"/>
      <c r="I122" s="67" t="n"/>
      <c r="J122" s="67" t="n"/>
      <c r="K122" s="64">
        <f>IFERROR(INDEX('Status Map'!$B$2:$B$12,MATCH(C122,'Status Map'!$A$2:$A$12,0)),"UNDEFINED")</f>
        <v/>
      </c>
      <c r="L122" s="64">
        <f>IFERROR(INDEX('Status Map'!$C$2:$C$12,MATCH(C122,'Status Map'!$A$2:$A$12,0)),"UNDEFINED")</f>
        <v/>
      </c>
      <c r="M122" s="68" t="inlineStr">
        <is>
          <t>HEADING ONLY</t>
        </is>
      </c>
      <c r="N122" s="68" t="n"/>
      <c r="O122" s="68" t="n"/>
      <c r="P122" s="64">
        <f>IF(O122&lt;&gt;"",O122,LEFT(D122,2))</f>
        <v/>
      </c>
      <c r="Q122" s="64">
        <f>IF(O122&lt;&gt;"","Standards §6",IF(M122="HEADING ONLY","Derived from heading — PROVISIONAL",IF(M122="TEXT NOT IN REGISTRY","No text to derive from — PROVISIONAL","Derived from registered statement")))</f>
        <v/>
      </c>
      <c r="R122" s="64">
        <f>IF(OR(LEFT(G122,1)="A",L122="COUNTS",ISNUMBER(SEARCH("V1",P122)),ISNUMBER(SEARCH("V2",P122)),ISNUMBER(SEARCH("V5",P122))),"A — 100%","B — sample ≥ 30%")</f>
        <v/>
      </c>
      <c r="S122" s="67" t="n"/>
      <c r="T122" s="67" t="n"/>
      <c r="U122" s="67" t="n"/>
      <c r="V122" s="67" t="n"/>
      <c r="W122" s="67" t="n"/>
      <c r="X122" s="67" t="n"/>
    </row>
    <row r="123" ht="22.35" customHeight="1" s="45">
      <c r="A123" s="65" t="inlineStr">
        <is>
          <t>B5.3</t>
        </is>
      </c>
      <c r="B123" s="66" t="inlineStr">
        <is>
          <t>Doc 12</t>
        </is>
      </c>
      <c r="C123" s="66" t="inlineStr">
        <is>
          <t>CANON</t>
        </is>
      </c>
      <c r="D123" s="66" t="inlineStr">
        <is>
          <t>V7 — Document &amp; design inspection</t>
        </is>
      </c>
      <c r="E123" s="66" t="n"/>
      <c r="F123" s="66" t="inlineStr">
        <is>
          <t>Specification text against implementation description; provenance sections; objective card lines</t>
        </is>
      </c>
      <c r="G123" s="66" t="inlineStr">
        <is>
          <t>B — sample ≥ 30%</t>
        </is>
      </c>
      <c r="H123" s="67" t="n"/>
      <c r="I123" s="67" t="n"/>
      <c r="J123" s="67" t="n"/>
      <c r="K123" s="64">
        <f>IFERROR(INDEX('Status Map'!$B$2:$B$12,MATCH(C123,'Status Map'!$A$2:$A$12,0)),"UNDEFINED")</f>
        <v/>
      </c>
      <c r="L123" s="64">
        <f>IFERROR(INDEX('Status Map'!$C$2:$C$12,MATCH(C123,'Status Map'!$A$2:$A$12,0)),"UNDEFINED")</f>
        <v/>
      </c>
      <c r="M123" s="68" t="inlineStr">
        <is>
          <t>HEADING ONLY</t>
        </is>
      </c>
      <c r="N123" s="68" t="n"/>
      <c r="O123" s="68" t="n"/>
      <c r="P123" s="64">
        <f>IF(O123&lt;&gt;"",O123,LEFT(D123,2))</f>
        <v/>
      </c>
      <c r="Q123" s="64">
        <f>IF(O123&lt;&gt;"","Standards §6",IF(M123="HEADING ONLY","Derived from heading — PROVISIONAL",IF(M123="TEXT NOT IN REGISTRY","No text to derive from — PROVISIONAL","Derived from registered statement")))</f>
        <v/>
      </c>
      <c r="R123" s="64">
        <f>IF(OR(LEFT(G123,1)="A",L123="COUNTS",ISNUMBER(SEARCH("V1",P123)),ISNUMBER(SEARCH("V2",P123)),ISNUMBER(SEARCH("V5",P123))),"A — 100%","B — sample ≥ 30%")</f>
        <v/>
      </c>
      <c r="S123" s="67" t="n"/>
      <c r="T123" s="67" t="n"/>
      <c r="U123" s="67" t="n"/>
      <c r="V123" s="67" t="n"/>
      <c r="W123" s="67" t="n"/>
      <c r="X123" s="67" t="n"/>
    </row>
    <row r="124" ht="22.35" customHeight="1" s="45">
      <c r="A124" s="65" t="inlineStr">
        <is>
          <t>B5.4</t>
        </is>
      </c>
      <c r="B124" s="66" t="inlineStr">
        <is>
          <t>Doc 12</t>
        </is>
      </c>
      <c r="C124" s="66" t="inlineStr">
        <is>
          <t>CANON</t>
        </is>
      </c>
      <c r="D124" s="66" t="inlineStr">
        <is>
          <t>V7 — Document &amp; design inspection</t>
        </is>
      </c>
      <c r="E124" s="66" t="n"/>
      <c r="F124" s="66" t="inlineStr">
        <is>
          <t>Specification text against implementation description; provenance sections; objective card lines</t>
        </is>
      </c>
      <c r="G124" s="66" t="inlineStr">
        <is>
          <t>B — sample ≥ 30%</t>
        </is>
      </c>
      <c r="H124" s="67" t="n"/>
      <c r="I124" s="67" t="n"/>
      <c r="J124" s="67" t="n"/>
      <c r="K124" s="64">
        <f>IFERROR(INDEX('Status Map'!$B$2:$B$12,MATCH(C124,'Status Map'!$A$2:$A$12,0)),"UNDEFINED")</f>
        <v/>
      </c>
      <c r="L124" s="64">
        <f>IFERROR(INDEX('Status Map'!$C$2:$C$12,MATCH(C124,'Status Map'!$A$2:$A$12,0)),"UNDEFINED")</f>
        <v/>
      </c>
      <c r="M124" s="68" t="inlineStr">
        <is>
          <t>HEADING ONLY</t>
        </is>
      </c>
      <c r="N124" s="68" t="n"/>
      <c r="O124" s="68" t="n"/>
      <c r="P124" s="64">
        <f>IF(O124&lt;&gt;"",O124,LEFT(D124,2))</f>
        <v/>
      </c>
      <c r="Q124" s="64">
        <f>IF(O124&lt;&gt;"","Standards §6",IF(M124="HEADING ONLY","Derived from heading — PROVISIONAL",IF(M124="TEXT NOT IN REGISTRY","No text to derive from — PROVISIONAL","Derived from registered statement")))</f>
        <v/>
      </c>
      <c r="R124" s="64">
        <f>IF(OR(LEFT(G124,1)="A",L124="COUNTS",ISNUMBER(SEARCH("V1",P124)),ISNUMBER(SEARCH("V2",P124)),ISNUMBER(SEARCH("V5",P124))),"A — 100%","B — sample ≥ 30%")</f>
        <v/>
      </c>
      <c r="S124" s="67" t="n"/>
      <c r="T124" s="67" t="n"/>
      <c r="U124" s="67" t="n"/>
      <c r="V124" s="67" t="n"/>
      <c r="W124" s="67" t="n"/>
      <c r="X124" s="67" t="n"/>
    </row>
    <row r="125" ht="22.35" customHeight="1" s="45">
      <c r="A125" s="65" t="inlineStr">
        <is>
          <t>B5.5</t>
        </is>
      </c>
      <c r="B125" s="66" t="inlineStr">
        <is>
          <t>Doc 12</t>
        </is>
      </c>
      <c r="C125" s="66" t="inlineStr">
        <is>
          <t>CANON</t>
        </is>
      </c>
      <c r="D125" s="66" t="inlineStr">
        <is>
          <t>V7 — Document &amp; design inspection</t>
        </is>
      </c>
      <c r="E125" s="66" t="n"/>
      <c r="F125" s="66" t="inlineStr">
        <is>
          <t>Specification text against implementation description; provenance sections; objective card lines</t>
        </is>
      </c>
      <c r="G125" s="66" t="inlineStr">
        <is>
          <t>B — sample ≥ 30%</t>
        </is>
      </c>
      <c r="H125" s="67" t="n"/>
      <c r="I125" s="67" t="n"/>
      <c r="J125" s="67" t="n"/>
      <c r="K125" s="64">
        <f>IFERROR(INDEX('Status Map'!$B$2:$B$12,MATCH(C125,'Status Map'!$A$2:$A$12,0)),"UNDEFINED")</f>
        <v/>
      </c>
      <c r="L125" s="64">
        <f>IFERROR(INDEX('Status Map'!$C$2:$C$12,MATCH(C125,'Status Map'!$A$2:$A$12,0)),"UNDEFINED")</f>
        <v/>
      </c>
      <c r="M125" s="68" t="inlineStr">
        <is>
          <t>HEADING ONLY</t>
        </is>
      </c>
      <c r="N125" s="68" t="n"/>
      <c r="O125" s="68" t="n"/>
      <c r="P125" s="64">
        <f>IF(O125&lt;&gt;"",O125,LEFT(D125,2))</f>
        <v/>
      </c>
      <c r="Q125" s="64">
        <f>IF(O125&lt;&gt;"","Standards §6",IF(M125="HEADING ONLY","Derived from heading — PROVISIONAL",IF(M125="TEXT NOT IN REGISTRY","No text to derive from — PROVISIONAL","Derived from registered statement")))</f>
        <v/>
      </c>
      <c r="R125" s="64">
        <f>IF(OR(LEFT(G125,1)="A",L125="COUNTS",ISNUMBER(SEARCH("V1",P125)),ISNUMBER(SEARCH("V2",P125)),ISNUMBER(SEARCH("V5",P125))),"A — 100%","B — sample ≥ 30%")</f>
        <v/>
      </c>
      <c r="S125" s="67" t="n"/>
      <c r="T125" s="67" t="n"/>
      <c r="U125" s="67" t="n"/>
      <c r="V125" s="67" t="n"/>
      <c r="W125" s="67" t="n"/>
      <c r="X125" s="67" t="n"/>
    </row>
    <row r="126" ht="22.35" customHeight="1" s="45">
      <c r="A126" s="65" t="inlineStr">
        <is>
          <t>B5.6</t>
        </is>
      </c>
      <c r="B126" s="66" t="inlineStr">
        <is>
          <t>Doc 12</t>
        </is>
      </c>
      <c r="C126" s="66" t="inlineStr">
        <is>
          <t>RULED</t>
        </is>
      </c>
      <c r="D126" s="66" t="inlineStr">
        <is>
          <t>V7 — Document &amp; design inspection</t>
        </is>
      </c>
      <c r="E126" s="66" t="n"/>
      <c r="F126" s="66" t="inlineStr">
        <is>
          <t>Specification text against implementation description; provenance sections; objective card lines</t>
        </is>
      </c>
      <c r="G126" s="66" t="inlineStr">
        <is>
          <t>B — sample ≥ 30%</t>
        </is>
      </c>
      <c r="H126" s="67" t="n"/>
      <c r="I126" s="67" t="n"/>
      <c r="J126" s="67" t="n"/>
      <c r="K126" s="64">
        <f>IFERROR(INDEX('Status Map'!$B$2:$B$12,MATCH(C126,'Status Map'!$A$2:$A$12,0)),"UNDEFINED")</f>
        <v/>
      </c>
      <c r="L126" s="64">
        <f>IFERROR(INDEX('Status Map'!$C$2:$C$12,MATCH(C126,'Status Map'!$A$2:$A$12,0)),"UNDEFINED")</f>
        <v/>
      </c>
      <c r="M126" s="68" t="inlineStr">
        <is>
          <t>HEADING ONLY</t>
        </is>
      </c>
      <c r="N126" s="68" t="n"/>
      <c r="O126" s="68" t="n"/>
      <c r="P126" s="64">
        <f>IF(O126&lt;&gt;"",O126,LEFT(D126,2))</f>
        <v/>
      </c>
      <c r="Q126" s="64">
        <f>IF(O126&lt;&gt;"","Standards §6",IF(M126="HEADING ONLY","Derived from heading — PROVISIONAL",IF(M126="TEXT NOT IN REGISTRY","No text to derive from — PROVISIONAL","Derived from registered statement")))</f>
        <v/>
      </c>
      <c r="R126" s="64">
        <f>IF(OR(LEFT(G126,1)="A",L126="COUNTS",ISNUMBER(SEARCH("V1",P126)),ISNUMBER(SEARCH("V2",P126)),ISNUMBER(SEARCH("V5",P126))),"A — 100%","B — sample ≥ 30%")</f>
        <v/>
      </c>
      <c r="S126" s="67" t="n"/>
      <c r="T126" s="67" t="n"/>
      <c r="U126" s="67" t="n"/>
      <c r="V126" s="67" t="n"/>
      <c r="W126" s="67" t="n"/>
      <c r="X126" s="67" t="n"/>
    </row>
    <row r="127" ht="22.35" customHeight="1" s="45">
      <c r="A127" s="65" t="inlineStr">
        <is>
          <t>A5.1</t>
        </is>
      </c>
      <c r="B127" s="66" t="inlineStr">
        <is>
          <t>Doc 11</t>
        </is>
      </c>
      <c r="C127" s="66" t="inlineStr">
        <is>
          <t>CANON</t>
        </is>
      </c>
      <c r="D127" s="66" t="inlineStr">
        <is>
          <t>V7 — Document &amp; design inspection</t>
        </is>
      </c>
      <c r="E127" s="66" t="n"/>
      <c r="F127" s="66" t="inlineStr">
        <is>
          <t>Specification text against implementation description; provenance sections; objective card lines</t>
        </is>
      </c>
      <c r="G127" s="66" t="inlineStr">
        <is>
          <t>B — sample ≥ 30%</t>
        </is>
      </c>
      <c r="H127" s="67" t="n"/>
      <c r="I127" s="67" t="n"/>
      <c r="J127" s="67" t="n"/>
      <c r="K127" s="64">
        <f>IFERROR(INDEX('Status Map'!$B$2:$B$12,MATCH(C127,'Status Map'!$A$2:$A$12,0)),"UNDEFINED")</f>
        <v/>
      </c>
      <c r="L127" s="64">
        <f>IFERROR(INDEX('Status Map'!$C$2:$C$12,MATCH(C127,'Status Map'!$A$2:$A$12,0)),"UNDEFINED")</f>
        <v/>
      </c>
      <c r="M127" s="68" t="inlineStr">
        <is>
          <t>HEADING ONLY</t>
        </is>
      </c>
      <c r="N127" s="68" t="n"/>
      <c r="O127" s="68" t="n"/>
      <c r="P127" s="64">
        <f>IF(O127&lt;&gt;"",O127,LEFT(D127,2))</f>
        <v/>
      </c>
      <c r="Q127" s="64">
        <f>IF(O127&lt;&gt;"","Standards §6",IF(M127="HEADING ONLY","Derived from heading — PROVISIONAL",IF(M127="TEXT NOT IN REGISTRY","No text to derive from — PROVISIONAL","Derived from registered statement")))</f>
        <v/>
      </c>
      <c r="R127" s="64">
        <f>IF(OR(LEFT(G127,1)="A",L127="COUNTS",ISNUMBER(SEARCH("V1",P127)),ISNUMBER(SEARCH("V2",P127)),ISNUMBER(SEARCH("V5",P127))),"A — 100%","B — sample ≥ 30%")</f>
        <v/>
      </c>
      <c r="S127" s="67" t="n"/>
      <c r="T127" s="67" t="n"/>
      <c r="U127" s="67" t="n"/>
      <c r="V127" s="67" t="n"/>
      <c r="W127" s="67" t="n"/>
      <c r="X127" s="67" t="n"/>
    </row>
    <row r="128" ht="22.35" customHeight="1" s="45">
      <c r="A128" s="65" t="inlineStr">
        <is>
          <t>A5.2</t>
        </is>
      </c>
      <c r="B128" s="66" t="inlineStr">
        <is>
          <t>Doc 11</t>
        </is>
      </c>
      <c r="C128" s="66" t="inlineStr">
        <is>
          <t>CANON</t>
        </is>
      </c>
      <c r="D128" s="66" t="inlineStr">
        <is>
          <t>V7 — Document &amp; design inspection</t>
        </is>
      </c>
      <c r="E128" s="66" t="n"/>
      <c r="F128" s="66" t="inlineStr">
        <is>
          <t>Specification text against implementation description; provenance sections; objective card lines</t>
        </is>
      </c>
      <c r="G128" s="66" t="inlineStr">
        <is>
          <t>B — sample ≥ 30%</t>
        </is>
      </c>
      <c r="H128" s="67" t="n"/>
      <c r="I128" s="67" t="n"/>
      <c r="J128" s="67" t="n"/>
      <c r="K128" s="64">
        <f>IFERROR(INDEX('Status Map'!$B$2:$B$12,MATCH(C128,'Status Map'!$A$2:$A$12,0)),"UNDEFINED")</f>
        <v/>
      </c>
      <c r="L128" s="64">
        <f>IFERROR(INDEX('Status Map'!$C$2:$C$12,MATCH(C128,'Status Map'!$A$2:$A$12,0)),"UNDEFINED")</f>
        <v/>
      </c>
      <c r="M128" s="68" t="inlineStr">
        <is>
          <t>HEADING ONLY</t>
        </is>
      </c>
      <c r="N128" s="68" t="n"/>
      <c r="O128" s="68" t="n"/>
      <c r="P128" s="64">
        <f>IF(O128&lt;&gt;"",O128,LEFT(D128,2))</f>
        <v/>
      </c>
      <c r="Q128" s="64">
        <f>IF(O128&lt;&gt;"","Standards §6",IF(M128="HEADING ONLY","Derived from heading — PROVISIONAL",IF(M128="TEXT NOT IN REGISTRY","No text to derive from — PROVISIONAL","Derived from registered statement")))</f>
        <v/>
      </c>
      <c r="R128" s="64">
        <f>IF(OR(LEFT(G128,1)="A",L128="COUNTS",ISNUMBER(SEARCH("V1",P128)),ISNUMBER(SEARCH("V2",P128)),ISNUMBER(SEARCH("V5",P128))),"A — 100%","B — sample ≥ 30%")</f>
        <v/>
      </c>
      <c r="S128" s="67" t="n"/>
      <c r="T128" s="67" t="n"/>
      <c r="U128" s="67" t="n"/>
      <c r="V128" s="67" t="n"/>
      <c r="W128" s="67" t="n"/>
      <c r="X128" s="67" t="n"/>
    </row>
    <row r="129" ht="22.35" customHeight="1" s="45">
      <c r="A129" s="65" t="inlineStr">
        <is>
          <t>A5.3</t>
        </is>
      </c>
      <c r="B129" s="66" t="inlineStr">
        <is>
          <t>Doc 11</t>
        </is>
      </c>
      <c r="C129" s="66" t="inlineStr">
        <is>
          <t>CANON</t>
        </is>
      </c>
      <c r="D129" s="66" t="inlineStr">
        <is>
          <t>V7 — Document &amp; design inspection</t>
        </is>
      </c>
      <c r="E129" s="66" t="n"/>
      <c r="F129" s="66" t="inlineStr">
        <is>
          <t>Specification text against implementation description; provenance sections; objective card lines</t>
        </is>
      </c>
      <c r="G129" s="66" t="inlineStr">
        <is>
          <t>B — sample ≥ 30%</t>
        </is>
      </c>
      <c r="H129" s="67" t="n"/>
      <c r="I129" s="67" t="n"/>
      <c r="J129" s="67" t="n"/>
      <c r="K129" s="64">
        <f>IFERROR(INDEX('Status Map'!$B$2:$B$12,MATCH(C129,'Status Map'!$A$2:$A$12,0)),"UNDEFINED")</f>
        <v/>
      </c>
      <c r="L129" s="64">
        <f>IFERROR(INDEX('Status Map'!$C$2:$C$12,MATCH(C129,'Status Map'!$A$2:$A$12,0)),"UNDEFINED")</f>
        <v/>
      </c>
      <c r="M129" s="68" t="inlineStr">
        <is>
          <t>HEADING ONLY</t>
        </is>
      </c>
      <c r="N129" s="68" t="n"/>
      <c r="O129" s="68" t="n"/>
      <c r="P129" s="64">
        <f>IF(O129&lt;&gt;"",O129,LEFT(D129,2))</f>
        <v/>
      </c>
      <c r="Q129" s="64">
        <f>IF(O129&lt;&gt;"","Standards §6",IF(M129="HEADING ONLY","Derived from heading — PROVISIONAL",IF(M129="TEXT NOT IN REGISTRY","No text to derive from — PROVISIONAL","Derived from registered statement")))</f>
        <v/>
      </c>
      <c r="R129" s="64">
        <f>IF(OR(LEFT(G129,1)="A",L129="COUNTS",ISNUMBER(SEARCH("V1",P129)),ISNUMBER(SEARCH("V2",P129)),ISNUMBER(SEARCH("V5",P129))),"A — 100%","B — sample ≥ 30%")</f>
        <v/>
      </c>
      <c r="S129" s="67" t="n"/>
      <c r="T129" s="67" t="n"/>
      <c r="U129" s="67" t="n"/>
      <c r="V129" s="67" t="n"/>
      <c r="W129" s="67" t="n"/>
      <c r="X129" s="67" t="n"/>
    </row>
    <row r="130" ht="22.35" customHeight="1" s="45">
      <c r="A130" s="65" t="inlineStr">
        <is>
          <t>A5.4</t>
        </is>
      </c>
      <c r="B130" s="66" t="inlineStr">
        <is>
          <t>Doc 11</t>
        </is>
      </c>
      <c r="C130" s="66" t="inlineStr">
        <is>
          <t>CANON</t>
        </is>
      </c>
      <c r="D130" s="66" t="inlineStr">
        <is>
          <t>V7 — Document &amp; design inspection</t>
        </is>
      </c>
      <c r="E130" s="66" t="n"/>
      <c r="F130" s="66" t="inlineStr">
        <is>
          <t>Specification text against implementation description; provenance sections; objective card lines</t>
        </is>
      </c>
      <c r="G130" s="66" t="inlineStr">
        <is>
          <t>B — sample ≥ 30%</t>
        </is>
      </c>
      <c r="H130" s="67" t="n"/>
      <c r="I130" s="67" t="n"/>
      <c r="J130" s="67" t="n"/>
      <c r="K130" s="64">
        <f>IFERROR(INDEX('Status Map'!$B$2:$B$12,MATCH(C130,'Status Map'!$A$2:$A$12,0)),"UNDEFINED")</f>
        <v/>
      </c>
      <c r="L130" s="64">
        <f>IFERROR(INDEX('Status Map'!$C$2:$C$12,MATCH(C130,'Status Map'!$A$2:$A$12,0)),"UNDEFINED")</f>
        <v/>
      </c>
      <c r="M130" s="68" t="inlineStr">
        <is>
          <t>HEADING ONLY</t>
        </is>
      </c>
      <c r="N130" s="68" t="n"/>
      <c r="O130" s="68" t="n"/>
      <c r="P130" s="64">
        <f>IF(O130&lt;&gt;"",O130,LEFT(D130,2))</f>
        <v/>
      </c>
      <c r="Q130" s="64">
        <f>IF(O130&lt;&gt;"","Standards §6",IF(M130="HEADING ONLY","Derived from heading — PROVISIONAL",IF(M130="TEXT NOT IN REGISTRY","No text to derive from — PROVISIONAL","Derived from registered statement")))</f>
        <v/>
      </c>
      <c r="R130" s="64">
        <f>IF(OR(LEFT(G130,1)="A",L130="COUNTS",ISNUMBER(SEARCH("V1",P130)),ISNUMBER(SEARCH("V2",P130)),ISNUMBER(SEARCH("V5",P130))),"A — 100%","B — sample ≥ 30%")</f>
        <v/>
      </c>
      <c r="S130" s="67" t="n"/>
      <c r="T130" s="67" t="n"/>
      <c r="U130" s="67" t="n"/>
      <c r="V130" s="67" t="n"/>
      <c r="W130" s="67" t="n"/>
      <c r="X130" s="67" t="n"/>
    </row>
    <row r="131" ht="22.35" customHeight="1" s="45">
      <c r="A131" s="65" t="inlineStr">
        <is>
          <t>A5.5</t>
        </is>
      </c>
      <c r="B131" s="66" t="inlineStr">
        <is>
          <t>Doc 11</t>
        </is>
      </c>
      <c r="C131" s="66" t="inlineStr">
        <is>
          <t>PROPOSED</t>
        </is>
      </c>
      <c r="D131" s="66" t="inlineStr">
        <is>
          <t>V7 — Document &amp; design inspection</t>
        </is>
      </c>
      <c r="E131" s="66" t="n"/>
      <c r="F131" s="66" t="inlineStr">
        <is>
          <t>Specification text against implementation description; provenance sections; objective card lines</t>
        </is>
      </c>
      <c r="G131" s="66" t="inlineStr">
        <is>
          <t>B — sample ≥ 30%</t>
        </is>
      </c>
      <c r="H131" s="67" t="n"/>
      <c r="I131" s="67" t="n"/>
      <c r="J131" s="67" t="n"/>
      <c r="K131" s="64">
        <f>IFERROR(INDEX('Status Map'!$B$2:$B$12,MATCH(C131,'Status Map'!$A$2:$A$12,0)),"UNDEFINED")</f>
        <v/>
      </c>
      <c r="L131" s="64">
        <f>IFERROR(INDEX('Status Map'!$C$2:$C$12,MATCH(C131,'Status Map'!$A$2:$A$12,0)),"UNDEFINED")</f>
        <v/>
      </c>
      <c r="M131" s="68" t="inlineStr">
        <is>
          <t>HEADING ONLY</t>
        </is>
      </c>
      <c r="N131" s="68" t="n"/>
      <c r="O131" s="68" t="n"/>
      <c r="P131" s="64">
        <f>IF(O131&lt;&gt;"",O131,LEFT(D131,2))</f>
        <v/>
      </c>
      <c r="Q131" s="64">
        <f>IF(O131&lt;&gt;"","Standards §6",IF(M131="HEADING ONLY","Derived from heading — PROVISIONAL",IF(M131="TEXT NOT IN REGISTRY","No text to derive from — PROVISIONAL","Derived from registered statement")))</f>
        <v/>
      </c>
      <c r="R131" s="64">
        <f>IF(OR(LEFT(G131,1)="A",L131="COUNTS",ISNUMBER(SEARCH("V1",P131)),ISNUMBER(SEARCH("V2",P131)),ISNUMBER(SEARCH("V5",P131))),"A — 100%","B — sample ≥ 30%")</f>
        <v/>
      </c>
      <c r="S131" s="67" t="n"/>
      <c r="T131" s="67" t="n"/>
      <c r="U131" s="67" t="n"/>
      <c r="V131" s="67" t="n"/>
      <c r="W131" s="67" t="n"/>
      <c r="X131" s="67" t="n"/>
    </row>
    <row r="132" ht="22.35" customHeight="1" s="45">
      <c r="A132" s="65" t="inlineStr">
        <is>
          <t>B1.1</t>
        </is>
      </c>
      <c r="B132" s="66" t="inlineStr">
        <is>
          <t>Doc 11</t>
        </is>
      </c>
      <c r="C132" s="66" t="inlineStr">
        <is>
          <t>PROPOSED</t>
        </is>
      </c>
      <c r="D132" s="66" t="inlineStr">
        <is>
          <t>V7 — Document &amp; design inspection</t>
        </is>
      </c>
      <c r="E132" s="66" t="n"/>
      <c r="F132" s="66" t="inlineStr">
        <is>
          <t>Specification text against implementation description; provenance sections; objective card lines</t>
        </is>
      </c>
      <c r="G132" s="66" t="inlineStr">
        <is>
          <t>B — sample ≥ 30%</t>
        </is>
      </c>
      <c r="H132" s="67" t="n"/>
      <c r="I132" s="67" t="n"/>
      <c r="J132" s="67" t="n"/>
      <c r="K132" s="64">
        <f>IFERROR(INDEX('Status Map'!$B$2:$B$12,MATCH(C132,'Status Map'!$A$2:$A$12,0)),"UNDEFINED")</f>
        <v/>
      </c>
      <c r="L132" s="64">
        <f>IFERROR(INDEX('Status Map'!$C$2:$C$12,MATCH(C132,'Status Map'!$A$2:$A$12,0)),"UNDEFINED")</f>
        <v/>
      </c>
      <c r="M132" s="68" t="inlineStr">
        <is>
          <t>HEADING ONLY</t>
        </is>
      </c>
      <c r="N132" s="68" t="n"/>
      <c r="O132" s="68" t="n"/>
      <c r="P132" s="64">
        <f>IF(O132&lt;&gt;"",O132,LEFT(D132,2))</f>
        <v/>
      </c>
      <c r="Q132" s="64">
        <f>IF(O132&lt;&gt;"","Standards §6",IF(M132="HEADING ONLY","Derived from heading — PROVISIONAL",IF(M132="TEXT NOT IN REGISTRY","No text to derive from — PROVISIONAL","Derived from registered statement")))</f>
        <v/>
      </c>
      <c r="R132" s="64">
        <f>IF(OR(LEFT(G132,1)="A",L132="COUNTS",ISNUMBER(SEARCH("V1",P132)),ISNUMBER(SEARCH("V2",P132)),ISNUMBER(SEARCH("V5",P132))),"A — 100%","B — sample ≥ 30%")</f>
        <v/>
      </c>
      <c r="S132" s="67" t="n"/>
      <c r="T132" s="67" t="n"/>
      <c r="U132" s="67" t="n"/>
      <c r="V132" s="67" t="n"/>
      <c r="W132" s="67" t="n"/>
      <c r="X132" s="67" t="n"/>
    </row>
    <row r="133" ht="22.35" customHeight="1" s="45">
      <c r="A133" s="65" t="inlineStr">
        <is>
          <t>B1.2</t>
        </is>
      </c>
      <c r="B133" s="66" t="inlineStr">
        <is>
          <t>Doc 11</t>
        </is>
      </c>
      <c r="C133" s="66" t="inlineStr">
        <is>
          <t>PROPOSED</t>
        </is>
      </c>
      <c r="D133" s="66" t="inlineStr">
        <is>
          <t>V7 — Document &amp; design inspection</t>
        </is>
      </c>
      <c r="E133" s="66" t="n"/>
      <c r="F133" s="66" t="inlineStr">
        <is>
          <t>Specification text against implementation description; provenance sections; objective card lines</t>
        </is>
      </c>
      <c r="G133" s="66" t="inlineStr">
        <is>
          <t>B — sample ≥ 30%</t>
        </is>
      </c>
      <c r="H133" s="67" t="n"/>
      <c r="I133" s="67" t="n"/>
      <c r="J133" s="67" t="n"/>
      <c r="K133" s="64">
        <f>IFERROR(INDEX('Status Map'!$B$2:$B$12,MATCH(C133,'Status Map'!$A$2:$A$12,0)),"UNDEFINED")</f>
        <v/>
      </c>
      <c r="L133" s="64">
        <f>IFERROR(INDEX('Status Map'!$C$2:$C$12,MATCH(C133,'Status Map'!$A$2:$A$12,0)),"UNDEFINED")</f>
        <v/>
      </c>
      <c r="M133" s="68" t="inlineStr">
        <is>
          <t>HEADING ONLY</t>
        </is>
      </c>
      <c r="N133" s="68" t="n"/>
      <c r="O133" s="68" t="n"/>
      <c r="P133" s="64">
        <f>IF(O133&lt;&gt;"",O133,LEFT(D133,2))</f>
        <v/>
      </c>
      <c r="Q133" s="64">
        <f>IF(O133&lt;&gt;"","Standards §6",IF(M133="HEADING ONLY","Derived from heading — PROVISIONAL",IF(M133="TEXT NOT IN REGISTRY","No text to derive from — PROVISIONAL","Derived from registered statement")))</f>
        <v/>
      </c>
      <c r="R133" s="64">
        <f>IF(OR(LEFT(G133,1)="A",L133="COUNTS",ISNUMBER(SEARCH("V1",P133)),ISNUMBER(SEARCH("V2",P133)),ISNUMBER(SEARCH("V5",P133))),"A — 100%","B — sample ≥ 30%")</f>
        <v/>
      </c>
      <c r="S133" s="67" t="n"/>
      <c r="T133" s="67" t="n"/>
      <c r="U133" s="67" t="n"/>
      <c r="V133" s="67" t="n"/>
      <c r="W133" s="67" t="n"/>
      <c r="X133" s="67" t="n"/>
    </row>
    <row r="134" ht="32.8" customHeight="1" s="45">
      <c r="A134" s="65" t="inlineStr">
        <is>
          <t>B1.3</t>
        </is>
      </c>
      <c r="B134" s="66" t="inlineStr">
        <is>
          <t>Doc 11</t>
        </is>
      </c>
      <c r="C134" s="66" t="inlineStr">
        <is>
          <t>PROPOSED</t>
        </is>
      </c>
      <c r="D134" s="66" t="inlineStr">
        <is>
          <t>V5 — Failure-injection demonstration</t>
        </is>
      </c>
      <c r="E134" s="66" t="n"/>
      <c r="F134" s="66" t="inlineStr">
        <is>
          <t>Dependency made unreachable or check made to error; observed refusal; no result returned; stale marker where degradation is the ruled posture</t>
        </is>
      </c>
      <c r="G134" s="66" t="inlineStr">
        <is>
          <t>A — 100%</t>
        </is>
      </c>
      <c r="H134" s="67" t="n"/>
      <c r="I134" s="67" t="n"/>
      <c r="J134" s="67" t="n"/>
      <c r="K134" s="64">
        <f>IFERROR(INDEX('Status Map'!$B$2:$B$12,MATCH(C134,'Status Map'!$A$2:$A$12,0)),"UNDEFINED")</f>
        <v/>
      </c>
      <c r="L134" s="64">
        <f>IFERROR(INDEX('Status Map'!$C$2:$C$12,MATCH(C134,'Status Map'!$A$2:$A$12,0)),"UNDEFINED")</f>
        <v/>
      </c>
      <c r="M134" s="68" t="inlineStr">
        <is>
          <t>HEADING ONLY</t>
        </is>
      </c>
      <c r="N134" s="68" t="n"/>
      <c r="O134" s="68" t="n"/>
      <c r="P134" s="64">
        <f>IF(O134&lt;&gt;"",O134,LEFT(D134,2))</f>
        <v/>
      </c>
      <c r="Q134" s="64">
        <f>IF(O134&lt;&gt;"","Standards §6",IF(M134="HEADING ONLY","Derived from heading — PROVISIONAL",IF(M134="TEXT NOT IN REGISTRY","No text to derive from — PROVISIONAL","Derived from registered statement")))</f>
        <v/>
      </c>
      <c r="R134" s="64">
        <f>IF(OR(LEFT(G134,1)="A",L134="COUNTS",ISNUMBER(SEARCH("V1",P134)),ISNUMBER(SEARCH("V2",P134)),ISNUMBER(SEARCH("V5",P134))),"A — 100%","B — sample ≥ 30%")</f>
        <v/>
      </c>
      <c r="S134" s="67" t="n"/>
      <c r="T134" s="67" t="n"/>
      <c r="U134" s="67" t="n"/>
      <c r="V134" s="67" t="n"/>
      <c r="W134" s="67" t="n"/>
      <c r="X134" s="67" t="n"/>
    </row>
    <row r="135" ht="22.35" customHeight="1" s="45">
      <c r="A135" s="65" t="inlineStr">
        <is>
          <t>B1.4</t>
        </is>
      </c>
      <c r="B135" s="66" t="inlineStr">
        <is>
          <t>Doc 11</t>
        </is>
      </c>
      <c r="C135" s="66" t="inlineStr">
        <is>
          <t>PROPOSED</t>
        </is>
      </c>
      <c r="D135" s="66" t="inlineStr">
        <is>
          <t>V7 — Document &amp; design inspection</t>
        </is>
      </c>
      <c r="E135" s="66" t="n"/>
      <c r="F135" s="66" t="inlineStr">
        <is>
          <t>Specification text against implementation description; provenance sections; objective card lines</t>
        </is>
      </c>
      <c r="G135" s="66" t="inlineStr">
        <is>
          <t>B — sample ≥ 30%</t>
        </is>
      </c>
      <c r="H135" s="67" t="n"/>
      <c r="I135" s="67" t="n"/>
      <c r="J135" s="67" t="n"/>
      <c r="K135" s="64">
        <f>IFERROR(INDEX('Status Map'!$B$2:$B$12,MATCH(C135,'Status Map'!$A$2:$A$12,0)),"UNDEFINED")</f>
        <v/>
      </c>
      <c r="L135" s="64">
        <f>IFERROR(INDEX('Status Map'!$C$2:$C$12,MATCH(C135,'Status Map'!$A$2:$A$12,0)),"UNDEFINED")</f>
        <v/>
      </c>
      <c r="M135" s="68" t="inlineStr">
        <is>
          <t>HEADING ONLY</t>
        </is>
      </c>
      <c r="N135" s="68" t="n"/>
      <c r="O135" s="68" t="n"/>
      <c r="P135" s="64">
        <f>IF(O135&lt;&gt;"",O135,LEFT(D135,2))</f>
        <v/>
      </c>
      <c r="Q135" s="64">
        <f>IF(O135&lt;&gt;"","Standards §6",IF(M135="HEADING ONLY","Derived from heading — PROVISIONAL",IF(M135="TEXT NOT IN REGISTRY","No text to derive from — PROVISIONAL","Derived from registered statement")))</f>
        <v/>
      </c>
      <c r="R135" s="64">
        <f>IF(OR(LEFT(G135,1)="A",L135="COUNTS",ISNUMBER(SEARCH("V1",P135)),ISNUMBER(SEARCH("V2",P135)),ISNUMBER(SEARCH("V5",P135))),"A — 100%","B — sample ≥ 30%")</f>
        <v/>
      </c>
      <c r="S135" s="67" t="n"/>
      <c r="T135" s="67" t="n"/>
      <c r="U135" s="67" t="n"/>
      <c r="V135" s="67" t="n"/>
      <c r="W135" s="67" t="n"/>
      <c r="X135" s="67" t="n"/>
    </row>
    <row r="136" ht="22.35" customHeight="1" s="45">
      <c r="A136" s="65" t="inlineStr">
        <is>
          <t>B2.1</t>
        </is>
      </c>
      <c r="B136" s="66" t="inlineStr">
        <is>
          <t>Doc 11</t>
        </is>
      </c>
      <c r="C136" s="66" t="inlineStr">
        <is>
          <t>PROPOSED</t>
        </is>
      </c>
      <c r="D136" s="66" t="inlineStr">
        <is>
          <t>V7 — Document &amp; design inspection</t>
        </is>
      </c>
      <c r="E136" s="66" t="n"/>
      <c r="F136" s="66" t="inlineStr">
        <is>
          <t>Specification text against implementation description; provenance sections; objective card lines</t>
        </is>
      </c>
      <c r="G136" s="66" t="inlineStr">
        <is>
          <t>B — sample ≥ 30%</t>
        </is>
      </c>
      <c r="H136" s="67" t="n"/>
      <c r="I136" s="67" t="n"/>
      <c r="J136" s="67" t="n"/>
      <c r="K136" s="64">
        <f>IFERROR(INDEX('Status Map'!$B$2:$B$12,MATCH(C136,'Status Map'!$A$2:$A$12,0)),"UNDEFINED")</f>
        <v/>
      </c>
      <c r="L136" s="64">
        <f>IFERROR(INDEX('Status Map'!$C$2:$C$12,MATCH(C136,'Status Map'!$A$2:$A$12,0)),"UNDEFINED")</f>
        <v/>
      </c>
      <c r="M136" s="68" t="inlineStr">
        <is>
          <t>HEADING ONLY</t>
        </is>
      </c>
      <c r="N136" s="68" t="n"/>
      <c r="O136" s="68" t="n"/>
      <c r="P136" s="64">
        <f>IF(O136&lt;&gt;"",O136,LEFT(D136,2))</f>
        <v/>
      </c>
      <c r="Q136" s="64">
        <f>IF(O136&lt;&gt;"","Standards §6",IF(M136="HEADING ONLY","Derived from heading — PROVISIONAL",IF(M136="TEXT NOT IN REGISTRY","No text to derive from — PROVISIONAL","Derived from registered statement")))</f>
        <v/>
      </c>
      <c r="R136" s="64">
        <f>IF(OR(LEFT(G136,1)="A",L136="COUNTS",ISNUMBER(SEARCH("V1",P136)),ISNUMBER(SEARCH("V2",P136)),ISNUMBER(SEARCH("V5",P136))),"A — 100%","B — sample ≥ 30%")</f>
        <v/>
      </c>
      <c r="S136" s="67" t="n"/>
      <c r="T136" s="67" t="n"/>
      <c r="U136" s="67" t="n"/>
      <c r="V136" s="67" t="n"/>
      <c r="W136" s="67" t="n"/>
      <c r="X136" s="67" t="n"/>
    </row>
    <row r="137" ht="22.35" customHeight="1" s="45">
      <c r="A137" s="65" t="inlineStr">
        <is>
          <t>B2.2</t>
        </is>
      </c>
      <c r="B137" s="66" t="inlineStr">
        <is>
          <t>Doc 11</t>
        </is>
      </c>
      <c r="C137" s="66" t="inlineStr">
        <is>
          <t>PROPOSED</t>
        </is>
      </c>
      <c r="D137" s="66" t="inlineStr">
        <is>
          <t>V7 — Document &amp; design inspection</t>
        </is>
      </c>
      <c r="E137" s="66" t="n"/>
      <c r="F137" s="66" t="inlineStr">
        <is>
          <t>Specification text against implementation description; provenance sections; objective card lines</t>
        </is>
      </c>
      <c r="G137" s="66" t="inlineStr">
        <is>
          <t>B — sample ≥ 30%</t>
        </is>
      </c>
      <c r="H137" s="67" t="n"/>
      <c r="I137" s="67" t="n"/>
      <c r="J137" s="67" t="n"/>
      <c r="K137" s="64">
        <f>IFERROR(INDEX('Status Map'!$B$2:$B$12,MATCH(C137,'Status Map'!$A$2:$A$12,0)),"UNDEFINED")</f>
        <v/>
      </c>
      <c r="L137" s="64">
        <f>IFERROR(INDEX('Status Map'!$C$2:$C$12,MATCH(C137,'Status Map'!$A$2:$A$12,0)),"UNDEFINED")</f>
        <v/>
      </c>
      <c r="M137" s="68" t="inlineStr">
        <is>
          <t>HEADING ONLY</t>
        </is>
      </c>
      <c r="N137" s="68" t="n"/>
      <c r="O137" s="68" t="n"/>
      <c r="P137" s="64">
        <f>IF(O137&lt;&gt;"",O137,LEFT(D137,2))</f>
        <v/>
      </c>
      <c r="Q137" s="64">
        <f>IF(O137&lt;&gt;"","Standards §6",IF(M137="HEADING ONLY","Derived from heading — PROVISIONAL",IF(M137="TEXT NOT IN REGISTRY","No text to derive from — PROVISIONAL","Derived from registered statement")))</f>
        <v/>
      </c>
      <c r="R137" s="64">
        <f>IF(OR(LEFT(G137,1)="A",L137="COUNTS",ISNUMBER(SEARCH("V1",P137)),ISNUMBER(SEARCH("V2",P137)),ISNUMBER(SEARCH("V5",P137))),"A — 100%","B — sample ≥ 30%")</f>
        <v/>
      </c>
      <c r="S137" s="67" t="n"/>
      <c r="T137" s="67" t="n"/>
      <c r="U137" s="67" t="n"/>
      <c r="V137" s="67" t="n"/>
      <c r="W137" s="67" t="n"/>
      <c r="X137" s="67" t="n"/>
    </row>
    <row r="138" ht="22.35" customHeight="1" s="45">
      <c r="A138" s="65" t="inlineStr">
        <is>
          <t>B2.3</t>
        </is>
      </c>
      <c r="B138" s="66" t="inlineStr">
        <is>
          <t>Doc 11</t>
        </is>
      </c>
      <c r="C138" s="66" t="inlineStr">
        <is>
          <t>PROPOSED</t>
        </is>
      </c>
      <c r="D138" s="66" t="inlineStr">
        <is>
          <t>V7 — Document &amp; design inspection</t>
        </is>
      </c>
      <c r="E138" s="66" t="n"/>
      <c r="F138" s="66" t="inlineStr">
        <is>
          <t>Specification text against implementation description; provenance sections; objective card lines</t>
        </is>
      </c>
      <c r="G138" s="66" t="inlineStr">
        <is>
          <t>B — sample ≥ 30%</t>
        </is>
      </c>
      <c r="H138" s="67" t="n"/>
      <c r="I138" s="67" t="n"/>
      <c r="J138" s="67" t="n"/>
      <c r="K138" s="64">
        <f>IFERROR(INDEX('Status Map'!$B$2:$B$12,MATCH(C138,'Status Map'!$A$2:$A$12,0)),"UNDEFINED")</f>
        <v/>
      </c>
      <c r="L138" s="64">
        <f>IFERROR(INDEX('Status Map'!$C$2:$C$12,MATCH(C138,'Status Map'!$A$2:$A$12,0)),"UNDEFINED")</f>
        <v/>
      </c>
      <c r="M138" s="68" t="inlineStr">
        <is>
          <t>HEADING ONLY</t>
        </is>
      </c>
      <c r="N138" s="68" t="n"/>
      <c r="O138" s="68" t="n"/>
      <c r="P138" s="64">
        <f>IF(O138&lt;&gt;"",O138,LEFT(D138,2))</f>
        <v/>
      </c>
      <c r="Q138" s="64">
        <f>IF(O138&lt;&gt;"","Standards §6",IF(M138="HEADING ONLY","Derived from heading — PROVISIONAL",IF(M138="TEXT NOT IN REGISTRY","No text to derive from — PROVISIONAL","Derived from registered statement")))</f>
        <v/>
      </c>
      <c r="R138" s="64">
        <f>IF(OR(LEFT(G138,1)="A",L138="COUNTS",ISNUMBER(SEARCH("V1",P138)),ISNUMBER(SEARCH("V2",P138)),ISNUMBER(SEARCH("V5",P138))),"A — 100%","B — sample ≥ 30%")</f>
        <v/>
      </c>
      <c r="S138" s="67" t="n"/>
      <c r="T138" s="67" t="n"/>
      <c r="U138" s="67" t="n"/>
      <c r="V138" s="67" t="n"/>
      <c r="W138" s="67" t="n"/>
      <c r="X138" s="67" t="n"/>
    </row>
    <row r="139" ht="22.35" customHeight="1" s="45">
      <c r="A139" s="65" t="inlineStr">
        <is>
          <t>B3.1</t>
        </is>
      </c>
      <c r="B139" s="66" t="inlineStr">
        <is>
          <t>Doc 11</t>
        </is>
      </c>
      <c r="C139" s="66" t="inlineStr">
        <is>
          <t>RULED</t>
        </is>
      </c>
      <c r="D139" s="66" t="inlineStr">
        <is>
          <t>V7 — Document &amp; design inspection</t>
        </is>
      </c>
      <c r="E139" s="66" t="n"/>
      <c r="F139" s="66" t="inlineStr">
        <is>
          <t>Specification text against implementation description; provenance sections; objective card lines</t>
        </is>
      </c>
      <c r="G139" s="66" t="inlineStr">
        <is>
          <t>B — sample ≥ 30%</t>
        </is>
      </c>
      <c r="H139" s="67" t="n"/>
      <c r="I139" s="67" t="n"/>
      <c r="J139" s="67" t="n"/>
      <c r="K139" s="64">
        <f>IFERROR(INDEX('Status Map'!$B$2:$B$12,MATCH(C139,'Status Map'!$A$2:$A$12,0)),"UNDEFINED")</f>
        <v/>
      </c>
      <c r="L139" s="64">
        <f>IFERROR(INDEX('Status Map'!$C$2:$C$12,MATCH(C139,'Status Map'!$A$2:$A$12,0)),"UNDEFINED")</f>
        <v/>
      </c>
      <c r="M139" s="68" t="inlineStr">
        <is>
          <t>HEADING ONLY</t>
        </is>
      </c>
      <c r="N139" s="68" t="n"/>
      <c r="O139" s="68" t="n"/>
      <c r="P139" s="64">
        <f>IF(O139&lt;&gt;"",O139,LEFT(D139,2))</f>
        <v/>
      </c>
      <c r="Q139" s="64">
        <f>IF(O139&lt;&gt;"","Standards §6",IF(M139="HEADING ONLY","Derived from heading — PROVISIONAL",IF(M139="TEXT NOT IN REGISTRY","No text to derive from — PROVISIONAL","Derived from registered statement")))</f>
        <v/>
      </c>
      <c r="R139" s="64">
        <f>IF(OR(LEFT(G139,1)="A",L139="COUNTS",ISNUMBER(SEARCH("V1",P139)),ISNUMBER(SEARCH("V2",P139)),ISNUMBER(SEARCH("V5",P139))),"A — 100%","B — sample ≥ 30%")</f>
        <v/>
      </c>
      <c r="S139" s="67" t="n"/>
      <c r="T139" s="67" t="n"/>
      <c r="U139" s="67" t="n"/>
      <c r="V139" s="67" t="n"/>
      <c r="W139" s="67" t="n"/>
      <c r="X139" s="67" t="n"/>
    </row>
    <row r="140" ht="22.35" customHeight="1" s="45">
      <c r="A140" s="65" t="inlineStr">
        <is>
          <t>B3.2</t>
        </is>
      </c>
      <c r="B140" s="66" t="inlineStr">
        <is>
          <t>Doc 11</t>
        </is>
      </c>
      <c r="C140" s="66" t="inlineStr">
        <is>
          <t>PROPOSED</t>
        </is>
      </c>
      <c r="D140" s="66" t="inlineStr">
        <is>
          <t>V7 — Document &amp; design inspection</t>
        </is>
      </c>
      <c r="E140" s="66" t="n"/>
      <c r="F140" s="66" t="inlineStr">
        <is>
          <t>Specification text against implementation description; provenance sections; objective card lines</t>
        </is>
      </c>
      <c r="G140" s="66" t="inlineStr">
        <is>
          <t>B — sample ≥ 30%</t>
        </is>
      </c>
      <c r="H140" s="67" t="n"/>
      <c r="I140" s="67" t="n"/>
      <c r="J140" s="67" t="n"/>
      <c r="K140" s="64">
        <f>IFERROR(INDEX('Status Map'!$B$2:$B$12,MATCH(C140,'Status Map'!$A$2:$A$12,0)),"UNDEFINED")</f>
        <v/>
      </c>
      <c r="L140" s="64">
        <f>IFERROR(INDEX('Status Map'!$C$2:$C$12,MATCH(C140,'Status Map'!$A$2:$A$12,0)),"UNDEFINED")</f>
        <v/>
      </c>
      <c r="M140" s="68" t="inlineStr">
        <is>
          <t>HEADING ONLY</t>
        </is>
      </c>
      <c r="N140" s="68" t="n"/>
      <c r="O140" s="68" t="n"/>
      <c r="P140" s="64">
        <f>IF(O140&lt;&gt;"",O140,LEFT(D140,2))</f>
        <v/>
      </c>
      <c r="Q140" s="64">
        <f>IF(O140&lt;&gt;"","Standards §6",IF(M140="HEADING ONLY","Derived from heading — PROVISIONAL",IF(M140="TEXT NOT IN REGISTRY","No text to derive from — PROVISIONAL","Derived from registered statement")))</f>
        <v/>
      </c>
      <c r="R140" s="64">
        <f>IF(OR(LEFT(G140,1)="A",L140="COUNTS",ISNUMBER(SEARCH("V1",P140)),ISNUMBER(SEARCH("V2",P140)),ISNUMBER(SEARCH("V5",P140))),"A — 100%","B — sample ≥ 30%")</f>
        <v/>
      </c>
      <c r="S140" s="67" t="n"/>
      <c r="T140" s="67" t="n"/>
      <c r="U140" s="67" t="n"/>
      <c r="V140" s="67" t="n"/>
      <c r="W140" s="67" t="n"/>
      <c r="X140" s="67" t="n"/>
    </row>
    <row r="141" ht="22.35" customHeight="1" s="45">
      <c r="A141" s="65" t="inlineStr">
        <is>
          <t>B4.1</t>
        </is>
      </c>
      <c r="B141" s="66" t="inlineStr">
        <is>
          <t>Doc 11</t>
        </is>
      </c>
      <c r="C141" s="66" t="inlineStr">
        <is>
          <t>PROPOSED</t>
        </is>
      </c>
      <c r="D141" s="66" t="inlineStr">
        <is>
          <t>V3 — Record evidence</t>
        </is>
      </c>
      <c r="E141" s="66" t="n"/>
      <c r="F141" s="66" t="inlineStr">
        <is>
          <t>Ledger rows inspected; hash-chain verifier receipt; refused operations present on identical terms</t>
        </is>
      </c>
      <c r="G141" s="66" t="inlineStr">
        <is>
          <t>B — sample ≥ 30%</t>
        </is>
      </c>
      <c r="H141" s="67" t="n"/>
      <c r="I141" s="67" t="n"/>
      <c r="J141" s="67" t="n"/>
      <c r="K141" s="64">
        <f>IFERROR(INDEX('Status Map'!$B$2:$B$12,MATCH(C141,'Status Map'!$A$2:$A$12,0)),"UNDEFINED")</f>
        <v/>
      </c>
      <c r="L141" s="64">
        <f>IFERROR(INDEX('Status Map'!$C$2:$C$12,MATCH(C141,'Status Map'!$A$2:$A$12,0)),"UNDEFINED")</f>
        <v/>
      </c>
      <c r="M141" s="68" t="inlineStr">
        <is>
          <t>HEADING ONLY</t>
        </is>
      </c>
      <c r="N141" s="68" t="n"/>
      <c r="O141" s="68" t="n"/>
      <c r="P141" s="64">
        <f>IF(O141&lt;&gt;"",O141,LEFT(D141,2))</f>
        <v/>
      </c>
      <c r="Q141" s="64">
        <f>IF(O141&lt;&gt;"","Standards §6",IF(M141="HEADING ONLY","Derived from heading — PROVISIONAL",IF(M141="TEXT NOT IN REGISTRY","No text to derive from — PROVISIONAL","Derived from registered statement")))</f>
        <v/>
      </c>
      <c r="R141" s="64">
        <f>IF(OR(LEFT(G141,1)="A",L141="COUNTS",ISNUMBER(SEARCH("V1",P141)),ISNUMBER(SEARCH("V2",P141)),ISNUMBER(SEARCH("V5",P141))),"A — 100%","B — sample ≥ 30%")</f>
        <v/>
      </c>
      <c r="S141" s="67" t="n"/>
      <c r="T141" s="67" t="n"/>
      <c r="U141" s="67" t="n"/>
      <c r="V141" s="67" t="n"/>
      <c r="W141" s="67" t="n"/>
      <c r="X141" s="67" t="n"/>
    </row>
    <row r="142" ht="22.35" customHeight="1" s="45">
      <c r="A142" s="65" t="inlineStr">
        <is>
          <t>B4.2</t>
        </is>
      </c>
      <c r="B142" s="66" t="inlineStr">
        <is>
          <t>Doc 11</t>
        </is>
      </c>
      <c r="C142" s="66" t="inlineStr">
        <is>
          <t>RULED</t>
        </is>
      </c>
      <c r="D142" s="66" t="inlineStr">
        <is>
          <t>V7 — Document &amp; design inspection</t>
        </is>
      </c>
      <c r="E142" s="66" t="n"/>
      <c r="F142" s="66" t="inlineStr">
        <is>
          <t>Specification text against implementation description; provenance sections; objective card lines</t>
        </is>
      </c>
      <c r="G142" s="66" t="inlineStr">
        <is>
          <t>B — sample ≥ 30%</t>
        </is>
      </c>
      <c r="H142" s="67" t="n"/>
      <c r="I142" s="67" t="n"/>
      <c r="J142" s="67" t="n"/>
      <c r="K142" s="64">
        <f>IFERROR(INDEX('Status Map'!$B$2:$B$12,MATCH(C142,'Status Map'!$A$2:$A$12,0)),"UNDEFINED")</f>
        <v/>
      </c>
      <c r="L142" s="64">
        <f>IFERROR(INDEX('Status Map'!$C$2:$C$12,MATCH(C142,'Status Map'!$A$2:$A$12,0)),"UNDEFINED")</f>
        <v/>
      </c>
      <c r="M142" s="68" t="inlineStr">
        <is>
          <t>HEADING ONLY</t>
        </is>
      </c>
      <c r="N142" s="68" t="n"/>
      <c r="O142" s="68" t="n"/>
      <c r="P142" s="64">
        <f>IF(O142&lt;&gt;"",O142,LEFT(D142,2))</f>
        <v/>
      </c>
      <c r="Q142" s="64">
        <f>IF(O142&lt;&gt;"","Standards §6",IF(M142="HEADING ONLY","Derived from heading — PROVISIONAL",IF(M142="TEXT NOT IN REGISTRY","No text to derive from — PROVISIONAL","Derived from registered statement")))</f>
        <v/>
      </c>
      <c r="R142" s="64">
        <f>IF(OR(LEFT(G142,1)="A",L142="COUNTS",ISNUMBER(SEARCH("V1",P142)),ISNUMBER(SEARCH("V2",P142)),ISNUMBER(SEARCH("V5",P142))),"A — 100%","B — sample ≥ 30%")</f>
        <v/>
      </c>
      <c r="S142" s="67" t="n"/>
      <c r="T142" s="67" t="n"/>
      <c r="U142" s="67" t="n"/>
      <c r="V142" s="67" t="n"/>
      <c r="W142" s="67" t="n"/>
      <c r="X142" s="67" t="n"/>
    </row>
    <row r="143" ht="22.35" customHeight="1" s="45">
      <c r="A143" s="65" t="inlineStr">
        <is>
          <t>B5.1</t>
        </is>
      </c>
      <c r="B143" s="66" t="inlineStr">
        <is>
          <t>Doc 13</t>
        </is>
      </c>
      <c r="C143" s="66" t="inlineStr">
        <is>
          <t>CANON</t>
        </is>
      </c>
      <c r="D143" s="66" t="inlineStr">
        <is>
          <t>V7 — Document &amp; design inspection</t>
        </is>
      </c>
      <c r="E143" s="66" t="n"/>
      <c r="F143" s="66" t="inlineStr">
        <is>
          <t>Specification text against implementation description; provenance sections; objective card lines</t>
        </is>
      </c>
      <c r="G143" s="66" t="inlineStr">
        <is>
          <t>B — sample ≥ 30%</t>
        </is>
      </c>
      <c r="H143" s="67" t="n"/>
      <c r="I143" s="67" t="n"/>
      <c r="J143" s="67" t="n"/>
      <c r="K143" s="64">
        <f>IFERROR(INDEX('Status Map'!$B$2:$B$12,MATCH(C143,'Status Map'!$A$2:$A$12,0)),"UNDEFINED")</f>
        <v/>
      </c>
      <c r="L143" s="64">
        <f>IFERROR(INDEX('Status Map'!$C$2:$C$12,MATCH(C143,'Status Map'!$A$2:$A$12,0)),"UNDEFINED")</f>
        <v/>
      </c>
      <c r="M143" s="68" t="inlineStr">
        <is>
          <t>HEADING ONLY</t>
        </is>
      </c>
      <c r="N143" s="68" t="n"/>
      <c r="O143" s="68" t="n"/>
      <c r="P143" s="64">
        <f>IF(O143&lt;&gt;"",O143,LEFT(D143,2))</f>
        <v/>
      </c>
      <c r="Q143" s="64">
        <f>IF(O143&lt;&gt;"","Standards §6",IF(M143="HEADING ONLY","Derived from heading — PROVISIONAL",IF(M143="TEXT NOT IN REGISTRY","No text to derive from — PROVISIONAL","Derived from registered statement")))</f>
        <v/>
      </c>
      <c r="R143" s="64">
        <f>IF(OR(LEFT(G143,1)="A",L143="COUNTS",ISNUMBER(SEARCH("V1",P143)),ISNUMBER(SEARCH("V2",P143)),ISNUMBER(SEARCH("V5",P143))),"A — 100%","B — sample ≥ 30%")</f>
        <v/>
      </c>
      <c r="S143" s="67" t="n"/>
      <c r="T143" s="67" t="n"/>
      <c r="U143" s="67" t="n"/>
      <c r="V143" s="67" t="n"/>
      <c r="W143" s="67" t="n"/>
      <c r="X143" s="67" t="n"/>
    </row>
    <row r="144" ht="22.35" customHeight="1" s="45">
      <c r="A144" s="65" t="inlineStr">
        <is>
          <t>B5.2</t>
        </is>
      </c>
      <c r="B144" s="66" t="inlineStr">
        <is>
          <t>Doc 13</t>
        </is>
      </c>
      <c r="C144" s="66" t="inlineStr">
        <is>
          <t>CANON</t>
        </is>
      </c>
      <c r="D144" s="66" t="inlineStr">
        <is>
          <t>V7 — Document &amp; design inspection</t>
        </is>
      </c>
      <c r="E144" s="66" t="n"/>
      <c r="F144" s="66" t="inlineStr">
        <is>
          <t>Specification text against implementation description; provenance sections; objective card lines</t>
        </is>
      </c>
      <c r="G144" s="66" t="inlineStr">
        <is>
          <t>B — sample ≥ 30%</t>
        </is>
      </c>
      <c r="H144" s="67" t="n"/>
      <c r="I144" s="67" t="n"/>
      <c r="J144" s="67" t="n"/>
      <c r="K144" s="64">
        <f>IFERROR(INDEX('Status Map'!$B$2:$B$12,MATCH(C144,'Status Map'!$A$2:$A$12,0)),"UNDEFINED")</f>
        <v/>
      </c>
      <c r="L144" s="64">
        <f>IFERROR(INDEX('Status Map'!$C$2:$C$12,MATCH(C144,'Status Map'!$A$2:$A$12,0)),"UNDEFINED")</f>
        <v/>
      </c>
      <c r="M144" s="68" t="inlineStr">
        <is>
          <t>HEADING ONLY</t>
        </is>
      </c>
      <c r="N144" s="68" t="n"/>
      <c r="O144" s="68" t="n"/>
      <c r="P144" s="64">
        <f>IF(O144&lt;&gt;"",O144,LEFT(D144,2))</f>
        <v/>
      </c>
      <c r="Q144" s="64">
        <f>IF(O144&lt;&gt;"","Standards §6",IF(M144="HEADING ONLY","Derived from heading — PROVISIONAL",IF(M144="TEXT NOT IN REGISTRY","No text to derive from — PROVISIONAL","Derived from registered statement")))</f>
        <v/>
      </c>
      <c r="R144" s="64">
        <f>IF(OR(LEFT(G144,1)="A",L144="COUNTS",ISNUMBER(SEARCH("V1",P144)),ISNUMBER(SEARCH("V2",P144)),ISNUMBER(SEARCH("V5",P144))),"A — 100%","B — sample ≥ 30%")</f>
        <v/>
      </c>
      <c r="S144" s="67" t="n"/>
      <c r="T144" s="67" t="n"/>
      <c r="U144" s="67" t="n"/>
      <c r="V144" s="67" t="n"/>
      <c r="W144" s="67" t="n"/>
      <c r="X144" s="67" t="n"/>
    </row>
    <row r="145" ht="22.35" customHeight="1" s="45">
      <c r="A145" s="65" t="inlineStr">
        <is>
          <t>B5.3</t>
        </is>
      </c>
      <c r="B145" s="66" t="inlineStr">
        <is>
          <t>Doc 13</t>
        </is>
      </c>
      <c r="C145" s="66" t="inlineStr">
        <is>
          <t>CANON</t>
        </is>
      </c>
      <c r="D145" s="66" t="inlineStr">
        <is>
          <t>V7 — Document &amp; design inspection</t>
        </is>
      </c>
      <c r="E145" s="66" t="n"/>
      <c r="F145" s="66" t="inlineStr">
        <is>
          <t>Specification text against implementation description; provenance sections; objective card lines</t>
        </is>
      </c>
      <c r="G145" s="66" t="inlineStr">
        <is>
          <t>B — sample ≥ 30%</t>
        </is>
      </c>
      <c r="H145" s="67" t="n"/>
      <c r="I145" s="67" t="n"/>
      <c r="J145" s="67" t="n"/>
      <c r="K145" s="64">
        <f>IFERROR(INDEX('Status Map'!$B$2:$B$12,MATCH(C145,'Status Map'!$A$2:$A$12,0)),"UNDEFINED")</f>
        <v/>
      </c>
      <c r="L145" s="64">
        <f>IFERROR(INDEX('Status Map'!$C$2:$C$12,MATCH(C145,'Status Map'!$A$2:$A$12,0)),"UNDEFINED")</f>
        <v/>
      </c>
      <c r="M145" s="68" t="inlineStr">
        <is>
          <t>HEADING ONLY</t>
        </is>
      </c>
      <c r="N145" s="68" t="n"/>
      <c r="O145" s="68" t="n"/>
      <c r="P145" s="64">
        <f>IF(O145&lt;&gt;"",O145,LEFT(D145,2))</f>
        <v/>
      </c>
      <c r="Q145" s="64">
        <f>IF(O145&lt;&gt;"","Standards §6",IF(M145="HEADING ONLY","Derived from heading — PROVISIONAL",IF(M145="TEXT NOT IN REGISTRY","No text to derive from — PROVISIONAL","Derived from registered statement")))</f>
        <v/>
      </c>
      <c r="R145" s="64">
        <f>IF(OR(LEFT(G145,1)="A",L145="COUNTS",ISNUMBER(SEARCH("V1",P145)),ISNUMBER(SEARCH("V2",P145)),ISNUMBER(SEARCH("V5",P145))),"A — 100%","B — sample ≥ 30%")</f>
        <v/>
      </c>
      <c r="S145" s="67" t="n"/>
      <c r="T145" s="67" t="n"/>
      <c r="U145" s="67" t="n"/>
      <c r="V145" s="67" t="n"/>
      <c r="W145" s="67" t="n"/>
      <c r="X145" s="67" t="n"/>
    </row>
    <row r="146" ht="22.35" customHeight="1" s="45">
      <c r="A146" s="65" t="inlineStr">
        <is>
          <t>B5.4</t>
        </is>
      </c>
      <c r="B146" s="66" t="inlineStr">
        <is>
          <t>Doc 13</t>
        </is>
      </c>
      <c r="C146" s="66" t="inlineStr">
        <is>
          <t>CANON</t>
        </is>
      </c>
      <c r="D146" s="66" t="inlineStr">
        <is>
          <t>V7 — Document &amp; design inspection</t>
        </is>
      </c>
      <c r="E146" s="66" t="n"/>
      <c r="F146" s="66" t="inlineStr">
        <is>
          <t>Specification text against implementation description; provenance sections; objective card lines</t>
        </is>
      </c>
      <c r="G146" s="66" t="inlineStr">
        <is>
          <t>B — sample ≥ 30%</t>
        </is>
      </c>
      <c r="H146" s="67" t="n"/>
      <c r="I146" s="67" t="n"/>
      <c r="J146" s="67" t="n"/>
      <c r="K146" s="64">
        <f>IFERROR(INDEX('Status Map'!$B$2:$B$12,MATCH(C146,'Status Map'!$A$2:$A$12,0)),"UNDEFINED")</f>
        <v/>
      </c>
      <c r="L146" s="64">
        <f>IFERROR(INDEX('Status Map'!$C$2:$C$12,MATCH(C146,'Status Map'!$A$2:$A$12,0)),"UNDEFINED")</f>
        <v/>
      </c>
      <c r="M146" s="68" t="inlineStr">
        <is>
          <t>HEADING ONLY</t>
        </is>
      </c>
      <c r="N146" s="68" t="n"/>
      <c r="O146" s="68" t="n"/>
      <c r="P146" s="64">
        <f>IF(O146&lt;&gt;"",O146,LEFT(D146,2))</f>
        <v/>
      </c>
      <c r="Q146" s="64">
        <f>IF(O146&lt;&gt;"","Standards §6",IF(M146="HEADING ONLY","Derived from heading — PROVISIONAL",IF(M146="TEXT NOT IN REGISTRY","No text to derive from — PROVISIONAL","Derived from registered statement")))</f>
        <v/>
      </c>
      <c r="R146" s="64">
        <f>IF(OR(LEFT(G146,1)="A",L146="COUNTS",ISNUMBER(SEARCH("V1",P146)),ISNUMBER(SEARCH("V2",P146)),ISNUMBER(SEARCH("V5",P146))),"A — 100%","B — sample ≥ 30%")</f>
        <v/>
      </c>
      <c r="S146" s="67" t="n"/>
      <c r="T146" s="67" t="n"/>
      <c r="U146" s="67" t="n"/>
      <c r="V146" s="67" t="n"/>
      <c r="W146" s="67" t="n"/>
      <c r="X146" s="67" t="n"/>
    </row>
    <row r="147" ht="22.35" customHeight="1" s="45">
      <c r="A147" s="65" t="inlineStr">
        <is>
          <t>B5.5</t>
        </is>
      </c>
      <c r="B147" s="66" t="inlineStr">
        <is>
          <t>Doc 13</t>
        </is>
      </c>
      <c r="C147" s="66" t="inlineStr">
        <is>
          <t>CANON</t>
        </is>
      </c>
      <c r="D147" s="66" t="inlineStr">
        <is>
          <t>V7 — Document &amp; design inspection</t>
        </is>
      </c>
      <c r="E147" s="66" t="n"/>
      <c r="F147" s="66" t="inlineStr">
        <is>
          <t>Specification text against implementation description; provenance sections; objective card lines</t>
        </is>
      </c>
      <c r="G147" s="66" t="inlineStr">
        <is>
          <t>B — sample ≥ 30%</t>
        </is>
      </c>
      <c r="H147" s="67" t="n"/>
      <c r="I147" s="67" t="n"/>
      <c r="J147" s="67" t="n"/>
      <c r="K147" s="64">
        <f>IFERROR(INDEX('Status Map'!$B$2:$B$12,MATCH(C147,'Status Map'!$A$2:$A$12,0)),"UNDEFINED")</f>
        <v/>
      </c>
      <c r="L147" s="64">
        <f>IFERROR(INDEX('Status Map'!$C$2:$C$12,MATCH(C147,'Status Map'!$A$2:$A$12,0)),"UNDEFINED")</f>
        <v/>
      </c>
      <c r="M147" s="68" t="inlineStr">
        <is>
          <t>HEADING ONLY</t>
        </is>
      </c>
      <c r="N147" s="68" t="n"/>
      <c r="O147" s="68" t="n"/>
      <c r="P147" s="64">
        <f>IF(O147&lt;&gt;"",O147,LEFT(D147,2))</f>
        <v/>
      </c>
      <c r="Q147" s="64">
        <f>IF(O147&lt;&gt;"","Standards §6",IF(M147="HEADING ONLY","Derived from heading — PROVISIONAL",IF(M147="TEXT NOT IN REGISTRY","No text to derive from — PROVISIONAL","Derived from registered statement")))</f>
        <v/>
      </c>
      <c r="R147" s="64">
        <f>IF(OR(LEFT(G147,1)="A",L147="COUNTS",ISNUMBER(SEARCH("V1",P147)),ISNUMBER(SEARCH("V2",P147)),ISNUMBER(SEARCH("V5",P147))),"A — 100%","B — sample ≥ 30%")</f>
        <v/>
      </c>
      <c r="S147" s="67" t="n"/>
      <c r="T147" s="67" t="n"/>
      <c r="U147" s="67" t="n"/>
      <c r="V147" s="67" t="n"/>
      <c r="W147" s="67" t="n"/>
      <c r="X147" s="67" t="n"/>
    </row>
    <row r="148" ht="22.35" customHeight="1" s="45">
      <c r="A148" s="65" t="inlineStr">
        <is>
          <t>B5.6</t>
        </is>
      </c>
      <c r="B148" s="66" t="inlineStr">
        <is>
          <t>Doc 13</t>
        </is>
      </c>
      <c r="C148" s="66" t="inlineStr">
        <is>
          <t>—</t>
        </is>
      </c>
      <c r="D148" s="66" t="inlineStr">
        <is>
          <t>V7 — Document &amp; design inspection</t>
        </is>
      </c>
      <c r="E148" s="66" t="n"/>
      <c r="F148" s="66" t="inlineStr">
        <is>
          <t>Specification text against implementation description; provenance sections; objective card lines</t>
        </is>
      </c>
      <c r="G148" s="66" t="inlineStr">
        <is>
          <t>B — sample ≥ 30%</t>
        </is>
      </c>
      <c r="H148" s="67" t="n"/>
      <c r="I148" s="67" t="n"/>
      <c r="J148" s="67" t="n"/>
      <c r="K148" s="64">
        <f>IFERROR(INDEX('Status Map'!$B$2:$B$12,MATCH(C148,'Status Map'!$A$2:$A$12,0)),"UNDEFINED")</f>
        <v/>
      </c>
      <c r="L148" s="64">
        <f>IFERROR(INDEX('Status Map'!$C$2:$C$12,MATCH(C148,'Status Map'!$A$2:$A$12,0)),"UNDEFINED")</f>
        <v/>
      </c>
      <c r="M148" s="68" t="inlineStr">
        <is>
          <t>HEADING ONLY</t>
        </is>
      </c>
      <c r="N148" s="68" t="n"/>
      <c r="O148" s="68" t="n"/>
      <c r="P148" s="64">
        <f>IF(O148&lt;&gt;"",O148,LEFT(D148,2))</f>
        <v/>
      </c>
      <c r="Q148" s="64">
        <f>IF(O148&lt;&gt;"","Standards §6",IF(M148="HEADING ONLY","Derived from heading — PROVISIONAL",IF(M148="TEXT NOT IN REGISTRY","No text to derive from — PROVISIONAL","Derived from registered statement")))</f>
        <v/>
      </c>
      <c r="R148" s="64">
        <f>IF(OR(LEFT(G148,1)="A",L148="COUNTS",ISNUMBER(SEARCH("V1",P148)),ISNUMBER(SEARCH("V2",P148)),ISNUMBER(SEARCH("V5",P148))),"A — 100%","B — sample ≥ 30%")</f>
        <v/>
      </c>
      <c r="S148" s="67" t="n"/>
      <c r="T148" s="67" t="n"/>
      <c r="U148" s="67" t="n"/>
      <c r="V148" s="67" t="n"/>
      <c r="W148" s="67" t="n"/>
      <c r="X148" s="67" t="n"/>
    </row>
    <row r="149" ht="22.35" customHeight="1" s="45">
      <c r="A149" s="65" t="inlineStr">
        <is>
          <t>A5.1</t>
        </is>
      </c>
      <c r="B149" s="66" t="inlineStr">
        <is>
          <t>Doc 13</t>
        </is>
      </c>
      <c r="C149" s="66" t="inlineStr">
        <is>
          <t>—</t>
        </is>
      </c>
      <c r="D149" s="66" t="inlineStr">
        <is>
          <t>V7 — Document &amp; design inspection</t>
        </is>
      </c>
      <c r="E149" s="66" t="n"/>
      <c r="F149" s="66" t="inlineStr">
        <is>
          <t>Specification text against implementation description; provenance sections; objective card lines</t>
        </is>
      </c>
      <c r="G149" s="66" t="inlineStr">
        <is>
          <t>B — sample ≥ 30%</t>
        </is>
      </c>
      <c r="H149" s="67" t="n"/>
      <c r="I149" s="67" t="n"/>
      <c r="J149" s="67" t="n"/>
      <c r="K149" s="64">
        <f>IFERROR(INDEX('Status Map'!$B$2:$B$12,MATCH(C149,'Status Map'!$A$2:$A$12,0)),"UNDEFINED")</f>
        <v/>
      </c>
      <c r="L149" s="64">
        <f>IFERROR(INDEX('Status Map'!$C$2:$C$12,MATCH(C149,'Status Map'!$A$2:$A$12,0)),"UNDEFINED")</f>
        <v/>
      </c>
      <c r="M149" s="68" t="inlineStr">
        <is>
          <t>HEADING ONLY</t>
        </is>
      </c>
      <c r="N149" s="68" t="n"/>
      <c r="O149" s="68" t="n"/>
      <c r="P149" s="64">
        <f>IF(O149&lt;&gt;"",O149,LEFT(D149,2))</f>
        <v/>
      </c>
      <c r="Q149" s="64">
        <f>IF(O149&lt;&gt;"","Standards §6",IF(M149="HEADING ONLY","Derived from heading — PROVISIONAL",IF(M149="TEXT NOT IN REGISTRY","No text to derive from — PROVISIONAL","Derived from registered statement")))</f>
        <v/>
      </c>
      <c r="R149" s="64">
        <f>IF(OR(LEFT(G149,1)="A",L149="COUNTS",ISNUMBER(SEARCH("V1",P149)),ISNUMBER(SEARCH("V2",P149)),ISNUMBER(SEARCH("V5",P149))),"A — 100%","B — sample ≥ 30%")</f>
        <v/>
      </c>
      <c r="S149" s="67" t="n"/>
      <c r="T149" s="67" t="n"/>
      <c r="U149" s="67" t="n"/>
      <c r="V149" s="67" t="n"/>
      <c r="W149" s="67" t="n"/>
      <c r="X149" s="67" t="n"/>
    </row>
    <row r="150" ht="22.35" customHeight="1" s="45">
      <c r="A150" s="65" t="inlineStr">
        <is>
          <t>A5.2</t>
        </is>
      </c>
      <c r="B150" s="66" t="inlineStr">
        <is>
          <t>Doc 13</t>
        </is>
      </c>
      <c r="C150" s="66" t="inlineStr">
        <is>
          <t>CANON</t>
        </is>
      </c>
      <c r="D150" s="66" t="inlineStr">
        <is>
          <t>V7 — Document &amp; design inspection</t>
        </is>
      </c>
      <c r="E150" s="66" t="n"/>
      <c r="F150" s="66" t="inlineStr">
        <is>
          <t>Specification text against implementation description; provenance sections; objective card lines</t>
        </is>
      </c>
      <c r="G150" s="66" t="inlineStr">
        <is>
          <t>B — sample ≥ 30%</t>
        </is>
      </c>
      <c r="H150" s="67" t="n"/>
      <c r="I150" s="67" t="n"/>
      <c r="J150" s="67" t="n"/>
      <c r="K150" s="64">
        <f>IFERROR(INDEX('Status Map'!$B$2:$B$12,MATCH(C150,'Status Map'!$A$2:$A$12,0)),"UNDEFINED")</f>
        <v/>
      </c>
      <c r="L150" s="64">
        <f>IFERROR(INDEX('Status Map'!$C$2:$C$12,MATCH(C150,'Status Map'!$A$2:$A$12,0)),"UNDEFINED")</f>
        <v/>
      </c>
      <c r="M150" s="68" t="inlineStr">
        <is>
          <t>HEADING ONLY</t>
        </is>
      </c>
      <c r="N150" s="68" t="n"/>
      <c r="O150" s="68" t="n"/>
      <c r="P150" s="64">
        <f>IF(O150&lt;&gt;"",O150,LEFT(D150,2))</f>
        <v/>
      </c>
      <c r="Q150" s="64">
        <f>IF(O150&lt;&gt;"","Standards §6",IF(M150="HEADING ONLY","Derived from heading — PROVISIONAL",IF(M150="TEXT NOT IN REGISTRY","No text to derive from — PROVISIONAL","Derived from registered statement")))</f>
        <v/>
      </c>
      <c r="R150" s="64">
        <f>IF(OR(LEFT(G150,1)="A",L150="COUNTS",ISNUMBER(SEARCH("V1",P150)),ISNUMBER(SEARCH("V2",P150)),ISNUMBER(SEARCH("V5",P150))),"A — 100%","B — sample ≥ 30%")</f>
        <v/>
      </c>
      <c r="S150" s="67" t="n"/>
      <c r="T150" s="67" t="n"/>
      <c r="U150" s="67" t="n"/>
      <c r="V150" s="67" t="n"/>
      <c r="W150" s="67" t="n"/>
      <c r="X150" s="67" t="n"/>
    </row>
    <row r="151" ht="22.35" customHeight="1" s="45">
      <c r="A151" s="65" t="inlineStr">
        <is>
          <t>A5.3</t>
        </is>
      </c>
      <c r="B151" s="66" t="inlineStr">
        <is>
          <t>Doc 13</t>
        </is>
      </c>
      <c r="C151" s="66" t="inlineStr">
        <is>
          <t>CANON</t>
        </is>
      </c>
      <c r="D151" s="66" t="inlineStr">
        <is>
          <t>V7 — Document &amp; design inspection</t>
        </is>
      </c>
      <c r="E151" s="66" t="n"/>
      <c r="F151" s="66" t="inlineStr">
        <is>
          <t>Specification text against implementation description; provenance sections; objective card lines</t>
        </is>
      </c>
      <c r="G151" s="66" t="inlineStr">
        <is>
          <t>B — sample ≥ 30%</t>
        </is>
      </c>
      <c r="H151" s="67" t="n"/>
      <c r="I151" s="67" t="n"/>
      <c r="J151" s="67" t="n"/>
      <c r="K151" s="64">
        <f>IFERROR(INDEX('Status Map'!$B$2:$B$12,MATCH(C151,'Status Map'!$A$2:$A$12,0)),"UNDEFINED")</f>
        <v/>
      </c>
      <c r="L151" s="64">
        <f>IFERROR(INDEX('Status Map'!$C$2:$C$12,MATCH(C151,'Status Map'!$A$2:$A$12,0)),"UNDEFINED")</f>
        <v/>
      </c>
      <c r="M151" s="68" t="inlineStr">
        <is>
          <t>HEADING ONLY</t>
        </is>
      </c>
      <c r="N151" s="68" t="n"/>
      <c r="O151" s="68" t="n"/>
      <c r="P151" s="64">
        <f>IF(O151&lt;&gt;"",O151,LEFT(D151,2))</f>
        <v/>
      </c>
      <c r="Q151" s="64">
        <f>IF(O151&lt;&gt;"","Standards §6",IF(M151="HEADING ONLY","Derived from heading — PROVISIONAL",IF(M151="TEXT NOT IN REGISTRY","No text to derive from — PROVISIONAL","Derived from registered statement")))</f>
        <v/>
      </c>
      <c r="R151" s="64">
        <f>IF(OR(LEFT(G151,1)="A",L151="COUNTS",ISNUMBER(SEARCH("V1",P151)),ISNUMBER(SEARCH("V2",P151)),ISNUMBER(SEARCH("V5",P151))),"A — 100%","B — sample ≥ 30%")</f>
        <v/>
      </c>
      <c r="S151" s="67" t="n"/>
      <c r="T151" s="67" t="n"/>
      <c r="U151" s="67" t="n"/>
      <c r="V151" s="67" t="n"/>
      <c r="W151" s="67" t="n"/>
      <c r="X151" s="67" t="n"/>
    </row>
    <row r="152" ht="22.35" customHeight="1" s="45">
      <c r="A152" s="65" t="inlineStr">
        <is>
          <t>A5.4</t>
        </is>
      </c>
      <c r="B152" s="66" t="inlineStr">
        <is>
          <t>Doc 13</t>
        </is>
      </c>
      <c r="C152" s="66" t="inlineStr">
        <is>
          <t>—</t>
        </is>
      </c>
      <c r="D152" s="66" t="inlineStr">
        <is>
          <t>V7 — Document &amp; design inspection</t>
        </is>
      </c>
      <c r="E152" s="66" t="n"/>
      <c r="F152" s="66" t="inlineStr">
        <is>
          <t>Specification text against implementation description; provenance sections; objective card lines</t>
        </is>
      </c>
      <c r="G152" s="66" t="inlineStr">
        <is>
          <t>B — sample ≥ 30%</t>
        </is>
      </c>
      <c r="H152" s="67" t="n"/>
      <c r="I152" s="67" t="n"/>
      <c r="J152" s="67" t="n"/>
      <c r="K152" s="64">
        <f>IFERROR(INDEX('Status Map'!$B$2:$B$12,MATCH(C152,'Status Map'!$A$2:$A$12,0)),"UNDEFINED")</f>
        <v/>
      </c>
      <c r="L152" s="64">
        <f>IFERROR(INDEX('Status Map'!$C$2:$C$12,MATCH(C152,'Status Map'!$A$2:$A$12,0)),"UNDEFINED")</f>
        <v/>
      </c>
      <c r="M152" s="68" t="inlineStr">
        <is>
          <t>HEADING ONLY</t>
        </is>
      </c>
      <c r="N152" s="68" t="n"/>
      <c r="O152" s="68" t="n"/>
      <c r="P152" s="64">
        <f>IF(O152&lt;&gt;"",O152,LEFT(D152,2))</f>
        <v/>
      </c>
      <c r="Q152" s="64">
        <f>IF(O152&lt;&gt;"","Standards §6",IF(M152="HEADING ONLY","Derived from heading — PROVISIONAL",IF(M152="TEXT NOT IN REGISTRY","No text to derive from — PROVISIONAL","Derived from registered statement")))</f>
        <v/>
      </c>
      <c r="R152" s="64">
        <f>IF(OR(LEFT(G152,1)="A",L152="COUNTS",ISNUMBER(SEARCH("V1",P152)),ISNUMBER(SEARCH("V2",P152)),ISNUMBER(SEARCH("V5",P152))),"A — 100%","B — sample ≥ 30%")</f>
        <v/>
      </c>
      <c r="S152" s="67" t="n"/>
      <c r="T152" s="67" t="n"/>
      <c r="U152" s="67" t="n"/>
      <c r="V152" s="67" t="n"/>
      <c r="W152" s="67" t="n"/>
      <c r="X152" s="67" t="n"/>
    </row>
    <row r="153" ht="22.35" customHeight="1" s="45">
      <c r="A153" s="65" t="inlineStr">
        <is>
          <t>A5.5</t>
        </is>
      </c>
      <c r="B153" s="66" t="inlineStr">
        <is>
          <t>Doc 13</t>
        </is>
      </c>
      <c r="C153" s="66" t="inlineStr">
        <is>
          <t>RULED</t>
        </is>
      </c>
      <c r="D153" s="66" t="inlineStr">
        <is>
          <t>V7 — Document &amp; design inspection</t>
        </is>
      </c>
      <c r="E153" s="66" t="n"/>
      <c r="F153" s="66" t="inlineStr">
        <is>
          <t>Specification text against implementation description; provenance sections; objective card lines</t>
        </is>
      </c>
      <c r="G153" s="66" t="inlineStr">
        <is>
          <t>B — sample ≥ 30%</t>
        </is>
      </c>
      <c r="H153" s="67" t="n"/>
      <c r="I153" s="67" t="n"/>
      <c r="J153" s="67" t="n"/>
      <c r="K153" s="64">
        <f>IFERROR(INDEX('Status Map'!$B$2:$B$12,MATCH(C153,'Status Map'!$A$2:$A$12,0)),"UNDEFINED")</f>
        <v/>
      </c>
      <c r="L153" s="64">
        <f>IFERROR(INDEX('Status Map'!$C$2:$C$12,MATCH(C153,'Status Map'!$A$2:$A$12,0)),"UNDEFINED")</f>
        <v/>
      </c>
      <c r="M153" s="68" t="inlineStr">
        <is>
          <t>HEADING ONLY</t>
        </is>
      </c>
      <c r="N153" s="68" t="n"/>
      <c r="O153" s="68" t="n"/>
      <c r="P153" s="64">
        <f>IF(O153&lt;&gt;"",O153,LEFT(D153,2))</f>
        <v/>
      </c>
      <c r="Q153" s="64">
        <f>IF(O153&lt;&gt;"","Standards §6",IF(M153="HEADING ONLY","Derived from heading — PROVISIONAL",IF(M153="TEXT NOT IN REGISTRY","No text to derive from — PROVISIONAL","Derived from registered statement")))</f>
        <v/>
      </c>
      <c r="R153" s="64">
        <f>IF(OR(LEFT(G153,1)="A",L153="COUNTS",ISNUMBER(SEARCH("V1",P153)),ISNUMBER(SEARCH("V2",P153)),ISNUMBER(SEARCH("V5",P153))),"A — 100%","B — sample ≥ 30%")</f>
        <v/>
      </c>
      <c r="S153" s="67" t="n"/>
      <c r="T153" s="67" t="n"/>
      <c r="U153" s="67" t="n"/>
      <c r="V153" s="67" t="n"/>
      <c r="W153" s="67" t="n"/>
      <c r="X153" s="67" t="n"/>
    </row>
    <row r="154" ht="22.35" customHeight="1" s="45">
      <c r="A154" s="65" t="inlineStr">
        <is>
          <t>A5.1</t>
        </is>
      </c>
      <c r="B154" s="66" t="inlineStr">
        <is>
          <t>Doc 14</t>
        </is>
      </c>
      <c r="C154" s="66" t="inlineStr">
        <is>
          <t>CANON</t>
        </is>
      </c>
      <c r="D154" s="66" t="inlineStr">
        <is>
          <t>V7 — Document &amp; design inspection</t>
        </is>
      </c>
      <c r="E154" s="66" t="n"/>
      <c r="F154" s="66" t="inlineStr">
        <is>
          <t>Specification text against implementation description; provenance sections; objective card lines</t>
        </is>
      </c>
      <c r="G154" s="66" t="inlineStr">
        <is>
          <t>B — sample ≥ 30%</t>
        </is>
      </c>
      <c r="H154" s="67" t="n"/>
      <c r="I154" s="67" t="n"/>
      <c r="J154" s="67" t="n"/>
      <c r="K154" s="64">
        <f>IFERROR(INDEX('Status Map'!$B$2:$B$12,MATCH(C154,'Status Map'!$A$2:$A$12,0)),"UNDEFINED")</f>
        <v/>
      </c>
      <c r="L154" s="64">
        <f>IFERROR(INDEX('Status Map'!$C$2:$C$12,MATCH(C154,'Status Map'!$A$2:$A$12,0)),"UNDEFINED")</f>
        <v/>
      </c>
      <c r="M154" s="68" t="inlineStr">
        <is>
          <t>HEADING ONLY</t>
        </is>
      </c>
      <c r="N154" s="68" t="n"/>
      <c r="O154" s="68" t="n"/>
      <c r="P154" s="64">
        <f>IF(O154&lt;&gt;"",O154,LEFT(D154,2))</f>
        <v/>
      </c>
      <c r="Q154" s="64">
        <f>IF(O154&lt;&gt;"","Standards §6",IF(M154="HEADING ONLY","Derived from heading — PROVISIONAL",IF(M154="TEXT NOT IN REGISTRY","No text to derive from — PROVISIONAL","Derived from registered statement")))</f>
        <v/>
      </c>
      <c r="R154" s="64">
        <f>IF(OR(LEFT(G154,1)="A",L154="COUNTS",ISNUMBER(SEARCH("V1",P154)),ISNUMBER(SEARCH("V2",P154)),ISNUMBER(SEARCH("V5",P154))),"A — 100%","B — sample ≥ 30%")</f>
        <v/>
      </c>
      <c r="S154" s="67" t="n"/>
      <c r="T154" s="67" t="n"/>
      <c r="U154" s="67" t="n"/>
      <c r="V154" s="67" t="n"/>
      <c r="W154" s="67" t="n"/>
      <c r="X154" s="67" t="n"/>
    </row>
    <row r="155" ht="22.35" customHeight="1" s="45">
      <c r="A155" s="65" t="inlineStr">
        <is>
          <t>A5.2</t>
        </is>
      </c>
      <c r="B155" s="66" t="inlineStr">
        <is>
          <t>Doc 14</t>
        </is>
      </c>
      <c r="C155" s="66" t="inlineStr">
        <is>
          <t>PROPOSED</t>
        </is>
      </c>
      <c r="D155" s="66" t="inlineStr">
        <is>
          <t>V7 — Document &amp; design inspection</t>
        </is>
      </c>
      <c r="E155" s="66" t="n"/>
      <c r="F155" s="66" t="inlineStr">
        <is>
          <t>Specification text against implementation description; provenance sections; objective card lines</t>
        </is>
      </c>
      <c r="G155" s="66" t="inlineStr">
        <is>
          <t>B — sample ≥ 30%</t>
        </is>
      </c>
      <c r="H155" s="67" t="n"/>
      <c r="I155" s="67" t="n"/>
      <c r="J155" s="67" t="n"/>
      <c r="K155" s="64">
        <f>IFERROR(INDEX('Status Map'!$B$2:$B$12,MATCH(C155,'Status Map'!$A$2:$A$12,0)),"UNDEFINED")</f>
        <v/>
      </c>
      <c r="L155" s="64">
        <f>IFERROR(INDEX('Status Map'!$C$2:$C$12,MATCH(C155,'Status Map'!$A$2:$A$12,0)),"UNDEFINED")</f>
        <v/>
      </c>
      <c r="M155" s="68" t="inlineStr">
        <is>
          <t>HEADING ONLY</t>
        </is>
      </c>
      <c r="N155" s="68" t="n"/>
      <c r="O155" s="68" t="n"/>
      <c r="P155" s="64">
        <f>IF(O155&lt;&gt;"",O155,LEFT(D155,2))</f>
        <v/>
      </c>
      <c r="Q155" s="64">
        <f>IF(O155&lt;&gt;"","Standards §6",IF(M155="HEADING ONLY","Derived from heading — PROVISIONAL",IF(M155="TEXT NOT IN REGISTRY","No text to derive from — PROVISIONAL","Derived from registered statement")))</f>
        <v/>
      </c>
      <c r="R155" s="64">
        <f>IF(OR(LEFT(G155,1)="A",L155="COUNTS",ISNUMBER(SEARCH("V1",P155)),ISNUMBER(SEARCH("V2",P155)),ISNUMBER(SEARCH("V5",P155))),"A — 100%","B — sample ≥ 30%")</f>
        <v/>
      </c>
      <c r="S155" s="67" t="n"/>
      <c r="T155" s="67" t="n"/>
      <c r="U155" s="67" t="n"/>
      <c r="V155" s="67" t="n"/>
      <c r="W155" s="67" t="n"/>
      <c r="X155" s="67" t="n"/>
    </row>
    <row r="156" ht="22.35" customHeight="1" s="45">
      <c r="A156" s="65" t="inlineStr">
        <is>
          <t>A5.3</t>
        </is>
      </c>
      <c r="B156" s="66" t="inlineStr">
        <is>
          <t>Doc 14</t>
        </is>
      </c>
      <c r="C156" s="66" t="inlineStr">
        <is>
          <t>PROPOSED</t>
        </is>
      </c>
      <c r="D156" s="66" t="inlineStr">
        <is>
          <t>V7 — Document &amp; design inspection</t>
        </is>
      </c>
      <c r="E156" s="66" t="n"/>
      <c r="F156" s="66" t="inlineStr">
        <is>
          <t>Specification text against implementation description; provenance sections; objective card lines</t>
        </is>
      </c>
      <c r="G156" s="66" t="inlineStr">
        <is>
          <t>B — sample ≥ 30%</t>
        </is>
      </c>
      <c r="H156" s="67" t="n"/>
      <c r="I156" s="67" t="n"/>
      <c r="J156" s="67" t="n"/>
      <c r="K156" s="64">
        <f>IFERROR(INDEX('Status Map'!$B$2:$B$12,MATCH(C156,'Status Map'!$A$2:$A$12,0)),"UNDEFINED")</f>
        <v/>
      </c>
      <c r="L156" s="64">
        <f>IFERROR(INDEX('Status Map'!$C$2:$C$12,MATCH(C156,'Status Map'!$A$2:$A$12,0)),"UNDEFINED")</f>
        <v/>
      </c>
      <c r="M156" s="68" t="inlineStr">
        <is>
          <t>HEADING ONLY</t>
        </is>
      </c>
      <c r="N156" s="68" t="n"/>
      <c r="O156" s="68" t="n"/>
      <c r="P156" s="64">
        <f>IF(O156&lt;&gt;"",O156,LEFT(D156,2))</f>
        <v/>
      </c>
      <c r="Q156" s="64">
        <f>IF(O156&lt;&gt;"","Standards §6",IF(M156="HEADING ONLY","Derived from heading — PROVISIONAL",IF(M156="TEXT NOT IN REGISTRY","No text to derive from — PROVISIONAL","Derived from registered statement")))</f>
        <v/>
      </c>
      <c r="R156" s="64">
        <f>IF(OR(LEFT(G156,1)="A",L156="COUNTS",ISNUMBER(SEARCH("V1",P156)),ISNUMBER(SEARCH("V2",P156)),ISNUMBER(SEARCH("V5",P156))),"A — 100%","B — sample ≥ 30%")</f>
        <v/>
      </c>
      <c r="S156" s="67" t="n"/>
      <c r="T156" s="67" t="n"/>
      <c r="U156" s="67" t="n"/>
      <c r="V156" s="67" t="n"/>
      <c r="W156" s="67" t="n"/>
      <c r="X156" s="67" t="n"/>
    </row>
    <row r="157" ht="22.35" customHeight="1" s="45">
      <c r="A157" s="65" t="inlineStr">
        <is>
          <t>B5.1</t>
        </is>
      </c>
      <c r="B157" s="66" t="inlineStr">
        <is>
          <t>Doc 14</t>
        </is>
      </c>
      <c r="C157" s="66" t="inlineStr">
        <is>
          <t>—</t>
        </is>
      </c>
      <c r="D157" s="66" t="inlineStr">
        <is>
          <t>V7 — Document &amp; design inspection</t>
        </is>
      </c>
      <c r="E157" s="66" t="n"/>
      <c r="F157" s="66" t="inlineStr">
        <is>
          <t>Specification text against implementation description; provenance sections; objective card lines</t>
        </is>
      </c>
      <c r="G157" s="66" t="inlineStr">
        <is>
          <t>B — sample ≥ 30%</t>
        </is>
      </c>
      <c r="H157" s="67" t="n"/>
      <c r="I157" s="67" t="n"/>
      <c r="J157" s="67" t="n"/>
      <c r="K157" s="64">
        <f>IFERROR(INDEX('Status Map'!$B$2:$B$12,MATCH(C157,'Status Map'!$A$2:$A$12,0)),"UNDEFINED")</f>
        <v/>
      </c>
      <c r="L157" s="64">
        <f>IFERROR(INDEX('Status Map'!$C$2:$C$12,MATCH(C157,'Status Map'!$A$2:$A$12,0)),"UNDEFINED")</f>
        <v/>
      </c>
      <c r="M157" s="68" t="inlineStr">
        <is>
          <t>HEADING ONLY</t>
        </is>
      </c>
      <c r="N157" s="68" t="n"/>
      <c r="O157" s="68" t="n"/>
      <c r="P157" s="64">
        <f>IF(O157&lt;&gt;"",O157,LEFT(D157,2))</f>
        <v/>
      </c>
      <c r="Q157" s="64">
        <f>IF(O157&lt;&gt;"","Standards §6",IF(M157="HEADING ONLY","Derived from heading — PROVISIONAL",IF(M157="TEXT NOT IN REGISTRY","No text to derive from — PROVISIONAL","Derived from registered statement")))</f>
        <v/>
      </c>
      <c r="R157" s="64">
        <f>IF(OR(LEFT(G157,1)="A",L157="COUNTS",ISNUMBER(SEARCH("V1",P157)),ISNUMBER(SEARCH("V2",P157)),ISNUMBER(SEARCH("V5",P157))),"A — 100%","B — sample ≥ 30%")</f>
        <v/>
      </c>
      <c r="S157" s="67" t="n"/>
      <c r="T157" s="67" t="n"/>
      <c r="U157" s="67" t="n"/>
      <c r="V157" s="67" t="n"/>
      <c r="W157" s="67" t="n"/>
      <c r="X157" s="67" t="n"/>
    </row>
    <row r="158" ht="22.35" customHeight="1" s="45">
      <c r="A158" s="65" t="inlineStr">
        <is>
          <t>B5.2</t>
        </is>
      </c>
      <c r="B158" s="66" t="inlineStr">
        <is>
          <t>Doc 14</t>
        </is>
      </c>
      <c r="C158" s="66" t="inlineStr">
        <is>
          <t>PROPOSED</t>
        </is>
      </c>
      <c r="D158" s="66" t="inlineStr">
        <is>
          <t>V7 — Document &amp; design inspection</t>
        </is>
      </c>
      <c r="E158" s="66" t="n"/>
      <c r="F158" s="66" t="inlineStr">
        <is>
          <t>Specification text against implementation description; provenance sections; objective card lines</t>
        </is>
      </c>
      <c r="G158" s="66" t="inlineStr">
        <is>
          <t>B — sample ≥ 30%</t>
        </is>
      </c>
      <c r="H158" s="67" t="n"/>
      <c r="I158" s="67" t="n"/>
      <c r="J158" s="67" t="n"/>
      <c r="K158" s="64">
        <f>IFERROR(INDEX('Status Map'!$B$2:$B$12,MATCH(C158,'Status Map'!$A$2:$A$12,0)),"UNDEFINED")</f>
        <v/>
      </c>
      <c r="L158" s="64">
        <f>IFERROR(INDEX('Status Map'!$C$2:$C$12,MATCH(C158,'Status Map'!$A$2:$A$12,0)),"UNDEFINED")</f>
        <v/>
      </c>
      <c r="M158" s="68" t="inlineStr">
        <is>
          <t>HEADING ONLY</t>
        </is>
      </c>
      <c r="N158" s="68" t="n"/>
      <c r="O158" s="68" t="n"/>
      <c r="P158" s="64">
        <f>IF(O158&lt;&gt;"",O158,LEFT(D158,2))</f>
        <v/>
      </c>
      <c r="Q158" s="64">
        <f>IF(O158&lt;&gt;"","Standards §6",IF(M158="HEADING ONLY","Derived from heading — PROVISIONAL",IF(M158="TEXT NOT IN REGISTRY","No text to derive from — PROVISIONAL","Derived from registered statement")))</f>
        <v/>
      </c>
      <c r="R158" s="64">
        <f>IF(OR(LEFT(G158,1)="A",L158="COUNTS",ISNUMBER(SEARCH("V1",P158)),ISNUMBER(SEARCH("V2",P158)),ISNUMBER(SEARCH("V5",P158))),"A — 100%","B — sample ≥ 30%")</f>
        <v/>
      </c>
      <c r="S158" s="67" t="n"/>
      <c r="T158" s="67" t="n"/>
      <c r="U158" s="67" t="n"/>
      <c r="V158" s="67" t="n"/>
      <c r="W158" s="67" t="n"/>
      <c r="X158" s="67" t="n"/>
    </row>
    <row r="159" ht="22.35" customHeight="1" s="45">
      <c r="A159" s="65" t="inlineStr">
        <is>
          <t>B5.3</t>
        </is>
      </c>
      <c r="B159" s="66" t="inlineStr">
        <is>
          <t>Doc 14</t>
        </is>
      </c>
      <c r="C159" s="66" t="inlineStr">
        <is>
          <t>PROPOSED</t>
        </is>
      </c>
      <c r="D159" s="66" t="inlineStr">
        <is>
          <t>V7 — Document &amp; design inspection</t>
        </is>
      </c>
      <c r="E159" s="66" t="n"/>
      <c r="F159" s="66" t="inlineStr">
        <is>
          <t>Specification text against implementation description; provenance sections; objective card lines</t>
        </is>
      </c>
      <c r="G159" s="66" t="inlineStr">
        <is>
          <t>B — sample ≥ 30%</t>
        </is>
      </c>
      <c r="H159" s="67" t="n"/>
      <c r="I159" s="67" t="n"/>
      <c r="J159" s="67" t="n"/>
      <c r="K159" s="64">
        <f>IFERROR(INDEX('Status Map'!$B$2:$B$12,MATCH(C159,'Status Map'!$A$2:$A$12,0)),"UNDEFINED")</f>
        <v/>
      </c>
      <c r="L159" s="64">
        <f>IFERROR(INDEX('Status Map'!$C$2:$C$12,MATCH(C159,'Status Map'!$A$2:$A$12,0)),"UNDEFINED")</f>
        <v/>
      </c>
      <c r="M159" s="68" t="inlineStr">
        <is>
          <t>HEADING ONLY</t>
        </is>
      </c>
      <c r="N159" s="68" t="n"/>
      <c r="O159" s="68" t="n"/>
      <c r="P159" s="64">
        <f>IF(O159&lt;&gt;"",O159,LEFT(D159,2))</f>
        <v/>
      </c>
      <c r="Q159" s="64">
        <f>IF(O159&lt;&gt;"","Standards §6",IF(M159="HEADING ONLY","Derived from heading — PROVISIONAL",IF(M159="TEXT NOT IN REGISTRY","No text to derive from — PROVISIONAL","Derived from registered statement")))</f>
        <v/>
      </c>
      <c r="R159" s="64">
        <f>IF(OR(LEFT(G159,1)="A",L159="COUNTS",ISNUMBER(SEARCH("V1",P159)),ISNUMBER(SEARCH("V2",P159)),ISNUMBER(SEARCH("V5",P159))),"A — 100%","B — sample ≥ 30%")</f>
        <v/>
      </c>
      <c r="S159" s="67" t="n"/>
      <c r="T159" s="67" t="n"/>
      <c r="U159" s="67" t="n"/>
      <c r="V159" s="67" t="n"/>
      <c r="W159" s="67" t="n"/>
      <c r="X159" s="67" t="n"/>
    </row>
    <row r="160" ht="22.35" customHeight="1" s="45">
      <c r="A160" s="65" t="inlineStr">
        <is>
          <t>WPW-1</t>
        </is>
      </c>
      <c r="B160" s="66" t="inlineStr">
        <is>
          <t>WPW spec</t>
        </is>
      </c>
      <c r="C160" s="66" t="inlineStr">
        <is>
          <t>DEFAULT (draft; R2 open)</t>
        </is>
      </c>
      <c r="D160" s="66" t="inlineStr">
        <is>
          <t>V7 — Document &amp; design inspection</t>
        </is>
      </c>
      <c r="E160" s="66" t="n"/>
      <c r="F160" s="66" t="inlineStr">
        <is>
          <t>Specification text against implementation description; provenance sections; objective card lines</t>
        </is>
      </c>
      <c r="G160" s="66" t="inlineStr">
        <is>
          <t>B — sample ≥ 30%</t>
        </is>
      </c>
      <c r="H160" s="67" t="n"/>
      <c r="I160" s="67" t="n"/>
      <c r="J160" s="67" t="n"/>
      <c r="K160" s="64">
        <f>IFERROR(INDEX('Status Map'!$B$2:$B$12,MATCH(C160,'Status Map'!$A$2:$A$12,0)),"UNDEFINED")</f>
        <v/>
      </c>
      <c r="L160" s="64">
        <f>IFERROR(INDEX('Status Map'!$C$2:$C$12,MATCH(C160,'Status Map'!$A$2:$A$12,0)),"UNDEFINED")</f>
        <v/>
      </c>
      <c r="M160" s="68" t="inlineStr">
        <is>
          <t>FIRST SENTENCE</t>
        </is>
      </c>
      <c r="N160" s="68" t="n"/>
      <c r="O160" s="68" t="n"/>
      <c r="P160" s="64">
        <f>IF(O160&lt;&gt;"",O160,LEFT(D160,2))</f>
        <v/>
      </c>
      <c r="Q160" s="64">
        <f>IF(O160&lt;&gt;"","Standards §6",IF(M160="HEADING ONLY","Derived from heading — PROVISIONAL",IF(M160="TEXT NOT IN REGISTRY","No text to derive from — PROVISIONAL","Derived from registered statement")))</f>
        <v/>
      </c>
      <c r="R160" s="64">
        <f>IF(OR(LEFT(G160,1)="A",L160="COUNTS",ISNUMBER(SEARCH("V1",P160)),ISNUMBER(SEARCH("V2",P160)),ISNUMBER(SEARCH("V5",P160))),"A — 100%","B — sample ≥ 30%")</f>
        <v/>
      </c>
      <c r="S160" s="67" t="n"/>
      <c r="T160" s="67" t="n"/>
      <c r="U160" s="67" t="n"/>
      <c r="V160" s="67" t="n"/>
      <c r="W160" s="67" t="n"/>
      <c r="X160" s="67" t="n"/>
    </row>
    <row r="161" ht="22.35" customHeight="1" s="45">
      <c r="A161" s="65" t="inlineStr">
        <is>
          <t>WPW-10</t>
        </is>
      </c>
      <c r="B161" s="66" t="inlineStr">
        <is>
          <t>WPW spec</t>
        </is>
      </c>
      <c r="C161" s="66" t="inlineStr">
        <is>
          <t>DEFAULT (draft; R2 open)</t>
        </is>
      </c>
      <c r="D161" s="66" t="inlineStr">
        <is>
          <t>V7 — Document &amp; design inspection</t>
        </is>
      </c>
      <c r="E161" s="66" t="n"/>
      <c r="F161" s="66" t="inlineStr">
        <is>
          <t>Specification text against implementation description; provenance sections; objective card lines</t>
        </is>
      </c>
      <c r="G161" s="66" t="inlineStr">
        <is>
          <t>B — sample ≥ 30%</t>
        </is>
      </c>
      <c r="H161" s="67" t="n"/>
      <c r="I161" s="67" t="n"/>
      <c r="J161" s="67" t="n"/>
      <c r="K161" s="64">
        <f>IFERROR(INDEX('Status Map'!$B$2:$B$12,MATCH(C161,'Status Map'!$A$2:$A$12,0)),"UNDEFINED")</f>
        <v/>
      </c>
      <c r="L161" s="64">
        <f>IFERROR(INDEX('Status Map'!$C$2:$C$12,MATCH(C161,'Status Map'!$A$2:$A$12,0)),"UNDEFINED")</f>
        <v/>
      </c>
      <c r="M161" s="68" t="inlineStr">
        <is>
          <t>FIRST SENTENCE</t>
        </is>
      </c>
      <c r="N161" s="68" t="n"/>
      <c r="O161" s="68" t="n"/>
      <c r="P161" s="64">
        <f>IF(O161&lt;&gt;"",O161,LEFT(D161,2))</f>
        <v/>
      </c>
      <c r="Q161" s="64">
        <f>IF(O161&lt;&gt;"","Standards §6",IF(M161="HEADING ONLY","Derived from heading — PROVISIONAL",IF(M161="TEXT NOT IN REGISTRY","No text to derive from — PROVISIONAL","Derived from registered statement")))</f>
        <v/>
      </c>
      <c r="R161" s="64">
        <f>IF(OR(LEFT(G161,1)="A",L161="COUNTS",ISNUMBER(SEARCH("V1",P161)),ISNUMBER(SEARCH("V2",P161)),ISNUMBER(SEARCH("V5",P161))),"A — 100%","B — sample ≥ 30%")</f>
        <v/>
      </c>
      <c r="S161" s="67" t="n"/>
      <c r="T161" s="67" t="n"/>
      <c r="U161" s="67" t="n"/>
      <c r="V161" s="67" t="n"/>
      <c r="W161" s="67" t="n"/>
      <c r="X161" s="67" t="n"/>
    </row>
    <row r="162" ht="22.35" customHeight="1" s="45">
      <c r="A162" s="65" t="inlineStr">
        <is>
          <t>WPW-11</t>
        </is>
      </c>
      <c r="B162" s="66" t="inlineStr">
        <is>
          <t>WPW spec</t>
        </is>
      </c>
      <c r="C162" s="66" t="inlineStr">
        <is>
          <t>DEFAULT (draft; R2 open)</t>
        </is>
      </c>
      <c r="D162" s="66" t="inlineStr">
        <is>
          <t>V7 — Document &amp; design inspection</t>
        </is>
      </c>
      <c r="E162" s="66" t="n"/>
      <c r="F162" s="66" t="inlineStr">
        <is>
          <t>Specification text against implementation description; provenance sections; objective card lines</t>
        </is>
      </c>
      <c r="G162" s="66" t="inlineStr">
        <is>
          <t>B — sample ≥ 30%</t>
        </is>
      </c>
      <c r="H162" s="67" t="n"/>
      <c r="I162" s="67" t="n"/>
      <c r="J162" s="67" t="n"/>
      <c r="K162" s="64">
        <f>IFERROR(INDEX('Status Map'!$B$2:$B$12,MATCH(C162,'Status Map'!$A$2:$A$12,0)),"UNDEFINED")</f>
        <v/>
      </c>
      <c r="L162" s="64">
        <f>IFERROR(INDEX('Status Map'!$C$2:$C$12,MATCH(C162,'Status Map'!$A$2:$A$12,0)),"UNDEFINED")</f>
        <v/>
      </c>
      <c r="M162" s="68" t="inlineStr">
        <is>
          <t>FIRST SENTENCE</t>
        </is>
      </c>
      <c r="N162" s="68" t="n"/>
      <c r="O162" s="68" t="n"/>
      <c r="P162" s="64">
        <f>IF(O162&lt;&gt;"",O162,LEFT(D162,2))</f>
        <v/>
      </c>
      <c r="Q162" s="64">
        <f>IF(O162&lt;&gt;"","Standards §6",IF(M162="HEADING ONLY","Derived from heading — PROVISIONAL",IF(M162="TEXT NOT IN REGISTRY","No text to derive from — PROVISIONAL","Derived from registered statement")))</f>
        <v/>
      </c>
      <c r="R162" s="64">
        <f>IF(OR(LEFT(G162,1)="A",L162="COUNTS",ISNUMBER(SEARCH("V1",P162)),ISNUMBER(SEARCH("V2",P162)),ISNUMBER(SEARCH("V5",P162))),"A — 100%","B — sample ≥ 30%")</f>
        <v/>
      </c>
      <c r="S162" s="67" t="n"/>
      <c r="T162" s="67" t="n"/>
      <c r="U162" s="67" t="n"/>
      <c r="V162" s="67" t="n"/>
      <c r="W162" s="67" t="n"/>
      <c r="X162" s="67" t="n"/>
    </row>
    <row r="163" ht="22.35" customHeight="1" s="45">
      <c r="A163" s="65" t="inlineStr">
        <is>
          <t>WPW-12</t>
        </is>
      </c>
      <c r="B163" s="66" t="inlineStr">
        <is>
          <t>WPW spec</t>
        </is>
      </c>
      <c r="C163" s="66" t="inlineStr">
        <is>
          <t>DEFAULT (draft; R2 open)</t>
        </is>
      </c>
      <c r="D163" s="66" t="inlineStr">
        <is>
          <t>V3 — Record evidence</t>
        </is>
      </c>
      <c r="E163" s="66" t="n"/>
      <c r="F163" s="66" t="inlineStr">
        <is>
          <t>Ledger rows inspected; hash-chain verifier receipt; refused operations present on identical terms</t>
        </is>
      </c>
      <c r="G163" s="66" t="inlineStr">
        <is>
          <t>B — sample ≥ 30%</t>
        </is>
      </c>
      <c r="H163" s="67" t="n"/>
      <c r="I163" s="67" t="n"/>
      <c r="J163" s="67" t="n"/>
      <c r="K163" s="64">
        <f>IFERROR(INDEX('Status Map'!$B$2:$B$12,MATCH(C163,'Status Map'!$A$2:$A$12,0)),"UNDEFINED")</f>
        <v/>
      </c>
      <c r="L163" s="64">
        <f>IFERROR(INDEX('Status Map'!$C$2:$C$12,MATCH(C163,'Status Map'!$A$2:$A$12,0)),"UNDEFINED")</f>
        <v/>
      </c>
      <c r="M163" s="68" t="inlineStr">
        <is>
          <t>FIRST SENTENCE</t>
        </is>
      </c>
      <c r="N163" s="68" t="n"/>
      <c r="O163" s="68" t="n"/>
      <c r="P163" s="64">
        <f>IF(O163&lt;&gt;"",O163,LEFT(D163,2))</f>
        <v/>
      </c>
      <c r="Q163" s="64">
        <f>IF(O163&lt;&gt;"","Standards §6",IF(M163="HEADING ONLY","Derived from heading — PROVISIONAL",IF(M163="TEXT NOT IN REGISTRY","No text to derive from — PROVISIONAL","Derived from registered statement")))</f>
        <v/>
      </c>
      <c r="R163" s="64">
        <f>IF(OR(LEFT(G163,1)="A",L163="COUNTS",ISNUMBER(SEARCH("V1",P163)),ISNUMBER(SEARCH("V2",P163)),ISNUMBER(SEARCH("V5",P163))),"A — 100%","B — sample ≥ 30%")</f>
        <v/>
      </c>
      <c r="S163" s="67" t="n"/>
      <c r="T163" s="67" t="n"/>
      <c r="U163" s="67" t="n"/>
      <c r="V163" s="67" t="n"/>
      <c r="W163" s="67" t="n"/>
      <c r="X163" s="67" t="n"/>
    </row>
    <row r="164" ht="22.35" customHeight="1" s="45">
      <c r="A164" s="65" t="inlineStr">
        <is>
          <t>WPW-13</t>
        </is>
      </c>
      <c r="B164" s="66" t="inlineStr">
        <is>
          <t>WPW spec</t>
        </is>
      </c>
      <c r="C164" s="66" t="inlineStr">
        <is>
          <t>DEFAULT (draft; R2 open)</t>
        </is>
      </c>
      <c r="D164" s="66" t="inlineStr">
        <is>
          <t>V7 — Document &amp; design inspection</t>
        </is>
      </c>
      <c r="E164" s="66" t="n"/>
      <c r="F164" s="66" t="inlineStr">
        <is>
          <t>Specification text against implementation description; provenance sections; objective card lines</t>
        </is>
      </c>
      <c r="G164" s="66" t="inlineStr">
        <is>
          <t>B — sample ≥ 30%</t>
        </is>
      </c>
      <c r="H164" s="67" t="n"/>
      <c r="I164" s="67" t="n"/>
      <c r="J164" s="67" t="n"/>
      <c r="K164" s="64">
        <f>IFERROR(INDEX('Status Map'!$B$2:$B$12,MATCH(C164,'Status Map'!$A$2:$A$12,0)),"UNDEFINED")</f>
        <v/>
      </c>
      <c r="L164" s="64">
        <f>IFERROR(INDEX('Status Map'!$C$2:$C$12,MATCH(C164,'Status Map'!$A$2:$A$12,0)),"UNDEFINED")</f>
        <v/>
      </c>
      <c r="M164" s="68" t="inlineStr">
        <is>
          <t>FIRST SENTENCE</t>
        </is>
      </c>
      <c r="N164" s="68" t="n"/>
      <c r="O164" s="68" t="n"/>
      <c r="P164" s="64">
        <f>IF(O164&lt;&gt;"",O164,LEFT(D164,2))</f>
        <v/>
      </c>
      <c r="Q164" s="64">
        <f>IF(O164&lt;&gt;"","Standards §6",IF(M164="HEADING ONLY","Derived from heading — PROVISIONAL",IF(M164="TEXT NOT IN REGISTRY","No text to derive from — PROVISIONAL","Derived from registered statement")))</f>
        <v/>
      </c>
      <c r="R164" s="64">
        <f>IF(OR(LEFT(G164,1)="A",L164="COUNTS",ISNUMBER(SEARCH("V1",P164)),ISNUMBER(SEARCH("V2",P164)),ISNUMBER(SEARCH("V5",P164))),"A — 100%","B — sample ≥ 30%")</f>
        <v/>
      </c>
      <c r="S164" s="67" t="n"/>
      <c r="T164" s="67" t="n"/>
      <c r="U164" s="67" t="n"/>
      <c r="V164" s="67" t="n"/>
      <c r="W164" s="67" t="n"/>
      <c r="X164" s="67" t="n"/>
    </row>
    <row r="165" ht="22.35" customHeight="1" s="45">
      <c r="A165" s="65" t="inlineStr">
        <is>
          <t>WPW-14</t>
        </is>
      </c>
      <c r="B165" s="66" t="inlineStr">
        <is>
          <t>WPW spec</t>
        </is>
      </c>
      <c r="C165" s="66" t="inlineStr">
        <is>
          <t>DEFAULT (draft; R2 open)</t>
        </is>
      </c>
      <c r="D165" s="66" t="inlineStr">
        <is>
          <t>V7 — Document &amp; design inspection</t>
        </is>
      </c>
      <c r="E165" s="66" t="n"/>
      <c r="F165" s="66" t="inlineStr">
        <is>
          <t>Specification text against implementation description; provenance sections; objective card lines</t>
        </is>
      </c>
      <c r="G165" s="66" t="inlineStr">
        <is>
          <t>B — sample ≥ 30%</t>
        </is>
      </c>
      <c r="H165" s="67" t="n"/>
      <c r="I165" s="67" t="n"/>
      <c r="J165" s="67" t="n"/>
      <c r="K165" s="64">
        <f>IFERROR(INDEX('Status Map'!$B$2:$B$12,MATCH(C165,'Status Map'!$A$2:$A$12,0)),"UNDEFINED")</f>
        <v/>
      </c>
      <c r="L165" s="64">
        <f>IFERROR(INDEX('Status Map'!$C$2:$C$12,MATCH(C165,'Status Map'!$A$2:$A$12,0)),"UNDEFINED")</f>
        <v/>
      </c>
      <c r="M165" s="68" t="inlineStr">
        <is>
          <t>FIRST SENTENCE</t>
        </is>
      </c>
      <c r="N165" s="68" t="n"/>
      <c r="O165" s="68" t="n"/>
      <c r="P165" s="64">
        <f>IF(O165&lt;&gt;"",O165,LEFT(D165,2))</f>
        <v/>
      </c>
      <c r="Q165" s="64">
        <f>IF(O165&lt;&gt;"","Standards §6",IF(M165="HEADING ONLY","Derived from heading — PROVISIONAL",IF(M165="TEXT NOT IN REGISTRY","No text to derive from — PROVISIONAL","Derived from registered statement")))</f>
        <v/>
      </c>
      <c r="R165" s="64">
        <f>IF(OR(LEFT(G165,1)="A",L165="COUNTS",ISNUMBER(SEARCH("V1",P165)),ISNUMBER(SEARCH("V2",P165)),ISNUMBER(SEARCH("V5",P165))),"A — 100%","B — sample ≥ 30%")</f>
        <v/>
      </c>
      <c r="S165" s="67" t="n"/>
      <c r="T165" s="67" t="n"/>
      <c r="U165" s="67" t="n"/>
      <c r="V165" s="67" t="n"/>
      <c r="W165" s="67" t="n"/>
      <c r="X165" s="67" t="n"/>
    </row>
    <row r="166" ht="22.35" customHeight="1" s="45">
      <c r="A166" s="65" t="inlineStr">
        <is>
          <t>WPW-15</t>
        </is>
      </c>
      <c r="B166" s="66" t="inlineStr">
        <is>
          <t>WPW spec</t>
        </is>
      </c>
      <c r="C166" s="66" t="inlineStr">
        <is>
          <t>DEFAULT (draft; R2 open)</t>
        </is>
      </c>
      <c r="D166" s="66" t="inlineStr">
        <is>
          <t>V7 — Document &amp; design inspection</t>
        </is>
      </c>
      <c r="E166" s="66" t="n"/>
      <c r="F166" s="66" t="inlineStr">
        <is>
          <t>Specification text against implementation description; provenance sections; objective card lines</t>
        </is>
      </c>
      <c r="G166" s="66" t="inlineStr">
        <is>
          <t>B — sample ≥ 30%</t>
        </is>
      </c>
      <c r="H166" s="67" t="n"/>
      <c r="I166" s="67" t="n"/>
      <c r="J166" s="67" t="n"/>
      <c r="K166" s="64">
        <f>IFERROR(INDEX('Status Map'!$B$2:$B$12,MATCH(C166,'Status Map'!$A$2:$A$12,0)),"UNDEFINED")</f>
        <v/>
      </c>
      <c r="L166" s="64">
        <f>IFERROR(INDEX('Status Map'!$C$2:$C$12,MATCH(C166,'Status Map'!$A$2:$A$12,0)),"UNDEFINED")</f>
        <v/>
      </c>
      <c r="M166" s="68" t="inlineStr">
        <is>
          <t>FIRST SENTENCE</t>
        </is>
      </c>
      <c r="N166" s="68" t="n"/>
      <c r="O166" s="68" t="n"/>
      <c r="P166" s="64">
        <f>IF(O166&lt;&gt;"",O166,LEFT(D166,2))</f>
        <v/>
      </c>
      <c r="Q166" s="64">
        <f>IF(O166&lt;&gt;"","Standards §6",IF(M166="HEADING ONLY","Derived from heading — PROVISIONAL",IF(M166="TEXT NOT IN REGISTRY","No text to derive from — PROVISIONAL","Derived from registered statement")))</f>
        <v/>
      </c>
      <c r="R166" s="64">
        <f>IF(OR(LEFT(G166,1)="A",L166="COUNTS",ISNUMBER(SEARCH("V1",P166)),ISNUMBER(SEARCH("V2",P166)),ISNUMBER(SEARCH("V5",P166))),"A — 100%","B — sample ≥ 30%")</f>
        <v/>
      </c>
      <c r="S166" s="67" t="n"/>
      <c r="T166" s="67" t="n"/>
      <c r="U166" s="67" t="n"/>
      <c r="V166" s="67" t="n"/>
      <c r="W166" s="67" t="n"/>
      <c r="X166" s="67" t="n"/>
    </row>
    <row r="167" ht="22.35" customHeight="1" s="45">
      <c r="A167" s="65" t="inlineStr">
        <is>
          <t>WPW-16</t>
        </is>
      </c>
      <c r="B167" s="66" t="inlineStr">
        <is>
          <t>WPW spec</t>
        </is>
      </c>
      <c r="C167" s="66" t="inlineStr">
        <is>
          <t>DEFAULT (draft; R2 open)</t>
        </is>
      </c>
      <c r="D167" s="66" t="inlineStr">
        <is>
          <t>V7 — Document &amp; design inspection</t>
        </is>
      </c>
      <c r="E167" s="66" t="n"/>
      <c r="F167" s="66" t="inlineStr">
        <is>
          <t>Specification text against implementation description; provenance sections; objective card lines</t>
        </is>
      </c>
      <c r="G167" s="66" t="inlineStr">
        <is>
          <t>B — sample ≥ 30%</t>
        </is>
      </c>
      <c r="H167" s="67" t="n"/>
      <c r="I167" s="67" t="n"/>
      <c r="J167" s="67" t="n"/>
      <c r="K167" s="64">
        <f>IFERROR(INDEX('Status Map'!$B$2:$B$12,MATCH(C167,'Status Map'!$A$2:$A$12,0)),"UNDEFINED")</f>
        <v/>
      </c>
      <c r="L167" s="64">
        <f>IFERROR(INDEX('Status Map'!$C$2:$C$12,MATCH(C167,'Status Map'!$A$2:$A$12,0)),"UNDEFINED")</f>
        <v/>
      </c>
      <c r="M167" s="68" t="inlineStr">
        <is>
          <t>FIRST SENTENCE</t>
        </is>
      </c>
      <c r="N167" s="68" t="n"/>
      <c r="O167" s="68" t="n"/>
      <c r="P167" s="64">
        <f>IF(O167&lt;&gt;"",O167,LEFT(D167,2))</f>
        <v/>
      </c>
      <c r="Q167" s="64">
        <f>IF(O167&lt;&gt;"","Standards §6",IF(M167="HEADING ONLY","Derived from heading — PROVISIONAL",IF(M167="TEXT NOT IN REGISTRY","No text to derive from — PROVISIONAL","Derived from registered statement")))</f>
        <v/>
      </c>
      <c r="R167" s="64">
        <f>IF(OR(LEFT(G167,1)="A",L167="COUNTS",ISNUMBER(SEARCH("V1",P167)),ISNUMBER(SEARCH("V2",P167)),ISNUMBER(SEARCH("V5",P167))),"A — 100%","B — sample ≥ 30%")</f>
        <v/>
      </c>
      <c r="S167" s="67" t="n"/>
      <c r="T167" s="67" t="n"/>
      <c r="U167" s="67" t="n"/>
      <c r="V167" s="67" t="n"/>
      <c r="W167" s="67" t="n"/>
      <c r="X167" s="67" t="n"/>
    </row>
    <row r="168" ht="22.35" customHeight="1" s="45">
      <c r="A168" s="65" t="inlineStr">
        <is>
          <t>WPW-17</t>
        </is>
      </c>
      <c r="B168" s="66" t="inlineStr">
        <is>
          <t>WPW spec</t>
        </is>
      </c>
      <c r="C168" s="66" t="inlineStr">
        <is>
          <t>DEFAULT (draft; R2 open)</t>
        </is>
      </c>
      <c r="D168" s="66" t="inlineStr">
        <is>
          <t>V7 — Document &amp; design inspection</t>
        </is>
      </c>
      <c r="E168" s="66" t="n"/>
      <c r="F168" s="66" t="inlineStr">
        <is>
          <t>Specification text against implementation description; provenance sections; objective card lines</t>
        </is>
      </c>
      <c r="G168" s="66" t="inlineStr">
        <is>
          <t>B — sample ≥ 30%</t>
        </is>
      </c>
      <c r="H168" s="67" t="n"/>
      <c r="I168" s="67" t="n"/>
      <c r="J168" s="67" t="n"/>
      <c r="K168" s="64">
        <f>IFERROR(INDEX('Status Map'!$B$2:$B$12,MATCH(C168,'Status Map'!$A$2:$A$12,0)),"UNDEFINED")</f>
        <v/>
      </c>
      <c r="L168" s="64">
        <f>IFERROR(INDEX('Status Map'!$C$2:$C$12,MATCH(C168,'Status Map'!$A$2:$A$12,0)),"UNDEFINED")</f>
        <v/>
      </c>
      <c r="M168" s="68" t="inlineStr">
        <is>
          <t>FIRST SENTENCE</t>
        </is>
      </c>
      <c r="N168" s="68" t="n"/>
      <c r="O168" s="68" t="n"/>
      <c r="P168" s="64">
        <f>IF(O168&lt;&gt;"",O168,LEFT(D168,2))</f>
        <v/>
      </c>
      <c r="Q168" s="64">
        <f>IF(O168&lt;&gt;"","Standards §6",IF(M168="HEADING ONLY","Derived from heading — PROVISIONAL",IF(M168="TEXT NOT IN REGISTRY","No text to derive from — PROVISIONAL","Derived from registered statement")))</f>
        <v/>
      </c>
      <c r="R168" s="64">
        <f>IF(OR(LEFT(G168,1)="A",L168="COUNTS",ISNUMBER(SEARCH("V1",P168)),ISNUMBER(SEARCH("V2",P168)),ISNUMBER(SEARCH("V5",P168))),"A — 100%","B — sample ≥ 30%")</f>
        <v/>
      </c>
      <c r="S168" s="67" t="n"/>
      <c r="T168" s="67" t="n"/>
      <c r="U168" s="67" t="n"/>
      <c r="V168" s="67" t="n"/>
      <c r="W168" s="67" t="n"/>
      <c r="X168" s="67" t="n"/>
    </row>
    <row r="169" ht="22.35" customHeight="1" s="45">
      <c r="A169" s="65" t="inlineStr">
        <is>
          <t>WPW-18</t>
        </is>
      </c>
      <c r="B169" s="66" t="inlineStr">
        <is>
          <t>WPW spec</t>
        </is>
      </c>
      <c r="C169" s="66" t="inlineStr">
        <is>
          <t>DEFAULT (draft; R2 open)</t>
        </is>
      </c>
      <c r="D169" s="66" t="inlineStr">
        <is>
          <t>V7 — Document &amp; design inspection</t>
        </is>
      </c>
      <c r="E169" s="66" t="n"/>
      <c r="F169" s="66" t="inlineStr">
        <is>
          <t>Specification text against implementation description; provenance sections; objective card lines</t>
        </is>
      </c>
      <c r="G169" s="66" t="inlineStr">
        <is>
          <t>B — sample ≥ 30%</t>
        </is>
      </c>
      <c r="H169" s="67" t="n"/>
      <c r="I169" s="67" t="n"/>
      <c r="J169" s="67" t="n"/>
      <c r="K169" s="64">
        <f>IFERROR(INDEX('Status Map'!$B$2:$B$12,MATCH(C169,'Status Map'!$A$2:$A$12,0)),"UNDEFINED")</f>
        <v/>
      </c>
      <c r="L169" s="64">
        <f>IFERROR(INDEX('Status Map'!$C$2:$C$12,MATCH(C169,'Status Map'!$A$2:$A$12,0)),"UNDEFINED")</f>
        <v/>
      </c>
      <c r="M169" s="68" t="inlineStr">
        <is>
          <t>FIRST SENTENCE</t>
        </is>
      </c>
      <c r="N169" s="68" t="n"/>
      <c r="O169" s="68" t="n"/>
      <c r="P169" s="64">
        <f>IF(O169&lt;&gt;"",O169,LEFT(D169,2))</f>
        <v/>
      </c>
      <c r="Q169" s="64">
        <f>IF(O169&lt;&gt;"","Standards §6",IF(M169="HEADING ONLY","Derived from heading — PROVISIONAL",IF(M169="TEXT NOT IN REGISTRY","No text to derive from — PROVISIONAL","Derived from registered statement")))</f>
        <v/>
      </c>
      <c r="R169" s="64">
        <f>IF(OR(LEFT(G169,1)="A",L169="COUNTS",ISNUMBER(SEARCH("V1",P169)),ISNUMBER(SEARCH("V2",P169)),ISNUMBER(SEARCH("V5",P169))),"A — 100%","B — sample ≥ 30%")</f>
        <v/>
      </c>
      <c r="S169" s="67" t="n"/>
      <c r="T169" s="67" t="n"/>
      <c r="U169" s="67" t="n"/>
      <c r="V169" s="67" t="n"/>
      <c r="W169" s="67" t="n"/>
      <c r="X169" s="67" t="n"/>
    </row>
    <row r="170" ht="22.35" customHeight="1" s="45">
      <c r="A170" s="65" t="inlineStr">
        <is>
          <t>WPW-2</t>
        </is>
      </c>
      <c r="B170" s="66" t="inlineStr">
        <is>
          <t>WPW spec</t>
        </is>
      </c>
      <c r="C170" s="66" t="inlineStr">
        <is>
          <t>DEFAULT (draft; R2 open)</t>
        </is>
      </c>
      <c r="D170" s="66" t="inlineStr">
        <is>
          <t>V7 — Document &amp; design inspection</t>
        </is>
      </c>
      <c r="E170" s="66" t="n"/>
      <c r="F170" s="66" t="inlineStr">
        <is>
          <t>Specification text against implementation description; provenance sections; objective card lines</t>
        </is>
      </c>
      <c r="G170" s="66" t="inlineStr">
        <is>
          <t>B — sample ≥ 30%</t>
        </is>
      </c>
      <c r="H170" s="67" t="n"/>
      <c r="I170" s="67" t="n"/>
      <c r="J170" s="67" t="n"/>
      <c r="K170" s="64">
        <f>IFERROR(INDEX('Status Map'!$B$2:$B$12,MATCH(C170,'Status Map'!$A$2:$A$12,0)),"UNDEFINED")</f>
        <v/>
      </c>
      <c r="L170" s="64">
        <f>IFERROR(INDEX('Status Map'!$C$2:$C$12,MATCH(C170,'Status Map'!$A$2:$A$12,0)),"UNDEFINED")</f>
        <v/>
      </c>
      <c r="M170" s="68" t="inlineStr">
        <is>
          <t>FIRST SENTENCE</t>
        </is>
      </c>
      <c r="N170" s="68" t="n"/>
      <c r="O170" s="68" t="n"/>
      <c r="P170" s="64">
        <f>IF(O170&lt;&gt;"",O170,LEFT(D170,2))</f>
        <v/>
      </c>
      <c r="Q170" s="64">
        <f>IF(O170&lt;&gt;"","Standards §6",IF(M170="HEADING ONLY","Derived from heading — PROVISIONAL",IF(M170="TEXT NOT IN REGISTRY","No text to derive from — PROVISIONAL","Derived from registered statement")))</f>
        <v/>
      </c>
      <c r="R170" s="64">
        <f>IF(OR(LEFT(G170,1)="A",L170="COUNTS",ISNUMBER(SEARCH("V1",P170)),ISNUMBER(SEARCH("V2",P170)),ISNUMBER(SEARCH("V5",P170))),"A — 100%","B — sample ≥ 30%")</f>
        <v/>
      </c>
      <c r="S170" s="67" t="n"/>
      <c r="T170" s="67" t="n"/>
      <c r="U170" s="67" t="n"/>
      <c r="V170" s="67" t="n"/>
      <c r="W170" s="67" t="n"/>
      <c r="X170" s="67" t="n"/>
    </row>
    <row r="171" ht="22.35" customHeight="1" s="45">
      <c r="A171" s="65" t="inlineStr">
        <is>
          <t>WPW-3</t>
        </is>
      </c>
      <c r="B171" s="66" t="inlineStr">
        <is>
          <t>WPW spec</t>
        </is>
      </c>
      <c r="C171" s="66" t="inlineStr">
        <is>
          <t>DEFAULT (draft; R2 open)</t>
        </is>
      </c>
      <c r="D171" s="66" t="inlineStr">
        <is>
          <t>V7 — Document &amp; design inspection</t>
        </is>
      </c>
      <c r="E171" s="66" t="n"/>
      <c r="F171" s="66" t="inlineStr">
        <is>
          <t>Specification text against implementation description; provenance sections; objective card lines</t>
        </is>
      </c>
      <c r="G171" s="66" t="inlineStr">
        <is>
          <t>B — sample ≥ 30%</t>
        </is>
      </c>
      <c r="H171" s="67" t="n"/>
      <c r="I171" s="67" t="n"/>
      <c r="J171" s="67" t="n"/>
      <c r="K171" s="64">
        <f>IFERROR(INDEX('Status Map'!$B$2:$B$12,MATCH(C171,'Status Map'!$A$2:$A$12,0)),"UNDEFINED")</f>
        <v/>
      </c>
      <c r="L171" s="64">
        <f>IFERROR(INDEX('Status Map'!$C$2:$C$12,MATCH(C171,'Status Map'!$A$2:$A$12,0)),"UNDEFINED")</f>
        <v/>
      </c>
      <c r="M171" s="68" t="inlineStr">
        <is>
          <t>FIRST SENTENCE</t>
        </is>
      </c>
      <c r="N171" s="68" t="n"/>
      <c r="O171" s="68" t="n"/>
      <c r="P171" s="64">
        <f>IF(O171&lt;&gt;"",O171,LEFT(D171,2))</f>
        <v/>
      </c>
      <c r="Q171" s="64">
        <f>IF(O171&lt;&gt;"","Standards §6",IF(M171="HEADING ONLY","Derived from heading — PROVISIONAL",IF(M171="TEXT NOT IN REGISTRY","No text to derive from — PROVISIONAL","Derived from registered statement")))</f>
        <v/>
      </c>
      <c r="R171" s="64">
        <f>IF(OR(LEFT(G171,1)="A",L171="COUNTS",ISNUMBER(SEARCH("V1",P171)),ISNUMBER(SEARCH("V2",P171)),ISNUMBER(SEARCH("V5",P171))),"A — 100%","B — sample ≥ 30%")</f>
        <v/>
      </c>
      <c r="S171" s="67" t="n"/>
      <c r="T171" s="67" t="n"/>
      <c r="U171" s="67" t="n"/>
      <c r="V171" s="67" t="n"/>
      <c r="W171" s="67" t="n"/>
      <c r="X171" s="67" t="n"/>
    </row>
    <row r="172" ht="22.35" customHeight="1" s="45">
      <c r="A172" s="65" t="inlineStr">
        <is>
          <t>WPW-4</t>
        </is>
      </c>
      <c r="B172" s="66" t="inlineStr">
        <is>
          <t>WPW spec</t>
        </is>
      </c>
      <c r="C172" s="66" t="inlineStr">
        <is>
          <t>DEFAULT (draft; R2 open)</t>
        </is>
      </c>
      <c r="D172" s="66" t="inlineStr">
        <is>
          <t>V7 — Document &amp; design inspection</t>
        </is>
      </c>
      <c r="E172" s="66" t="n"/>
      <c r="F172" s="66" t="inlineStr">
        <is>
          <t>Specification text against implementation description; provenance sections; objective card lines</t>
        </is>
      </c>
      <c r="G172" s="66" t="inlineStr">
        <is>
          <t>B — sample ≥ 30%</t>
        </is>
      </c>
      <c r="H172" s="67" t="n"/>
      <c r="I172" s="67" t="n"/>
      <c r="J172" s="67" t="n"/>
      <c r="K172" s="64">
        <f>IFERROR(INDEX('Status Map'!$B$2:$B$12,MATCH(C172,'Status Map'!$A$2:$A$12,0)),"UNDEFINED")</f>
        <v/>
      </c>
      <c r="L172" s="64">
        <f>IFERROR(INDEX('Status Map'!$C$2:$C$12,MATCH(C172,'Status Map'!$A$2:$A$12,0)),"UNDEFINED")</f>
        <v/>
      </c>
      <c r="M172" s="68" t="inlineStr">
        <is>
          <t>FIRST SENTENCE</t>
        </is>
      </c>
      <c r="N172" s="68" t="n"/>
      <c r="O172" s="68" t="n"/>
      <c r="P172" s="64">
        <f>IF(O172&lt;&gt;"",O172,LEFT(D172,2))</f>
        <v/>
      </c>
      <c r="Q172" s="64">
        <f>IF(O172&lt;&gt;"","Standards §6",IF(M172="HEADING ONLY","Derived from heading — PROVISIONAL",IF(M172="TEXT NOT IN REGISTRY","No text to derive from — PROVISIONAL","Derived from registered statement")))</f>
        <v/>
      </c>
      <c r="R172" s="64">
        <f>IF(OR(LEFT(G172,1)="A",L172="COUNTS",ISNUMBER(SEARCH("V1",P172)),ISNUMBER(SEARCH("V2",P172)),ISNUMBER(SEARCH("V5",P172))),"A — 100%","B — sample ≥ 30%")</f>
        <v/>
      </c>
      <c r="S172" s="67" t="n"/>
      <c r="T172" s="67" t="n"/>
      <c r="U172" s="67" t="n"/>
      <c r="V172" s="67" t="n"/>
      <c r="W172" s="67" t="n"/>
      <c r="X172" s="67" t="n"/>
    </row>
    <row r="173" ht="22.35" customHeight="1" s="45">
      <c r="A173" s="65" t="inlineStr">
        <is>
          <t>WPW-5</t>
        </is>
      </c>
      <c r="B173" s="66" t="inlineStr">
        <is>
          <t>WPW spec</t>
        </is>
      </c>
      <c r="C173" s="66" t="inlineStr">
        <is>
          <t>DEFAULT (draft; R2 open)</t>
        </is>
      </c>
      <c r="D173" s="66" t="inlineStr">
        <is>
          <t>V7 — Document &amp; design inspection</t>
        </is>
      </c>
      <c r="E173" s="66" t="n"/>
      <c r="F173" s="66" t="inlineStr">
        <is>
          <t>Specification text against implementation description; provenance sections; objective card lines</t>
        </is>
      </c>
      <c r="G173" s="66" t="inlineStr">
        <is>
          <t>B — sample ≥ 30%</t>
        </is>
      </c>
      <c r="H173" s="67" t="n"/>
      <c r="I173" s="67" t="n"/>
      <c r="J173" s="67" t="n"/>
      <c r="K173" s="64">
        <f>IFERROR(INDEX('Status Map'!$B$2:$B$12,MATCH(C173,'Status Map'!$A$2:$A$12,0)),"UNDEFINED")</f>
        <v/>
      </c>
      <c r="L173" s="64">
        <f>IFERROR(INDEX('Status Map'!$C$2:$C$12,MATCH(C173,'Status Map'!$A$2:$A$12,0)),"UNDEFINED")</f>
        <v/>
      </c>
      <c r="M173" s="68" t="inlineStr">
        <is>
          <t>FIRST SENTENCE</t>
        </is>
      </c>
      <c r="N173" s="68" t="n"/>
      <c r="O173" s="68" t="n"/>
      <c r="P173" s="64">
        <f>IF(O173&lt;&gt;"",O173,LEFT(D173,2))</f>
        <v/>
      </c>
      <c r="Q173" s="64">
        <f>IF(O173&lt;&gt;"","Standards §6",IF(M173="HEADING ONLY","Derived from heading — PROVISIONAL",IF(M173="TEXT NOT IN REGISTRY","No text to derive from — PROVISIONAL","Derived from registered statement")))</f>
        <v/>
      </c>
      <c r="R173" s="64">
        <f>IF(OR(LEFT(G173,1)="A",L173="COUNTS",ISNUMBER(SEARCH("V1",P173)),ISNUMBER(SEARCH("V2",P173)),ISNUMBER(SEARCH("V5",P173))),"A — 100%","B — sample ≥ 30%")</f>
        <v/>
      </c>
      <c r="S173" s="67" t="n"/>
      <c r="T173" s="67" t="n"/>
      <c r="U173" s="67" t="n"/>
      <c r="V173" s="67" t="n"/>
      <c r="W173" s="67" t="n"/>
      <c r="X173" s="67" t="n"/>
    </row>
    <row r="174" ht="22.35" customHeight="1" s="45">
      <c r="A174" s="65" t="inlineStr">
        <is>
          <t>WPW-6</t>
        </is>
      </c>
      <c r="B174" s="66" t="inlineStr">
        <is>
          <t>WPW spec</t>
        </is>
      </c>
      <c r="C174" s="66" t="inlineStr">
        <is>
          <t>DEFAULT (draft; R2 open)</t>
        </is>
      </c>
      <c r="D174" s="66" t="inlineStr">
        <is>
          <t>V7 — Document &amp; design inspection</t>
        </is>
      </c>
      <c r="E174" s="66" t="n"/>
      <c r="F174" s="66" t="inlineStr">
        <is>
          <t>Specification text against implementation description; provenance sections; objective card lines</t>
        </is>
      </c>
      <c r="G174" s="66" t="inlineStr">
        <is>
          <t>B — sample ≥ 30%</t>
        </is>
      </c>
      <c r="H174" s="67" t="n"/>
      <c r="I174" s="67" t="n"/>
      <c r="J174" s="67" t="n"/>
      <c r="K174" s="64">
        <f>IFERROR(INDEX('Status Map'!$B$2:$B$12,MATCH(C174,'Status Map'!$A$2:$A$12,0)),"UNDEFINED")</f>
        <v/>
      </c>
      <c r="L174" s="64">
        <f>IFERROR(INDEX('Status Map'!$C$2:$C$12,MATCH(C174,'Status Map'!$A$2:$A$12,0)),"UNDEFINED")</f>
        <v/>
      </c>
      <c r="M174" s="68" t="inlineStr">
        <is>
          <t>FIRST SENTENCE</t>
        </is>
      </c>
      <c r="N174" s="68" t="n"/>
      <c r="O174" s="68" t="n"/>
      <c r="P174" s="64">
        <f>IF(O174&lt;&gt;"",O174,LEFT(D174,2))</f>
        <v/>
      </c>
      <c r="Q174" s="64">
        <f>IF(O174&lt;&gt;"","Standards §6",IF(M174="HEADING ONLY","Derived from heading — PROVISIONAL",IF(M174="TEXT NOT IN REGISTRY","No text to derive from — PROVISIONAL","Derived from registered statement")))</f>
        <v/>
      </c>
      <c r="R174" s="64">
        <f>IF(OR(LEFT(G174,1)="A",L174="COUNTS",ISNUMBER(SEARCH("V1",P174)),ISNUMBER(SEARCH("V2",P174)),ISNUMBER(SEARCH("V5",P174))),"A — 100%","B — sample ≥ 30%")</f>
        <v/>
      </c>
      <c r="S174" s="67" t="n"/>
      <c r="T174" s="67" t="n"/>
      <c r="U174" s="67" t="n"/>
      <c r="V174" s="67" t="n"/>
      <c r="W174" s="67" t="n"/>
      <c r="X174" s="67" t="n"/>
    </row>
    <row r="175" ht="32.8" customHeight="1" s="45">
      <c r="A175" s="65" t="inlineStr">
        <is>
          <t>WPW-7</t>
        </is>
      </c>
      <c r="B175" s="66" t="inlineStr">
        <is>
          <t>WPW spec</t>
        </is>
      </c>
      <c r="C175" s="66" t="inlineStr">
        <is>
          <t>DEFAULT (draft; R2 open)</t>
        </is>
      </c>
      <c r="D175" s="66" t="inlineStr">
        <is>
          <t>V5 — Failure-injection demonstration</t>
        </is>
      </c>
      <c r="E175" s="66" t="n"/>
      <c r="F175" s="66" t="inlineStr">
        <is>
          <t>Dependency made unreachable or check made to error; observed refusal; no result returned; stale marker where degradation is the ruled posture</t>
        </is>
      </c>
      <c r="G175" s="66" t="inlineStr">
        <is>
          <t>A — 100%</t>
        </is>
      </c>
      <c r="H175" s="67" t="n"/>
      <c r="I175" s="67" t="n"/>
      <c r="J175" s="67" t="n"/>
      <c r="K175" s="64">
        <f>IFERROR(INDEX('Status Map'!$B$2:$B$12,MATCH(C175,'Status Map'!$A$2:$A$12,0)),"UNDEFINED")</f>
        <v/>
      </c>
      <c r="L175" s="64">
        <f>IFERROR(INDEX('Status Map'!$C$2:$C$12,MATCH(C175,'Status Map'!$A$2:$A$12,0)),"UNDEFINED")</f>
        <v/>
      </c>
      <c r="M175" s="68" t="inlineStr">
        <is>
          <t>FIRST SENTENCE</t>
        </is>
      </c>
      <c r="N175" s="68" t="n"/>
      <c r="O175" s="68" t="n"/>
      <c r="P175" s="64">
        <f>IF(O175&lt;&gt;"",O175,LEFT(D175,2))</f>
        <v/>
      </c>
      <c r="Q175" s="64">
        <f>IF(O175&lt;&gt;"","Standards §6",IF(M175="HEADING ONLY","Derived from heading — PROVISIONAL",IF(M175="TEXT NOT IN REGISTRY","No text to derive from — PROVISIONAL","Derived from registered statement")))</f>
        <v/>
      </c>
      <c r="R175" s="64">
        <f>IF(OR(LEFT(G175,1)="A",L175="COUNTS",ISNUMBER(SEARCH("V1",P175)),ISNUMBER(SEARCH("V2",P175)),ISNUMBER(SEARCH("V5",P175))),"A — 100%","B — sample ≥ 30%")</f>
        <v/>
      </c>
      <c r="S175" s="67" t="n"/>
      <c r="T175" s="67" t="n"/>
      <c r="U175" s="67" t="n"/>
      <c r="V175" s="67" t="n"/>
      <c r="W175" s="67" t="n"/>
      <c r="X175" s="67" t="n"/>
    </row>
    <row r="176" ht="32.8" customHeight="1" s="45">
      <c r="A176" s="65" t="inlineStr">
        <is>
          <t>WPW-8</t>
        </is>
      </c>
      <c r="B176" s="66" t="inlineStr">
        <is>
          <t>WPW spec</t>
        </is>
      </c>
      <c r="C176" s="66" t="inlineStr">
        <is>
          <t>DEFAULT (draft; R2 open)</t>
        </is>
      </c>
      <c r="D176" s="66" t="inlineStr">
        <is>
          <t>V5 — Failure-injection demonstration</t>
        </is>
      </c>
      <c r="E176" s="66" t="n"/>
      <c r="F176" s="66" t="inlineStr">
        <is>
          <t>Dependency made unreachable or check made to error; observed refusal; no result returned; stale marker where degradation is the ruled posture</t>
        </is>
      </c>
      <c r="G176" s="66" t="inlineStr">
        <is>
          <t>A — 100%</t>
        </is>
      </c>
      <c r="H176" s="67" t="n"/>
      <c r="I176" s="67" t="n"/>
      <c r="J176" s="67" t="n"/>
      <c r="K176" s="64">
        <f>IFERROR(INDEX('Status Map'!$B$2:$B$12,MATCH(C176,'Status Map'!$A$2:$A$12,0)),"UNDEFINED")</f>
        <v/>
      </c>
      <c r="L176" s="64">
        <f>IFERROR(INDEX('Status Map'!$C$2:$C$12,MATCH(C176,'Status Map'!$A$2:$A$12,0)),"UNDEFINED")</f>
        <v/>
      </c>
      <c r="M176" s="68" t="inlineStr">
        <is>
          <t>FIRST SENTENCE</t>
        </is>
      </c>
      <c r="N176" s="68" t="n"/>
      <c r="O176" s="68" t="n"/>
      <c r="P176" s="64">
        <f>IF(O176&lt;&gt;"",O176,LEFT(D176,2))</f>
        <v/>
      </c>
      <c r="Q176" s="64">
        <f>IF(O176&lt;&gt;"","Standards §6",IF(M176="HEADING ONLY","Derived from heading — PROVISIONAL",IF(M176="TEXT NOT IN REGISTRY","No text to derive from — PROVISIONAL","Derived from registered statement")))</f>
        <v/>
      </c>
      <c r="R176" s="64">
        <f>IF(OR(LEFT(G176,1)="A",L176="COUNTS",ISNUMBER(SEARCH("V1",P176)),ISNUMBER(SEARCH("V2",P176)),ISNUMBER(SEARCH("V5",P176))),"A — 100%","B — sample ≥ 30%")</f>
        <v/>
      </c>
      <c r="S176" s="67" t="n"/>
      <c r="T176" s="67" t="n"/>
      <c r="U176" s="67" t="n"/>
      <c r="V176" s="67" t="n"/>
      <c r="W176" s="67" t="n"/>
      <c r="X176" s="67" t="n"/>
    </row>
    <row r="177" ht="22.35" customHeight="1" s="45">
      <c r="A177" s="65" t="inlineStr">
        <is>
          <t>WPW-9</t>
        </is>
      </c>
      <c r="B177" s="66" t="inlineStr">
        <is>
          <t>WPW spec</t>
        </is>
      </c>
      <c r="C177" s="66" t="inlineStr">
        <is>
          <t>DEFAULT (draft; R2 open)</t>
        </is>
      </c>
      <c r="D177" s="66" t="inlineStr">
        <is>
          <t>V3 — Record evidence</t>
        </is>
      </c>
      <c r="E177" s="66" t="n"/>
      <c r="F177" s="66" t="inlineStr">
        <is>
          <t>Ledger rows inspected; hash-chain verifier receipt; refused operations present on identical terms</t>
        </is>
      </c>
      <c r="G177" s="66" t="inlineStr">
        <is>
          <t>B — sample ≥ 30%</t>
        </is>
      </c>
      <c r="H177" s="67" t="n"/>
      <c r="I177" s="67" t="n"/>
      <c r="J177" s="67" t="n"/>
      <c r="K177" s="64">
        <f>IFERROR(INDEX('Status Map'!$B$2:$B$12,MATCH(C177,'Status Map'!$A$2:$A$12,0)),"UNDEFINED")</f>
        <v/>
      </c>
      <c r="L177" s="64">
        <f>IFERROR(INDEX('Status Map'!$C$2:$C$12,MATCH(C177,'Status Map'!$A$2:$A$12,0)),"UNDEFINED")</f>
        <v/>
      </c>
      <c r="M177" s="68" t="inlineStr">
        <is>
          <t>FIRST SENTENCE</t>
        </is>
      </c>
      <c r="N177" s="68" t="n"/>
      <c r="O177" s="68" t="n"/>
      <c r="P177" s="64">
        <f>IF(O177&lt;&gt;"",O177,LEFT(D177,2))</f>
        <v/>
      </c>
      <c r="Q177" s="64">
        <f>IF(O177&lt;&gt;"","Standards §6",IF(M177="HEADING ONLY","Derived from heading — PROVISIONAL",IF(M177="TEXT NOT IN REGISTRY","No text to derive from — PROVISIONAL","Derived from registered statement")))</f>
        <v/>
      </c>
      <c r="R177" s="64">
        <f>IF(OR(LEFT(G177,1)="A",L177="COUNTS",ISNUMBER(SEARCH("V1",P177)),ISNUMBER(SEARCH("V2",P177)),ISNUMBER(SEARCH("V5",P177))),"A — 100%","B — sample ≥ 30%")</f>
        <v/>
      </c>
      <c r="S177" s="67" t="n"/>
      <c r="T177" s="67" t="n"/>
      <c r="U177" s="67" t="n"/>
      <c r="V177" s="67" t="n"/>
      <c r="W177" s="67" t="n"/>
      <c r="X177" s="67" t="n"/>
    </row>
    <row r="178" ht="22.35" customHeight="1" s="45">
      <c r="A178" s="65" t="inlineStr">
        <is>
          <t>C5.1</t>
        </is>
      </c>
      <c r="B178" s="66" t="inlineStr">
        <is>
          <t>Doc 14</t>
        </is>
      </c>
      <c r="C178" s="66" t="inlineStr">
        <is>
          <t>CANON</t>
        </is>
      </c>
      <c r="D178" s="66" t="inlineStr">
        <is>
          <t>V7 — Document &amp; design inspection</t>
        </is>
      </c>
      <c r="E178" s="66" t="n"/>
      <c r="F178" s="66" t="inlineStr">
        <is>
          <t>Specification text against implementation description; provenance sections; objective card lines</t>
        </is>
      </c>
      <c r="G178" s="66" t="inlineStr">
        <is>
          <t>B — sample ≥ 30%</t>
        </is>
      </c>
      <c r="H178" s="67" t="n"/>
      <c r="I178" s="67" t="n"/>
      <c r="J178" s="67" t="n"/>
      <c r="K178" s="64">
        <f>IFERROR(INDEX('Status Map'!$B$2:$B$12,MATCH(C178,'Status Map'!$A$2:$A$12,0)),"UNDEFINED")</f>
        <v/>
      </c>
      <c r="L178" s="64">
        <f>IFERROR(INDEX('Status Map'!$C$2:$C$12,MATCH(C178,'Status Map'!$A$2:$A$12,0)),"UNDEFINED")</f>
        <v/>
      </c>
      <c r="M178" s="68" t="inlineStr">
        <is>
          <t>HEADING ONLY</t>
        </is>
      </c>
      <c r="N178" s="68" t="n"/>
      <c r="O178" s="68" t="n"/>
      <c r="P178" s="64">
        <f>IF(O178&lt;&gt;"",O178,LEFT(D178,2))</f>
        <v/>
      </c>
      <c r="Q178" s="64">
        <f>IF(O178&lt;&gt;"","Standards §6",IF(M178="HEADING ONLY","Derived from heading — PROVISIONAL",IF(M178="TEXT NOT IN REGISTRY","No text to derive from — PROVISIONAL","Derived from registered statement")))</f>
        <v/>
      </c>
      <c r="R178" s="64">
        <f>IF(OR(LEFT(G178,1)="A",L178="COUNTS",ISNUMBER(SEARCH("V1",P178)),ISNUMBER(SEARCH("V2",P178)),ISNUMBER(SEARCH("V5",P178))),"A — 100%","B — sample ≥ 30%")</f>
        <v/>
      </c>
      <c r="S178" s="67" t="n"/>
      <c r="T178" s="67" t="n"/>
      <c r="U178" s="67" t="n"/>
      <c r="V178" s="67" t="n"/>
      <c r="W178" s="67" t="n"/>
      <c r="X178" s="67" t="n"/>
    </row>
    <row r="179" ht="22.35" customHeight="1" s="45">
      <c r="A179" s="65" t="inlineStr">
        <is>
          <t>C5.2</t>
        </is>
      </c>
      <c r="B179" s="66" t="inlineStr">
        <is>
          <t>Doc 14</t>
        </is>
      </c>
      <c r="C179" s="66" t="inlineStr">
        <is>
          <t>RULED</t>
        </is>
      </c>
      <c r="D179" s="66" t="inlineStr">
        <is>
          <t>V7 — Document &amp; design inspection</t>
        </is>
      </c>
      <c r="E179" s="66" t="n"/>
      <c r="F179" s="66" t="inlineStr">
        <is>
          <t>Specification text against implementation description; provenance sections; objective card lines</t>
        </is>
      </c>
      <c r="G179" s="66" t="inlineStr">
        <is>
          <t>B — sample ≥ 30%</t>
        </is>
      </c>
      <c r="H179" s="67" t="n"/>
      <c r="I179" s="67" t="n"/>
      <c r="J179" s="67" t="n"/>
      <c r="K179" s="64">
        <f>IFERROR(INDEX('Status Map'!$B$2:$B$12,MATCH(C179,'Status Map'!$A$2:$A$12,0)),"UNDEFINED")</f>
        <v/>
      </c>
      <c r="L179" s="64">
        <f>IFERROR(INDEX('Status Map'!$C$2:$C$12,MATCH(C179,'Status Map'!$A$2:$A$12,0)),"UNDEFINED")</f>
        <v/>
      </c>
      <c r="M179" s="68" t="inlineStr">
        <is>
          <t>HEADING ONLY</t>
        </is>
      </c>
      <c r="N179" s="68" t="n"/>
      <c r="O179" s="68" t="n"/>
      <c r="P179" s="64">
        <f>IF(O179&lt;&gt;"",O179,LEFT(D179,2))</f>
        <v/>
      </c>
      <c r="Q179" s="64">
        <f>IF(O179&lt;&gt;"","Standards §6",IF(M179="HEADING ONLY","Derived from heading — PROVISIONAL",IF(M179="TEXT NOT IN REGISTRY","No text to derive from — PROVISIONAL","Derived from registered statement")))</f>
        <v/>
      </c>
      <c r="R179" s="64">
        <f>IF(OR(LEFT(G179,1)="A",L179="COUNTS",ISNUMBER(SEARCH("V1",P179)),ISNUMBER(SEARCH("V2",P179)),ISNUMBER(SEARCH("V5",P179))),"A — 100%","B — sample ≥ 30%")</f>
        <v/>
      </c>
      <c r="S179" s="67" t="n"/>
      <c r="T179" s="67" t="n"/>
      <c r="U179" s="67" t="n"/>
      <c r="V179" s="67" t="n"/>
      <c r="W179" s="67" t="n"/>
      <c r="X179" s="67" t="n"/>
    </row>
    <row r="180" ht="22.35" customHeight="1" s="45">
      <c r="A180" s="65" t="inlineStr">
        <is>
          <t>C5.3</t>
        </is>
      </c>
      <c r="B180" s="66" t="inlineStr">
        <is>
          <t>Doc 14</t>
        </is>
      </c>
      <c r="C180" s="66" t="inlineStr">
        <is>
          <t>CANON</t>
        </is>
      </c>
      <c r="D180" s="66" t="inlineStr">
        <is>
          <t>V7 — Document &amp; design inspection</t>
        </is>
      </c>
      <c r="E180" s="66" t="n"/>
      <c r="F180" s="66" t="inlineStr">
        <is>
          <t>Specification text against implementation description; provenance sections; objective card lines</t>
        </is>
      </c>
      <c r="G180" s="66" t="inlineStr">
        <is>
          <t>B — sample ≥ 30%</t>
        </is>
      </c>
      <c r="H180" s="67" t="n"/>
      <c r="I180" s="67" t="n"/>
      <c r="J180" s="67" t="n"/>
      <c r="K180" s="64">
        <f>IFERROR(INDEX('Status Map'!$B$2:$B$12,MATCH(C180,'Status Map'!$A$2:$A$12,0)),"UNDEFINED")</f>
        <v/>
      </c>
      <c r="L180" s="64">
        <f>IFERROR(INDEX('Status Map'!$C$2:$C$12,MATCH(C180,'Status Map'!$A$2:$A$12,0)),"UNDEFINED")</f>
        <v/>
      </c>
      <c r="M180" s="68" t="inlineStr">
        <is>
          <t>HEADING ONLY</t>
        </is>
      </c>
      <c r="N180" s="68" t="n"/>
      <c r="O180" s="68" t="n"/>
      <c r="P180" s="64">
        <f>IF(O180&lt;&gt;"",O180,LEFT(D180,2))</f>
        <v/>
      </c>
      <c r="Q180" s="64">
        <f>IF(O180&lt;&gt;"","Standards §6",IF(M180="HEADING ONLY","Derived from heading — PROVISIONAL",IF(M180="TEXT NOT IN REGISTRY","No text to derive from — PROVISIONAL","Derived from registered statement")))</f>
        <v/>
      </c>
      <c r="R180" s="64">
        <f>IF(OR(LEFT(G180,1)="A",L180="COUNTS",ISNUMBER(SEARCH("V1",P180)),ISNUMBER(SEARCH("V2",P180)),ISNUMBER(SEARCH("V5",P180))),"A — 100%","B — sample ≥ 30%")</f>
        <v/>
      </c>
      <c r="S180" s="67" t="n"/>
      <c r="T180" s="67" t="n"/>
      <c r="U180" s="67" t="n"/>
      <c r="V180" s="67" t="n"/>
      <c r="W180" s="67" t="n"/>
      <c r="X180" s="67" t="n"/>
    </row>
    <row r="181" ht="22.35" customHeight="1" s="45">
      <c r="A181" s="65" t="inlineStr">
        <is>
          <t>A17.1</t>
        </is>
      </c>
      <c r="B181" s="66" t="inlineStr">
        <is>
          <t>Doc 17</t>
        </is>
      </c>
      <c r="C181" s="66" t="inlineStr">
        <is>
          <t>CANON</t>
        </is>
      </c>
      <c r="D181" s="66" t="inlineStr">
        <is>
          <t>V7 — Document &amp; design inspection</t>
        </is>
      </c>
      <c r="E181" s="66" t="n"/>
      <c r="F181" s="66" t="inlineStr">
        <is>
          <t>Specification text against implementation description; provenance sections; objective card lines</t>
        </is>
      </c>
      <c r="G181" s="66" t="inlineStr">
        <is>
          <t>B — sample ≥ 30%</t>
        </is>
      </c>
      <c r="H181" s="67" t="n"/>
      <c r="I181" s="67" t="n"/>
      <c r="J181" s="67" t="n"/>
      <c r="K181" s="64">
        <f>IFERROR(INDEX('Status Map'!$B$2:$B$12,MATCH(C181,'Status Map'!$A$2:$A$12,0)),"UNDEFINED")</f>
        <v/>
      </c>
      <c r="L181" s="64">
        <f>IFERROR(INDEX('Status Map'!$C$2:$C$12,MATCH(C181,'Status Map'!$A$2:$A$12,0)),"UNDEFINED")</f>
        <v/>
      </c>
      <c r="M181" s="68" t="inlineStr">
        <is>
          <t>HEADING ONLY</t>
        </is>
      </c>
      <c r="N181" s="68" t="n"/>
      <c r="O181" s="68" t="n"/>
      <c r="P181" s="64">
        <f>IF(O181&lt;&gt;"",O181,LEFT(D181,2))</f>
        <v/>
      </c>
      <c r="Q181" s="64">
        <f>IF(O181&lt;&gt;"","Standards §6",IF(M181="HEADING ONLY","Derived from heading — PROVISIONAL",IF(M181="TEXT NOT IN REGISTRY","No text to derive from — PROVISIONAL","Derived from registered statement")))</f>
        <v/>
      </c>
      <c r="R181" s="64">
        <f>IF(OR(LEFT(G181,1)="A",L181="COUNTS",ISNUMBER(SEARCH("V1",P181)),ISNUMBER(SEARCH("V2",P181)),ISNUMBER(SEARCH("V5",P181))),"A — 100%","B — sample ≥ 30%")</f>
        <v/>
      </c>
      <c r="S181" s="67" t="n"/>
      <c r="T181" s="67" t="n"/>
      <c r="U181" s="67" t="n"/>
      <c r="V181" s="67" t="n"/>
      <c r="W181" s="67" t="n"/>
      <c r="X181" s="67" t="n"/>
    </row>
    <row r="182" ht="22.35" customHeight="1" s="45">
      <c r="A182" s="65" t="inlineStr">
        <is>
          <t>A17.10</t>
        </is>
      </c>
      <c r="B182" s="66" t="inlineStr">
        <is>
          <t>Doc 17</t>
        </is>
      </c>
      <c r="C182" s="66" t="inlineStr">
        <is>
          <t>CANON</t>
        </is>
      </c>
      <c r="D182" s="66" t="inlineStr">
        <is>
          <t>V7 — Document &amp; design inspection</t>
        </is>
      </c>
      <c r="E182" s="66" t="n"/>
      <c r="F182" s="66" t="inlineStr">
        <is>
          <t>Specification text against implementation description; provenance sections; objective card lines</t>
        </is>
      </c>
      <c r="G182" s="66" t="inlineStr">
        <is>
          <t>B — sample ≥ 30%</t>
        </is>
      </c>
      <c r="H182" s="67" t="n"/>
      <c r="I182" s="67" t="n"/>
      <c r="J182" s="67" t="n"/>
      <c r="K182" s="64">
        <f>IFERROR(INDEX('Status Map'!$B$2:$B$12,MATCH(C182,'Status Map'!$A$2:$A$12,0)),"UNDEFINED")</f>
        <v/>
      </c>
      <c r="L182" s="64">
        <f>IFERROR(INDEX('Status Map'!$C$2:$C$12,MATCH(C182,'Status Map'!$A$2:$A$12,0)),"UNDEFINED")</f>
        <v/>
      </c>
      <c r="M182" s="68" t="inlineStr">
        <is>
          <t>HEADING ONLY</t>
        </is>
      </c>
      <c r="N182" s="68" t="n"/>
      <c r="O182" s="68" t="n"/>
      <c r="P182" s="64">
        <f>IF(O182&lt;&gt;"",O182,LEFT(D182,2))</f>
        <v/>
      </c>
      <c r="Q182" s="64">
        <f>IF(O182&lt;&gt;"","Standards §6",IF(M182="HEADING ONLY","Derived from heading — PROVISIONAL",IF(M182="TEXT NOT IN REGISTRY","No text to derive from — PROVISIONAL","Derived from registered statement")))</f>
        <v/>
      </c>
      <c r="R182" s="64">
        <f>IF(OR(LEFT(G182,1)="A",L182="COUNTS",ISNUMBER(SEARCH("V1",P182)),ISNUMBER(SEARCH("V2",P182)),ISNUMBER(SEARCH("V5",P182))),"A — 100%","B — sample ≥ 30%")</f>
        <v/>
      </c>
      <c r="S182" s="67" t="n"/>
      <c r="T182" s="67" t="n"/>
      <c r="U182" s="67" t="n"/>
      <c r="V182" s="67" t="n"/>
      <c r="W182" s="67" t="n"/>
      <c r="X182" s="67" t="n"/>
    </row>
    <row r="183" ht="22.35" customHeight="1" s="45">
      <c r="A183" s="65" t="inlineStr">
        <is>
          <t>A17.11</t>
        </is>
      </c>
      <c r="B183" s="66" t="inlineStr">
        <is>
          <t>Doc 17</t>
        </is>
      </c>
      <c r="C183" s="66" t="inlineStr">
        <is>
          <t>CANON</t>
        </is>
      </c>
      <c r="D183" s="66" t="inlineStr">
        <is>
          <t>V7 — Document &amp; design inspection</t>
        </is>
      </c>
      <c r="E183" s="66" t="n"/>
      <c r="F183" s="66" t="inlineStr">
        <is>
          <t>Specification text against implementation description; provenance sections; objective card lines</t>
        </is>
      </c>
      <c r="G183" s="66" t="inlineStr">
        <is>
          <t>B — sample ≥ 30%</t>
        </is>
      </c>
      <c r="H183" s="67" t="n"/>
      <c r="I183" s="67" t="n"/>
      <c r="J183" s="67" t="n"/>
      <c r="K183" s="64">
        <f>IFERROR(INDEX('Status Map'!$B$2:$B$12,MATCH(C183,'Status Map'!$A$2:$A$12,0)),"UNDEFINED")</f>
        <v/>
      </c>
      <c r="L183" s="64">
        <f>IFERROR(INDEX('Status Map'!$C$2:$C$12,MATCH(C183,'Status Map'!$A$2:$A$12,0)),"UNDEFINED")</f>
        <v/>
      </c>
      <c r="M183" s="68" t="inlineStr">
        <is>
          <t>HEADING ONLY</t>
        </is>
      </c>
      <c r="N183" s="68" t="n"/>
      <c r="O183" s="68" t="n"/>
      <c r="P183" s="64">
        <f>IF(O183&lt;&gt;"",O183,LEFT(D183,2))</f>
        <v/>
      </c>
      <c r="Q183" s="64">
        <f>IF(O183&lt;&gt;"","Standards §6",IF(M183="HEADING ONLY","Derived from heading — PROVISIONAL",IF(M183="TEXT NOT IN REGISTRY","No text to derive from — PROVISIONAL","Derived from registered statement")))</f>
        <v/>
      </c>
      <c r="R183" s="64">
        <f>IF(OR(LEFT(G183,1)="A",L183="COUNTS",ISNUMBER(SEARCH("V1",P183)),ISNUMBER(SEARCH("V2",P183)),ISNUMBER(SEARCH("V5",P183))),"A — 100%","B — sample ≥ 30%")</f>
        <v/>
      </c>
      <c r="S183" s="67" t="n"/>
      <c r="T183" s="67" t="n"/>
      <c r="U183" s="67" t="n"/>
      <c r="V183" s="67" t="n"/>
      <c r="W183" s="67" t="n"/>
      <c r="X183" s="67" t="n"/>
    </row>
    <row r="184" ht="22.35" customHeight="1" s="45">
      <c r="A184" s="65" t="inlineStr">
        <is>
          <t>A17.12</t>
        </is>
      </c>
      <c r="B184" s="66" t="inlineStr">
        <is>
          <t>Doc 17</t>
        </is>
      </c>
      <c r="C184" s="66" t="inlineStr">
        <is>
          <t>OPEN</t>
        </is>
      </c>
      <c r="D184" s="66" t="inlineStr">
        <is>
          <t>V7 — Document &amp; design inspection</t>
        </is>
      </c>
      <c r="E184" s="66" t="n"/>
      <c r="F184" s="66" t="inlineStr">
        <is>
          <t>Specification text against implementation description; provenance sections; objective card lines</t>
        </is>
      </c>
      <c r="G184" s="66" t="inlineStr">
        <is>
          <t>B — sample ≥ 30%</t>
        </is>
      </c>
      <c r="H184" s="67" t="n"/>
      <c r="I184" s="67" t="n"/>
      <c r="J184" s="67" t="n"/>
      <c r="K184" s="64">
        <f>IFERROR(INDEX('Status Map'!$B$2:$B$12,MATCH(C184,'Status Map'!$A$2:$A$12,0)),"UNDEFINED")</f>
        <v/>
      </c>
      <c r="L184" s="64">
        <f>IFERROR(INDEX('Status Map'!$C$2:$C$12,MATCH(C184,'Status Map'!$A$2:$A$12,0)),"UNDEFINED")</f>
        <v/>
      </c>
      <c r="M184" s="68" t="inlineStr">
        <is>
          <t>HEADING ONLY</t>
        </is>
      </c>
      <c r="N184" s="68" t="n"/>
      <c r="O184" s="68" t="n"/>
      <c r="P184" s="64">
        <f>IF(O184&lt;&gt;"",O184,LEFT(D184,2))</f>
        <v/>
      </c>
      <c r="Q184" s="64">
        <f>IF(O184&lt;&gt;"","Standards §6",IF(M184="HEADING ONLY","Derived from heading — PROVISIONAL",IF(M184="TEXT NOT IN REGISTRY","No text to derive from — PROVISIONAL","Derived from registered statement")))</f>
        <v/>
      </c>
      <c r="R184" s="64">
        <f>IF(OR(LEFT(G184,1)="A",L184="COUNTS",ISNUMBER(SEARCH("V1",P184)),ISNUMBER(SEARCH("V2",P184)),ISNUMBER(SEARCH("V5",P184))),"A — 100%","B — sample ≥ 30%")</f>
        <v/>
      </c>
      <c r="S184" s="67" t="n"/>
      <c r="T184" s="67" t="n"/>
      <c r="U184" s="67" t="n"/>
      <c r="V184" s="67" t="n"/>
      <c r="W184" s="67" t="n"/>
      <c r="X184" s="67" t="n"/>
    </row>
    <row r="185" ht="22.35" customHeight="1" s="45">
      <c r="A185" s="65" t="inlineStr">
        <is>
          <t>A17.13</t>
        </is>
      </c>
      <c r="B185" s="66" t="inlineStr">
        <is>
          <t>Doc 17</t>
        </is>
      </c>
      <c r="C185" s="66" t="inlineStr">
        <is>
          <t>OPEN</t>
        </is>
      </c>
      <c r="D185" s="66" t="inlineStr">
        <is>
          <t>V7 — Document &amp; design inspection</t>
        </is>
      </c>
      <c r="E185" s="66" t="n"/>
      <c r="F185" s="66" t="inlineStr">
        <is>
          <t>Specification text against implementation description; provenance sections; objective card lines</t>
        </is>
      </c>
      <c r="G185" s="66" t="inlineStr">
        <is>
          <t>B — sample ≥ 30%</t>
        </is>
      </c>
      <c r="H185" s="67" t="n"/>
      <c r="I185" s="67" t="n"/>
      <c r="J185" s="67" t="n"/>
      <c r="K185" s="64">
        <f>IFERROR(INDEX('Status Map'!$B$2:$B$12,MATCH(C185,'Status Map'!$A$2:$A$12,0)),"UNDEFINED")</f>
        <v/>
      </c>
      <c r="L185" s="64">
        <f>IFERROR(INDEX('Status Map'!$C$2:$C$12,MATCH(C185,'Status Map'!$A$2:$A$12,0)),"UNDEFINED")</f>
        <v/>
      </c>
      <c r="M185" s="68" t="inlineStr">
        <is>
          <t>HEADING ONLY</t>
        </is>
      </c>
      <c r="N185" s="68" t="n"/>
      <c r="O185" s="68" t="n"/>
      <c r="P185" s="64">
        <f>IF(O185&lt;&gt;"",O185,LEFT(D185,2))</f>
        <v/>
      </c>
      <c r="Q185" s="64">
        <f>IF(O185&lt;&gt;"","Standards §6",IF(M185="HEADING ONLY","Derived from heading — PROVISIONAL",IF(M185="TEXT NOT IN REGISTRY","No text to derive from — PROVISIONAL","Derived from registered statement")))</f>
        <v/>
      </c>
      <c r="R185" s="64">
        <f>IF(OR(LEFT(G185,1)="A",L185="COUNTS",ISNUMBER(SEARCH("V1",P185)),ISNUMBER(SEARCH("V2",P185)),ISNUMBER(SEARCH("V5",P185))),"A — 100%","B — sample ≥ 30%")</f>
        <v/>
      </c>
      <c r="S185" s="67" t="n"/>
      <c r="T185" s="67" t="n"/>
      <c r="U185" s="67" t="n"/>
      <c r="V185" s="67" t="n"/>
      <c r="W185" s="67" t="n"/>
      <c r="X185" s="67" t="n"/>
    </row>
    <row r="186" ht="22.35" customHeight="1" s="45">
      <c r="A186" s="65" t="inlineStr">
        <is>
          <t>A17.14</t>
        </is>
      </c>
      <c r="B186" s="66" t="inlineStr">
        <is>
          <t>Doc 17</t>
        </is>
      </c>
      <c r="C186" s="66" t="inlineStr">
        <is>
          <t>OPEN</t>
        </is>
      </c>
      <c r="D186" s="66" t="inlineStr">
        <is>
          <t>V7 — Document &amp; design inspection</t>
        </is>
      </c>
      <c r="E186" s="66" t="n"/>
      <c r="F186" s="66" t="inlineStr">
        <is>
          <t>Specification text against implementation description; provenance sections; objective card lines</t>
        </is>
      </c>
      <c r="G186" s="66" t="inlineStr">
        <is>
          <t>B — sample ≥ 30%</t>
        </is>
      </c>
      <c r="H186" s="67" t="n"/>
      <c r="I186" s="67" t="n"/>
      <c r="J186" s="67" t="n"/>
      <c r="K186" s="64">
        <f>IFERROR(INDEX('Status Map'!$B$2:$B$12,MATCH(C186,'Status Map'!$A$2:$A$12,0)),"UNDEFINED")</f>
        <v/>
      </c>
      <c r="L186" s="64">
        <f>IFERROR(INDEX('Status Map'!$C$2:$C$12,MATCH(C186,'Status Map'!$A$2:$A$12,0)),"UNDEFINED")</f>
        <v/>
      </c>
      <c r="M186" s="68" t="inlineStr">
        <is>
          <t>HEADING ONLY</t>
        </is>
      </c>
      <c r="N186" s="68" t="n"/>
      <c r="O186" s="68" t="n"/>
      <c r="P186" s="64">
        <f>IF(O186&lt;&gt;"",O186,LEFT(D186,2))</f>
        <v/>
      </c>
      <c r="Q186" s="64">
        <f>IF(O186&lt;&gt;"","Standards §6",IF(M186="HEADING ONLY","Derived from heading — PROVISIONAL",IF(M186="TEXT NOT IN REGISTRY","No text to derive from — PROVISIONAL","Derived from registered statement")))</f>
        <v/>
      </c>
      <c r="R186" s="64">
        <f>IF(OR(LEFT(G186,1)="A",L186="COUNTS",ISNUMBER(SEARCH("V1",P186)),ISNUMBER(SEARCH("V2",P186)),ISNUMBER(SEARCH("V5",P186))),"A — 100%","B — sample ≥ 30%")</f>
        <v/>
      </c>
      <c r="S186" s="67" t="n"/>
      <c r="T186" s="67" t="n"/>
      <c r="U186" s="67" t="n"/>
      <c r="V186" s="67" t="n"/>
      <c r="W186" s="67" t="n"/>
      <c r="X186" s="67" t="n"/>
    </row>
    <row r="187" ht="22.35" customHeight="1" s="45">
      <c r="A187" s="65" t="inlineStr">
        <is>
          <t>A17.15</t>
        </is>
      </c>
      <c r="B187" s="66" t="inlineStr">
        <is>
          <t>Doc 17</t>
        </is>
      </c>
      <c r="C187" s="66" t="inlineStr">
        <is>
          <t>OPEN</t>
        </is>
      </c>
      <c r="D187" s="66" t="inlineStr">
        <is>
          <t>V1 — Test evidence</t>
        </is>
      </c>
      <c r="E187" s="66" t="n"/>
      <c r="F187" s="66" t="inlineStr">
        <is>
          <t>Golden-input, byte-identical output; RED-first test ID; ratchet manifest entry</t>
        </is>
      </c>
      <c r="G187" s="66" t="inlineStr">
        <is>
          <t>A — 100%</t>
        </is>
      </c>
      <c r="H187" s="67" t="n"/>
      <c r="I187" s="67" t="n"/>
      <c r="J187" s="67" t="n"/>
      <c r="K187" s="64">
        <f>IFERROR(INDEX('Status Map'!$B$2:$B$12,MATCH(C187,'Status Map'!$A$2:$A$12,0)),"UNDEFINED")</f>
        <v/>
      </c>
      <c r="L187" s="64">
        <f>IFERROR(INDEX('Status Map'!$C$2:$C$12,MATCH(C187,'Status Map'!$A$2:$A$12,0)),"UNDEFINED")</f>
        <v/>
      </c>
      <c r="M187" s="68" t="inlineStr">
        <is>
          <t>HEADING ONLY</t>
        </is>
      </c>
      <c r="N187" s="68" t="n"/>
      <c r="O187" s="68" t="n"/>
      <c r="P187" s="64">
        <f>IF(O187&lt;&gt;"",O187,LEFT(D187,2))</f>
        <v/>
      </c>
      <c r="Q187" s="64">
        <f>IF(O187&lt;&gt;"","Standards §6",IF(M187="HEADING ONLY","Derived from heading — PROVISIONAL",IF(M187="TEXT NOT IN REGISTRY","No text to derive from — PROVISIONAL","Derived from registered statement")))</f>
        <v/>
      </c>
      <c r="R187" s="64">
        <f>IF(OR(LEFT(G187,1)="A",L187="COUNTS",ISNUMBER(SEARCH("V1",P187)),ISNUMBER(SEARCH("V2",P187)),ISNUMBER(SEARCH("V5",P187))),"A — 100%","B — sample ≥ 30%")</f>
        <v/>
      </c>
      <c r="S187" s="67" t="n"/>
      <c r="T187" s="67" t="n"/>
      <c r="U187" s="67" t="n"/>
      <c r="V187" s="67" t="n"/>
      <c r="W187" s="67" t="n"/>
      <c r="X187" s="67" t="n"/>
    </row>
    <row r="188" ht="22.35" customHeight="1" s="45">
      <c r="A188" s="65" t="inlineStr">
        <is>
          <t>A17.16</t>
        </is>
      </c>
      <c r="B188" s="66" t="inlineStr">
        <is>
          <t>Doc 17</t>
        </is>
      </c>
      <c r="C188" s="66" t="inlineStr">
        <is>
          <t>CANON</t>
        </is>
      </c>
      <c r="D188" s="66" t="inlineStr">
        <is>
          <t>V7 — Document &amp; design inspection</t>
        </is>
      </c>
      <c r="E188" s="66" t="n"/>
      <c r="F188" s="66" t="inlineStr">
        <is>
          <t>Specification text against implementation description; provenance sections; objective card lines</t>
        </is>
      </c>
      <c r="G188" s="66" t="inlineStr">
        <is>
          <t>B — sample ≥ 30%</t>
        </is>
      </c>
      <c r="H188" s="67" t="n"/>
      <c r="I188" s="67" t="n"/>
      <c r="J188" s="67" t="n"/>
      <c r="K188" s="64">
        <f>IFERROR(INDEX('Status Map'!$B$2:$B$12,MATCH(C188,'Status Map'!$A$2:$A$12,0)),"UNDEFINED")</f>
        <v/>
      </c>
      <c r="L188" s="64">
        <f>IFERROR(INDEX('Status Map'!$C$2:$C$12,MATCH(C188,'Status Map'!$A$2:$A$12,0)),"UNDEFINED")</f>
        <v/>
      </c>
      <c r="M188" s="68" t="inlineStr">
        <is>
          <t>HEADING ONLY</t>
        </is>
      </c>
      <c r="N188" s="68" t="n"/>
      <c r="O188" s="68" t="n"/>
      <c r="P188" s="64">
        <f>IF(O188&lt;&gt;"",O188,LEFT(D188,2))</f>
        <v/>
      </c>
      <c r="Q188" s="64">
        <f>IF(O188&lt;&gt;"","Standards §6",IF(M188="HEADING ONLY","Derived from heading — PROVISIONAL",IF(M188="TEXT NOT IN REGISTRY","No text to derive from — PROVISIONAL","Derived from registered statement")))</f>
        <v/>
      </c>
      <c r="R188" s="64">
        <f>IF(OR(LEFT(G188,1)="A",L188="COUNTS",ISNUMBER(SEARCH("V1",P188)),ISNUMBER(SEARCH("V2",P188)),ISNUMBER(SEARCH("V5",P188))),"A — 100%","B — sample ≥ 30%")</f>
        <v/>
      </c>
      <c r="S188" s="67" t="n"/>
      <c r="T188" s="67" t="n"/>
      <c r="U188" s="67" t="n"/>
      <c r="V188" s="67" t="n"/>
      <c r="W188" s="67" t="n"/>
      <c r="X188" s="67" t="n"/>
    </row>
    <row r="189" ht="22.35" customHeight="1" s="45">
      <c r="A189" s="65" t="inlineStr">
        <is>
          <t>A17.17</t>
        </is>
      </c>
      <c r="B189" s="66" t="inlineStr">
        <is>
          <t>Doc 17</t>
        </is>
      </c>
      <c r="C189" s="66" t="inlineStr">
        <is>
          <t>CANON</t>
        </is>
      </c>
      <c r="D189" s="66" t="inlineStr">
        <is>
          <t>V7 — Document &amp; design inspection</t>
        </is>
      </c>
      <c r="E189" s="66" t="n"/>
      <c r="F189" s="66" t="inlineStr">
        <is>
          <t>Specification text against implementation description; provenance sections; objective card lines</t>
        </is>
      </c>
      <c r="G189" s="66" t="inlineStr">
        <is>
          <t>B — sample ≥ 30%</t>
        </is>
      </c>
      <c r="H189" s="67" t="n"/>
      <c r="I189" s="67" t="n"/>
      <c r="J189" s="67" t="n"/>
      <c r="K189" s="64">
        <f>IFERROR(INDEX('Status Map'!$B$2:$B$12,MATCH(C189,'Status Map'!$A$2:$A$12,0)),"UNDEFINED")</f>
        <v/>
      </c>
      <c r="L189" s="64">
        <f>IFERROR(INDEX('Status Map'!$C$2:$C$12,MATCH(C189,'Status Map'!$A$2:$A$12,0)),"UNDEFINED")</f>
        <v/>
      </c>
      <c r="M189" s="68" t="inlineStr">
        <is>
          <t>HEADING ONLY</t>
        </is>
      </c>
      <c r="N189" s="68" t="n"/>
      <c r="O189" s="68" t="n"/>
      <c r="P189" s="64">
        <f>IF(O189&lt;&gt;"",O189,LEFT(D189,2))</f>
        <v/>
      </c>
      <c r="Q189" s="64">
        <f>IF(O189&lt;&gt;"","Standards §6",IF(M189="HEADING ONLY","Derived from heading — PROVISIONAL",IF(M189="TEXT NOT IN REGISTRY","No text to derive from — PROVISIONAL","Derived from registered statement")))</f>
        <v/>
      </c>
      <c r="R189" s="64">
        <f>IF(OR(LEFT(G189,1)="A",L189="COUNTS",ISNUMBER(SEARCH("V1",P189)),ISNUMBER(SEARCH("V2",P189)),ISNUMBER(SEARCH("V5",P189))),"A — 100%","B — sample ≥ 30%")</f>
        <v/>
      </c>
      <c r="S189" s="67" t="n"/>
      <c r="T189" s="67" t="n"/>
      <c r="U189" s="67" t="n"/>
      <c r="V189" s="67" t="n"/>
      <c r="W189" s="67" t="n"/>
      <c r="X189" s="67" t="n"/>
    </row>
    <row r="190" ht="22.35" customHeight="1" s="45">
      <c r="A190" s="65" t="inlineStr">
        <is>
          <t>A17.18</t>
        </is>
      </c>
      <c r="B190" s="66" t="inlineStr">
        <is>
          <t>Doc 17</t>
        </is>
      </c>
      <c r="C190" s="66" t="inlineStr">
        <is>
          <t>— (see heading)</t>
        </is>
      </c>
      <c r="D190" s="66" t="inlineStr">
        <is>
          <t>V7 — Document &amp; design inspection</t>
        </is>
      </c>
      <c r="E190" s="66" t="n"/>
      <c r="F190" s="66" t="inlineStr">
        <is>
          <t>Specification text against implementation description; provenance sections; objective card lines</t>
        </is>
      </c>
      <c r="G190" s="66" t="inlineStr">
        <is>
          <t>B — sample ≥ 30%</t>
        </is>
      </c>
      <c r="H190" s="67" t="n"/>
      <c r="I190" s="67" t="n"/>
      <c r="J190" s="67" t="n"/>
      <c r="K190" s="64">
        <f>IFERROR(INDEX('Status Map'!$B$2:$B$12,MATCH(C190,'Status Map'!$A$2:$A$12,0)),"UNDEFINED")</f>
        <v/>
      </c>
      <c r="L190" s="64">
        <f>IFERROR(INDEX('Status Map'!$C$2:$C$12,MATCH(C190,'Status Map'!$A$2:$A$12,0)),"UNDEFINED")</f>
        <v/>
      </c>
      <c r="M190" s="68" t="inlineStr">
        <is>
          <t>HEADING ONLY</t>
        </is>
      </c>
      <c r="N190" s="68" t="n"/>
      <c r="O190" s="68" t="n"/>
      <c r="P190" s="64">
        <f>IF(O190&lt;&gt;"",O190,LEFT(D190,2))</f>
        <v/>
      </c>
      <c r="Q190" s="64">
        <f>IF(O190&lt;&gt;"","Standards §6",IF(M190="HEADING ONLY","Derived from heading — PROVISIONAL",IF(M190="TEXT NOT IN REGISTRY","No text to derive from — PROVISIONAL","Derived from registered statement")))</f>
        <v/>
      </c>
      <c r="R190" s="64">
        <f>IF(OR(LEFT(G190,1)="A",L190="COUNTS",ISNUMBER(SEARCH("V1",P190)),ISNUMBER(SEARCH("V2",P190)),ISNUMBER(SEARCH("V5",P190))),"A — 100%","B — sample ≥ 30%")</f>
        <v/>
      </c>
      <c r="S190" s="67" t="n"/>
      <c r="T190" s="67" t="n"/>
      <c r="U190" s="67" t="n"/>
      <c r="V190" s="67" t="n"/>
      <c r="W190" s="67" t="n"/>
      <c r="X190" s="67" t="n"/>
    </row>
    <row r="191" ht="22.35" customHeight="1" s="45">
      <c r="A191" s="65" t="inlineStr">
        <is>
          <t>A17.19</t>
        </is>
      </c>
      <c r="B191" s="66" t="inlineStr">
        <is>
          <t>Doc 17</t>
        </is>
      </c>
      <c r="C191" s="66" t="inlineStr">
        <is>
          <t>— (see heading)</t>
        </is>
      </c>
      <c r="D191" s="66" t="inlineStr">
        <is>
          <t>V7 — Document &amp; design inspection</t>
        </is>
      </c>
      <c r="E191" s="66" t="n"/>
      <c r="F191" s="66" t="inlineStr">
        <is>
          <t>Specification text against implementation description; provenance sections; objective card lines</t>
        </is>
      </c>
      <c r="G191" s="66" t="inlineStr">
        <is>
          <t>B — sample ≥ 30%</t>
        </is>
      </c>
      <c r="H191" s="67" t="n"/>
      <c r="I191" s="67" t="n"/>
      <c r="J191" s="67" t="n"/>
      <c r="K191" s="64">
        <f>IFERROR(INDEX('Status Map'!$B$2:$B$12,MATCH(C191,'Status Map'!$A$2:$A$12,0)),"UNDEFINED")</f>
        <v/>
      </c>
      <c r="L191" s="64">
        <f>IFERROR(INDEX('Status Map'!$C$2:$C$12,MATCH(C191,'Status Map'!$A$2:$A$12,0)),"UNDEFINED")</f>
        <v/>
      </c>
      <c r="M191" s="68" t="inlineStr">
        <is>
          <t>HEADING ONLY</t>
        </is>
      </c>
      <c r="N191" s="68" t="n"/>
      <c r="O191" s="68" t="n"/>
      <c r="P191" s="64">
        <f>IF(O191&lt;&gt;"",O191,LEFT(D191,2))</f>
        <v/>
      </c>
      <c r="Q191" s="64">
        <f>IF(O191&lt;&gt;"","Standards §6",IF(M191="HEADING ONLY","Derived from heading — PROVISIONAL",IF(M191="TEXT NOT IN REGISTRY","No text to derive from — PROVISIONAL","Derived from registered statement")))</f>
        <v/>
      </c>
      <c r="R191" s="64">
        <f>IF(OR(LEFT(G191,1)="A",L191="COUNTS",ISNUMBER(SEARCH("V1",P191)),ISNUMBER(SEARCH("V2",P191)),ISNUMBER(SEARCH("V5",P191))),"A — 100%","B — sample ≥ 30%")</f>
        <v/>
      </c>
      <c r="S191" s="67" t="n"/>
      <c r="T191" s="67" t="n"/>
      <c r="U191" s="67" t="n"/>
      <c r="V191" s="67" t="n"/>
      <c r="W191" s="67" t="n"/>
      <c r="X191" s="67" t="n"/>
    </row>
    <row r="192" ht="22.35" customHeight="1" s="45">
      <c r="A192" s="65" t="inlineStr">
        <is>
          <t>A17.19a</t>
        </is>
      </c>
      <c r="B192" s="66" t="inlineStr">
        <is>
          <t>Doc 17</t>
        </is>
      </c>
      <c r="C192" s="66" t="inlineStr">
        <is>
          <t>CANON</t>
        </is>
      </c>
      <c r="D192" s="66" t="inlineStr">
        <is>
          <t>V7 — Document &amp; design inspection</t>
        </is>
      </c>
      <c r="E192" s="66" t="n"/>
      <c r="F192" s="66" t="inlineStr">
        <is>
          <t>Specification text against implementation description; provenance sections; objective card lines</t>
        </is>
      </c>
      <c r="G192" s="66" t="inlineStr">
        <is>
          <t>B — sample ≥ 30%</t>
        </is>
      </c>
      <c r="H192" s="67" t="n"/>
      <c r="I192" s="67" t="n"/>
      <c r="J192" s="67" t="n"/>
      <c r="K192" s="64">
        <f>IFERROR(INDEX('Status Map'!$B$2:$B$12,MATCH(C192,'Status Map'!$A$2:$A$12,0)),"UNDEFINED")</f>
        <v/>
      </c>
      <c r="L192" s="64">
        <f>IFERROR(INDEX('Status Map'!$C$2:$C$12,MATCH(C192,'Status Map'!$A$2:$A$12,0)),"UNDEFINED")</f>
        <v/>
      </c>
      <c r="M192" s="68" t="inlineStr">
        <is>
          <t>HEADING ONLY</t>
        </is>
      </c>
      <c r="N192" s="68" t="n"/>
      <c r="O192" s="68" t="n"/>
      <c r="P192" s="64">
        <f>IF(O192&lt;&gt;"",O192,LEFT(D192,2))</f>
        <v/>
      </c>
      <c r="Q192" s="64">
        <f>IF(O192&lt;&gt;"","Standards §6",IF(M192="HEADING ONLY","Derived from heading — PROVISIONAL",IF(M192="TEXT NOT IN REGISTRY","No text to derive from — PROVISIONAL","Derived from registered statement")))</f>
        <v/>
      </c>
      <c r="R192" s="64">
        <f>IF(OR(LEFT(G192,1)="A",L192="COUNTS",ISNUMBER(SEARCH("V1",P192)),ISNUMBER(SEARCH("V2",P192)),ISNUMBER(SEARCH("V5",P192))),"A — 100%","B — sample ≥ 30%")</f>
        <v/>
      </c>
      <c r="S192" s="67" t="n"/>
      <c r="T192" s="67" t="n"/>
      <c r="U192" s="67" t="n"/>
      <c r="V192" s="67" t="n"/>
      <c r="W192" s="67" t="n"/>
      <c r="X192" s="67" t="n"/>
    </row>
    <row r="193" ht="22.35" customHeight="1" s="45">
      <c r="A193" s="65" t="inlineStr">
        <is>
          <t>A17.19b</t>
        </is>
      </c>
      <c r="B193" s="66" t="inlineStr">
        <is>
          <t>Doc 17</t>
        </is>
      </c>
      <c r="C193" s="66" t="inlineStr">
        <is>
          <t>CANON</t>
        </is>
      </c>
      <c r="D193" s="66" t="inlineStr">
        <is>
          <t>V7 — Document &amp; design inspection</t>
        </is>
      </c>
      <c r="E193" s="66" t="n"/>
      <c r="F193" s="66" t="inlineStr">
        <is>
          <t>Specification text against implementation description; provenance sections; objective card lines</t>
        </is>
      </c>
      <c r="G193" s="66" t="inlineStr">
        <is>
          <t>B — sample ≥ 30%</t>
        </is>
      </c>
      <c r="H193" s="67" t="n"/>
      <c r="I193" s="67" t="n"/>
      <c r="J193" s="67" t="n"/>
      <c r="K193" s="64">
        <f>IFERROR(INDEX('Status Map'!$B$2:$B$12,MATCH(C193,'Status Map'!$A$2:$A$12,0)),"UNDEFINED")</f>
        <v/>
      </c>
      <c r="L193" s="64">
        <f>IFERROR(INDEX('Status Map'!$C$2:$C$12,MATCH(C193,'Status Map'!$A$2:$A$12,0)),"UNDEFINED")</f>
        <v/>
      </c>
      <c r="M193" s="68" t="inlineStr">
        <is>
          <t>HEADING ONLY</t>
        </is>
      </c>
      <c r="N193" s="68" t="n"/>
      <c r="O193" s="68" t="n"/>
      <c r="P193" s="64">
        <f>IF(O193&lt;&gt;"",O193,LEFT(D193,2))</f>
        <v/>
      </c>
      <c r="Q193" s="64">
        <f>IF(O193&lt;&gt;"","Standards §6",IF(M193="HEADING ONLY","Derived from heading — PROVISIONAL",IF(M193="TEXT NOT IN REGISTRY","No text to derive from — PROVISIONAL","Derived from registered statement")))</f>
        <v/>
      </c>
      <c r="R193" s="64">
        <f>IF(OR(LEFT(G193,1)="A",L193="COUNTS",ISNUMBER(SEARCH("V1",P193)),ISNUMBER(SEARCH("V2",P193)),ISNUMBER(SEARCH("V5",P193))),"A — 100%","B — sample ≥ 30%")</f>
        <v/>
      </c>
      <c r="S193" s="67" t="n"/>
      <c r="T193" s="67" t="n"/>
      <c r="U193" s="67" t="n"/>
      <c r="V193" s="67" t="n"/>
      <c r="W193" s="67" t="n"/>
      <c r="X193" s="67" t="n"/>
    </row>
    <row r="194" ht="22.35" customHeight="1" s="45">
      <c r="A194" s="65" t="inlineStr">
        <is>
          <t>A17.19c</t>
        </is>
      </c>
      <c r="B194" s="66" t="inlineStr">
        <is>
          <t>Doc 17</t>
        </is>
      </c>
      <c r="C194" s="66" t="inlineStr">
        <is>
          <t>CANON</t>
        </is>
      </c>
      <c r="D194" s="66" t="inlineStr">
        <is>
          <t>V7 — Document &amp; design inspection</t>
        </is>
      </c>
      <c r="E194" s="66" t="n"/>
      <c r="F194" s="66" t="inlineStr">
        <is>
          <t>Specification text against implementation description; provenance sections; objective card lines</t>
        </is>
      </c>
      <c r="G194" s="66" t="inlineStr">
        <is>
          <t>B — sample ≥ 30%</t>
        </is>
      </c>
      <c r="H194" s="67" t="n"/>
      <c r="I194" s="67" t="n"/>
      <c r="J194" s="67" t="n"/>
      <c r="K194" s="64">
        <f>IFERROR(INDEX('Status Map'!$B$2:$B$12,MATCH(C194,'Status Map'!$A$2:$A$12,0)),"UNDEFINED")</f>
        <v/>
      </c>
      <c r="L194" s="64">
        <f>IFERROR(INDEX('Status Map'!$C$2:$C$12,MATCH(C194,'Status Map'!$A$2:$A$12,0)),"UNDEFINED")</f>
        <v/>
      </c>
      <c r="M194" s="68" t="inlineStr">
        <is>
          <t>HEADING ONLY</t>
        </is>
      </c>
      <c r="N194" s="68" t="n"/>
      <c r="O194" s="68" t="n"/>
      <c r="P194" s="64">
        <f>IF(O194&lt;&gt;"",O194,LEFT(D194,2))</f>
        <v/>
      </c>
      <c r="Q194" s="64">
        <f>IF(O194&lt;&gt;"","Standards §6",IF(M194="HEADING ONLY","Derived from heading — PROVISIONAL",IF(M194="TEXT NOT IN REGISTRY","No text to derive from — PROVISIONAL","Derived from registered statement")))</f>
        <v/>
      </c>
      <c r="R194" s="64">
        <f>IF(OR(LEFT(G194,1)="A",L194="COUNTS",ISNUMBER(SEARCH("V1",P194)),ISNUMBER(SEARCH("V2",P194)),ISNUMBER(SEARCH("V5",P194))),"A — 100%","B — sample ≥ 30%")</f>
        <v/>
      </c>
      <c r="S194" s="67" t="n"/>
      <c r="T194" s="67" t="n"/>
      <c r="U194" s="67" t="n"/>
      <c r="V194" s="67" t="n"/>
      <c r="W194" s="67" t="n"/>
      <c r="X194" s="67" t="n"/>
    </row>
    <row r="195" ht="22.35" customHeight="1" s="45">
      <c r="A195" s="65" t="inlineStr">
        <is>
          <t>A17.19d</t>
        </is>
      </c>
      <c r="B195" s="66" t="inlineStr">
        <is>
          <t>Doc 17</t>
        </is>
      </c>
      <c r="C195" s="66" t="inlineStr">
        <is>
          <t>OPEN</t>
        </is>
      </c>
      <c r="D195" s="66" t="inlineStr">
        <is>
          <t>V4 — Governance-record evidence</t>
        </is>
      </c>
      <c r="E195" s="66" t="n"/>
      <c r="F195" s="66" t="inlineStr">
        <is>
          <t>DECISIONS.md entry; ceremony record with tier, countersign, countdown, apply, re-verify; canon_ref present</t>
        </is>
      </c>
      <c r="G195" s="66" t="inlineStr">
        <is>
          <t>B — sample ≥ 30%</t>
        </is>
      </c>
      <c r="H195" s="67" t="n"/>
      <c r="I195" s="67" t="n"/>
      <c r="J195" s="67" t="n"/>
      <c r="K195" s="64">
        <f>IFERROR(INDEX('Status Map'!$B$2:$B$12,MATCH(C195,'Status Map'!$A$2:$A$12,0)),"UNDEFINED")</f>
        <v/>
      </c>
      <c r="L195" s="64">
        <f>IFERROR(INDEX('Status Map'!$C$2:$C$12,MATCH(C195,'Status Map'!$A$2:$A$12,0)),"UNDEFINED")</f>
        <v/>
      </c>
      <c r="M195" s="68" t="inlineStr">
        <is>
          <t>HEADING ONLY</t>
        </is>
      </c>
      <c r="N195" s="68" t="n"/>
      <c r="O195" s="68" t="n"/>
      <c r="P195" s="64">
        <f>IF(O195&lt;&gt;"",O195,LEFT(D195,2))</f>
        <v/>
      </c>
      <c r="Q195" s="64">
        <f>IF(O195&lt;&gt;"","Standards §6",IF(M195="HEADING ONLY","Derived from heading — PROVISIONAL",IF(M195="TEXT NOT IN REGISTRY","No text to derive from — PROVISIONAL","Derived from registered statement")))</f>
        <v/>
      </c>
      <c r="R195" s="64">
        <f>IF(OR(LEFT(G195,1)="A",L195="COUNTS",ISNUMBER(SEARCH("V1",P195)),ISNUMBER(SEARCH("V2",P195)),ISNUMBER(SEARCH("V5",P195))),"A — 100%","B — sample ≥ 30%")</f>
        <v/>
      </c>
      <c r="S195" s="67" t="n"/>
      <c r="T195" s="67" t="n"/>
      <c r="U195" s="67" t="n"/>
      <c r="V195" s="67" t="n"/>
      <c r="W195" s="67" t="n"/>
      <c r="X195" s="67" t="n"/>
    </row>
    <row r="196" ht="22.35" customHeight="1" s="45">
      <c r="A196" s="65" t="inlineStr">
        <is>
          <t>A17.2</t>
        </is>
      </c>
      <c r="B196" s="66" t="inlineStr">
        <is>
          <t>Doc 17</t>
        </is>
      </c>
      <c r="C196" s="66" t="inlineStr">
        <is>
          <t>CANON</t>
        </is>
      </c>
      <c r="D196" s="66" t="inlineStr">
        <is>
          <t>V7 — Document &amp; design inspection</t>
        </is>
      </c>
      <c r="E196" s="66" t="n"/>
      <c r="F196" s="66" t="inlineStr">
        <is>
          <t>Specification text against implementation description; provenance sections; objective card lines</t>
        </is>
      </c>
      <c r="G196" s="66" t="inlineStr">
        <is>
          <t>B — sample ≥ 30%</t>
        </is>
      </c>
      <c r="H196" s="67" t="n"/>
      <c r="I196" s="67" t="n"/>
      <c r="J196" s="67" t="n"/>
      <c r="K196" s="64">
        <f>IFERROR(INDEX('Status Map'!$B$2:$B$12,MATCH(C196,'Status Map'!$A$2:$A$12,0)),"UNDEFINED")</f>
        <v/>
      </c>
      <c r="L196" s="64">
        <f>IFERROR(INDEX('Status Map'!$C$2:$C$12,MATCH(C196,'Status Map'!$A$2:$A$12,0)),"UNDEFINED")</f>
        <v/>
      </c>
      <c r="M196" s="68" t="inlineStr">
        <is>
          <t>HEADING ONLY</t>
        </is>
      </c>
      <c r="N196" s="68" t="n"/>
      <c r="O196" s="68" t="n"/>
      <c r="P196" s="64">
        <f>IF(O196&lt;&gt;"",O196,LEFT(D196,2))</f>
        <v/>
      </c>
      <c r="Q196" s="64">
        <f>IF(O196&lt;&gt;"","Standards §6",IF(M196="HEADING ONLY","Derived from heading — PROVISIONAL",IF(M196="TEXT NOT IN REGISTRY","No text to derive from — PROVISIONAL","Derived from registered statement")))</f>
        <v/>
      </c>
      <c r="R196" s="64">
        <f>IF(OR(LEFT(G196,1)="A",L196="COUNTS",ISNUMBER(SEARCH("V1",P196)),ISNUMBER(SEARCH("V2",P196)),ISNUMBER(SEARCH("V5",P196))),"A — 100%","B — sample ≥ 30%")</f>
        <v/>
      </c>
      <c r="S196" s="67" t="n"/>
      <c r="T196" s="67" t="n"/>
      <c r="U196" s="67" t="n"/>
      <c r="V196" s="67" t="n"/>
      <c r="W196" s="67" t="n"/>
      <c r="X196" s="67" t="n"/>
    </row>
    <row r="197" ht="22.35" customHeight="1" s="45">
      <c r="A197" s="65" t="inlineStr">
        <is>
          <t>A17.20</t>
        </is>
      </c>
      <c r="B197" s="66" t="inlineStr">
        <is>
          <t>Doc 17</t>
        </is>
      </c>
      <c r="C197" s="66" t="inlineStr">
        <is>
          <t>— (see heading)</t>
        </is>
      </c>
      <c r="D197" s="66" t="inlineStr">
        <is>
          <t>V7 — Document &amp; design inspection</t>
        </is>
      </c>
      <c r="E197" s="66" t="n"/>
      <c r="F197" s="66" t="inlineStr">
        <is>
          <t>Specification text against implementation description; provenance sections; objective card lines</t>
        </is>
      </c>
      <c r="G197" s="66" t="inlineStr">
        <is>
          <t>B — sample ≥ 30%</t>
        </is>
      </c>
      <c r="H197" s="67" t="n"/>
      <c r="I197" s="67" t="n"/>
      <c r="J197" s="67" t="n"/>
      <c r="K197" s="64">
        <f>IFERROR(INDEX('Status Map'!$B$2:$B$12,MATCH(C197,'Status Map'!$A$2:$A$12,0)),"UNDEFINED")</f>
        <v/>
      </c>
      <c r="L197" s="64">
        <f>IFERROR(INDEX('Status Map'!$C$2:$C$12,MATCH(C197,'Status Map'!$A$2:$A$12,0)),"UNDEFINED")</f>
        <v/>
      </c>
      <c r="M197" s="68" t="inlineStr">
        <is>
          <t>HEADING ONLY</t>
        </is>
      </c>
      <c r="N197" s="68" t="n"/>
      <c r="O197" s="68" t="n"/>
      <c r="P197" s="64">
        <f>IF(O197&lt;&gt;"",O197,LEFT(D197,2))</f>
        <v/>
      </c>
      <c r="Q197" s="64">
        <f>IF(O197&lt;&gt;"","Standards §6",IF(M197="HEADING ONLY","Derived from heading — PROVISIONAL",IF(M197="TEXT NOT IN REGISTRY","No text to derive from — PROVISIONAL","Derived from registered statement")))</f>
        <v/>
      </c>
      <c r="R197" s="64">
        <f>IF(OR(LEFT(G197,1)="A",L197="COUNTS",ISNUMBER(SEARCH("V1",P197)),ISNUMBER(SEARCH("V2",P197)),ISNUMBER(SEARCH("V5",P197))),"A — 100%","B — sample ≥ 30%")</f>
        <v/>
      </c>
      <c r="S197" s="67" t="n"/>
      <c r="T197" s="67" t="n"/>
      <c r="U197" s="67" t="n"/>
      <c r="V197" s="67" t="n"/>
      <c r="W197" s="67" t="n"/>
      <c r="X197" s="67" t="n"/>
    </row>
    <row r="198" ht="22.35" customHeight="1" s="45">
      <c r="A198" s="65" t="inlineStr">
        <is>
          <t>A17.3</t>
        </is>
      </c>
      <c r="B198" s="66" t="inlineStr">
        <is>
          <t>Doc 17</t>
        </is>
      </c>
      <c r="C198" s="66" t="inlineStr">
        <is>
          <t>CANON</t>
        </is>
      </c>
      <c r="D198" s="66" t="inlineStr">
        <is>
          <t>V7 — Document &amp; design inspection</t>
        </is>
      </c>
      <c r="E198" s="66" t="n"/>
      <c r="F198" s="66" t="inlineStr">
        <is>
          <t>Specification text against implementation description; provenance sections; objective card lines</t>
        </is>
      </c>
      <c r="G198" s="66" t="inlineStr">
        <is>
          <t>B — sample ≥ 30%</t>
        </is>
      </c>
      <c r="H198" s="67" t="n"/>
      <c r="I198" s="67" t="n"/>
      <c r="J198" s="67" t="n"/>
      <c r="K198" s="64">
        <f>IFERROR(INDEX('Status Map'!$B$2:$B$12,MATCH(C198,'Status Map'!$A$2:$A$12,0)),"UNDEFINED")</f>
        <v/>
      </c>
      <c r="L198" s="64">
        <f>IFERROR(INDEX('Status Map'!$C$2:$C$12,MATCH(C198,'Status Map'!$A$2:$A$12,0)),"UNDEFINED")</f>
        <v/>
      </c>
      <c r="M198" s="68" t="inlineStr">
        <is>
          <t>HEADING ONLY</t>
        </is>
      </c>
      <c r="N198" s="68" t="n"/>
      <c r="O198" s="68" t="n"/>
      <c r="P198" s="64">
        <f>IF(O198&lt;&gt;"",O198,LEFT(D198,2))</f>
        <v/>
      </c>
      <c r="Q198" s="64">
        <f>IF(O198&lt;&gt;"","Standards §6",IF(M198="HEADING ONLY","Derived from heading — PROVISIONAL",IF(M198="TEXT NOT IN REGISTRY","No text to derive from — PROVISIONAL","Derived from registered statement")))</f>
        <v/>
      </c>
      <c r="R198" s="64">
        <f>IF(OR(LEFT(G198,1)="A",L198="COUNTS",ISNUMBER(SEARCH("V1",P198)),ISNUMBER(SEARCH("V2",P198)),ISNUMBER(SEARCH("V5",P198))),"A — 100%","B — sample ≥ 30%")</f>
        <v/>
      </c>
      <c r="S198" s="67" t="n"/>
      <c r="T198" s="67" t="n"/>
      <c r="U198" s="67" t="n"/>
      <c r="V198" s="67" t="n"/>
      <c r="W198" s="67" t="n"/>
      <c r="X198" s="67" t="n"/>
    </row>
    <row r="199" ht="22.35" customHeight="1" s="45">
      <c r="A199" s="65" t="inlineStr">
        <is>
          <t>A17.4</t>
        </is>
      </c>
      <c r="B199" s="66" t="inlineStr">
        <is>
          <t>Doc 17</t>
        </is>
      </c>
      <c r="C199" s="66" t="inlineStr">
        <is>
          <t>CANON</t>
        </is>
      </c>
      <c r="D199" s="66" t="inlineStr">
        <is>
          <t>V7 — Document &amp; design inspection</t>
        </is>
      </c>
      <c r="E199" s="66" t="n"/>
      <c r="F199" s="66" t="inlineStr">
        <is>
          <t>Specification text against implementation description; provenance sections; objective card lines</t>
        </is>
      </c>
      <c r="G199" s="66" t="inlineStr">
        <is>
          <t>B — sample ≥ 30%</t>
        </is>
      </c>
      <c r="H199" s="67" t="n"/>
      <c r="I199" s="67" t="n"/>
      <c r="J199" s="67" t="n"/>
      <c r="K199" s="64">
        <f>IFERROR(INDEX('Status Map'!$B$2:$B$12,MATCH(C199,'Status Map'!$A$2:$A$12,0)),"UNDEFINED")</f>
        <v/>
      </c>
      <c r="L199" s="64">
        <f>IFERROR(INDEX('Status Map'!$C$2:$C$12,MATCH(C199,'Status Map'!$A$2:$A$12,0)),"UNDEFINED")</f>
        <v/>
      </c>
      <c r="M199" s="68" t="inlineStr">
        <is>
          <t>HEADING ONLY</t>
        </is>
      </c>
      <c r="N199" s="68" t="n"/>
      <c r="O199" s="68" t="n"/>
      <c r="P199" s="64">
        <f>IF(O199&lt;&gt;"",O199,LEFT(D199,2))</f>
        <v/>
      </c>
      <c r="Q199" s="64">
        <f>IF(O199&lt;&gt;"","Standards §6",IF(M199="HEADING ONLY","Derived from heading — PROVISIONAL",IF(M199="TEXT NOT IN REGISTRY","No text to derive from — PROVISIONAL","Derived from registered statement")))</f>
        <v/>
      </c>
      <c r="R199" s="64">
        <f>IF(OR(LEFT(G199,1)="A",L199="COUNTS",ISNUMBER(SEARCH("V1",P199)),ISNUMBER(SEARCH("V2",P199)),ISNUMBER(SEARCH("V5",P199))),"A — 100%","B — sample ≥ 30%")</f>
        <v/>
      </c>
      <c r="S199" s="67" t="n"/>
      <c r="T199" s="67" t="n"/>
      <c r="U199" s="67" t="n"/>
      <c r="V199" s="67" t="n"/>
      <c r="W199" s="67" t="n"/>
      <c r="X199" s="67" t="n"/>
    </row>
    <row r="200" ht="22.35" customHeight="1" s="45">
      <c r="A200" s="65" t="inlineStr">
        <is>
          <t>A17.5–A17.6</t>
        </is>
      </c>
      <c r="B200" s="66" t="inlineStr">
        <is>
          <t>Doc 17</t>
        </is>
      </c>
      <c r="C200" s="66" t="inlineStr">
        <is>
          <t>CANON</t>
        </is>
      </c>
      <c r="D200" s="66" t="inlineStr">
        <is>
          <t>V7 — Document &amp; design inspection</t>
        </is>
      </c>
      <c r="E200" s="66" t="n"/>
      <c r="F200" s="66" t="inlineStr">
        <is>
          <t>Specification text against implementation description; provenance sections; objective card lines</t>
        </is>
      </c>
      <c r="G200" s="66" t="inlineStr">
        <is>
          <t>B — sample ≥ 30%</t>
        </is>
      </c>
      <c r="H200" s="67" t="n"/>
      <c r="I200" s="67" t="n"/>
      <c r="J200" s="67" t="n"/>
      <c r="K200" s="64">
        <f>IFERROR(INDEX('Status Map'!$B$2:$B$12,MATCH(C200,'Status Map'!$A$2:$A$12,0)),"UNDEFINED")</f>
        <v/>
      </c>
      <c r="L200" s="64">
        <f>IFERROR(INDEX('Status Map'!$C$2:$C$12,MATCH(C200,'Status Map'!$A$2:$A$12,0)),"UNDEFINED")</f>
        <v/>
      </c>
      <c r="M200" s="68" t="inlineStr">
        <is>
          <t>HEADING ONLY</t>
        </is>
      </c>
      <c r="N200" s="68" t="n"/>
      <c r="O200" s="68" t="n"/>
      <c r="P200" s="64">
        <f>IF(O200&lt;&gt;"",O200,LEFT(D200,2))</f>
        <v/>
      </c>
      <c r="Q200" s="64">
        <f>IF(O200&lt;&gt;"","Standards §6",IF(M200="HEADING ONLY","Derived from heading — PROVISIONAL",IF(M200="TEXT NOT IN REGISTRY","No text to derive from — PROVISIONAL","Derived from registered statement")))</f>
        <v/>
      </c>
      <c r="R200" s="64">
        <f>IF(OR(LEFT(G200,1)="A",L200="COUNTS",ISNUMBER(SEARCH("V1",P200)),ISNUMBER(SEARCH("V2",P200)),ISNUMBER(SEARCH("V5",P200))),"A — 100%","B — sample ≥ 30%")</f>
        <v/>
      </c>
      <c r="S200" s="67" t="n"/>
      <c r="T200" s="67" t="n"/>
      <c r="U200" s="67" t="n"/>
      <c r="V200" s="67" t="n"/>
      <c r="W200" s="67" t="n"/>
      <c r="X200" s="67" t="n"/>
    </row>
    <row r="201" ht="22.35" customHeight="1" s="45">
      <c r="A201" s="65" t="inlineStr">
        <is>
          <t>A17.7</t>
        </is>
      </c>
      <c r="B201" s="66" t="inlineStr">
        <is>
          <t>Doc 17</t>
        </is>
      </c>
      <c r="C201" s="66" t="inlineStr">
        <is>
          <t>CANON</t>
        </is>
      </c>
      <c r="D201" s="66" t="inlineStr">
        <is>
          <t>V7 — Document &amp; design inspection</t>
        </is>
      </c>
      <c r="E201" s="66" t="n"/>
      <c r="F201" s="66" t="inlineStr">
        <is>
          <t>Specification text against implementation description; provenance sections; objective card lines</t>
        </is>
      </c>
      <c r="G201" s="66" t="inlineStr">
        <is>
          <t>B — sample ≥ 30%</t>
        </is>
      </c>
      <c r="H201" s="67" t="n"/>
      <c r="I201" s="67" t="n"/>
      <c r="J201" s="67" t="n"/>
      <c r="K201" s="64">
        <f>IFERROR(INDEX('Status Map'!$B$2:$B$12,MATCH(C201,'Status Map'!$A$2:$A$12,0)),"UNDEFINED")</f>
        <v/>
      </c>
      <c r="L201" s="64">
        <f>IFERROR(INDEX('Status Map'!$C$2:$C$12,MATCH(C201,'Status Map'!$A$2:$A$12,0)),"UNDEFINED")</f>
        <v/>
      </c>
      <c r="M201" s="68" t="inlineStr">
        <is>
          <t>HEADING ONLY</t>
        </is>
      </c>
      <c r="N201" s="68" t="n"/>
      <c r="O201" s="68" t="n"/>
      <c r="P201" s="64">
        <f>IF(O201&lt;&gt;"",O201,LEFT(D201,2))</f>
        <v/>
      </c>
      <c r="Q201" s="64">
        <f>IF(O201&lt;&gt;"","Standards §6",IF(M201="HEADING ONLY","Derived from heading — PROVISIONAL",IF(M201="TEXT NOT IN REGISTRY","No text to derive from — PROVISIONAL","Derived from registered statement")))</f>
        <v/>
      </c>
      <c r="R201" s="64">
        <f>IF(OR(LEFT(G201,1)="A",L201="COUNTS",ISNUMBER(SEARCH("V1",P201)),ISNUMBER(SEARCH("V2",P201)),ISNUMBER(SEARCH("V5",P201))),"A — 100%","B — sample ≥ 30%")</f>
        <v/>
      </c>
      <c r="S201" s="67" t="n"/>
      <c r="T201" s="67" t="n"/>
      <c r="U201" s="67" t="n"/>
      <c r="V201" s="67" t="n"/>
      <c r="W201" s="67" t="n"/>
      <c r="X201" s="67" t="n"/>
    </row>
    <row r="202" ht="22.35" customHeight="1" s="45">
      <c r="A202" s="65" t="inlineStr">
        <is>
          <t>A17.8</t>
        </is>
      </c>
      <c r="B202" s="66" t="inlineStr">
        <is>
          <t>Doc 17</t>
        </is>
      </c>
      <c r="C202" s="66" t="inlineStr">
        <is>
          <t>CANON</t>
        </is>
      </c>
      <c r="D202" s="66" t="inlineStr">
        <is>
          <t>V7 — Document &amp; design inspection</t>
        </is>
      </c>
      <c r="E202" s="66" t="n"/>
      <c r="F202" s="66" t="inlineStr">
        <is>
          <t>Specification text against implementation description; provenance sections; objective card lines</t>
        </is>
      </c>
      <c r="G202" s="66" t="inlineStr">
        <is>
          <t>B — sample ≥ 30%</t>
        </is>
      </c>
      <c r="H202" s="67" t="n"/>
      <c r="I202" s="67" t="n"/>
      <c r="J202" s="67" t="n"/>
      <c r="K202" s="64">
        <f>IFERROR(INDEX('Status Map'!$B$2:$B$12,MATCH(C202,'Status Map'!$A$2:$A$12,0)),"UNDEFINED")</f>
        <v/>
      </c>
      <c r="L202" s="64">
        <f>IFERROR(INDEX('Status Map'!$C$2:$C$12,MATCH(C202,'Status Map'!$A$2:$A$12,0)),"UNDEFINED")</f>
        <v/>
      </c>
      <c r="M202" s="68" t="inlineStr">
        <is>
          <t>HEADING ONLY</t>
        </is>
      </c>
      <c r="N202" s="68" t="n"/>
      <c r="O202" s="68" t="n"/>
      <c r="P202" s="64">
        <f>IF(O202&lt;&gt;"",O202,LEFT(D202,2))</f>
        <v/>
      </c>
      <c r="Q202" s="64">
        <f>IF(O202&lt;&gt;"","Standards §6",IF(M202="HEADING ONLY","Derived from heading — PROVISIONAL",IF(M202="TEXT NOT IN REGISTRY","No text to derive from — PROVISIONAL","Derived from registered statement")))</f>
        <v/>
      </c>
      <c r="R202" s="64">
        <f>IF(OR(LEFT(G202,1)="A",L202="COUNTS",ISNUMBER(SEARCH("V1",P202)),ISNUMBER(SEARCH("V2",P202)),ISNUMBER(SEARCH("V5",P202))),"A — 100%","B — sample ≥ 30%")</f>
        <v/>
      </c>
      <c r="S202" s="67" t="n"/>
      <c r="T202" s="67" t="n"/>
      <c r="U202" s="67" t="n"/>
      <c r="V202" s="67" t="n"/>
      <c r="W202" s="67" t="n"/>
      <c r="X202" s="67" t="n"/>
    </row>
    <row r="203" ht="32.8" customHeight="1" s="45">
      <c r="A203" s="65" t="inlineStr">
        <is>
          <t>A17.9</t>
        </is>
      </c>
      <c r="B203" s="66" t="inlineStr">
        <is>
          <t>Doc 17</t>
        </is>
      </c>
      <c r="C203" s="66" t="inlineStr">
        <is>
          <t>CANON</t>
        </is>
      </c>
      <c r="D203" s="66" t="inlineStr">
        <is>
          <t>V5 — Failure-injection demonstration</t>
        </is>
      </c>
      <c r="E203" s="66" t="n"/>
      <c r="F203" s="66" t="inlineStr">
        <is>
          <t>Dependency made unreachable or check made to error; observed refusal; no result returned; stale marker where degradation is the ruled posture</t>
        </is>
      </c>
      <c r="G203" s="66" t="inlineStr">
        <is>
          <t>A — 100%</t>
        </is>
      </c>
      <c r="H203" s="67" t="n"/>
      <c r="I203" s="67" t="n"/>
      <c r="J203" s="67" t="n"/>
      <c r="K203" s="64">
        <f>IFERROR(INDEX('Status Map'!$B$2:$B$12,MATCH(C203,'Status Map'!$A$2:$A$12,0)),"UNDEFINED")</f>
        <v/>
      </c>
      <c r="L203" s="64">
        <f>IFERROR(INDEX('Status Map'!$C$2:$C$12,MATCH(C203,'Status Map'!$A$2:$A$12,0)),"UNDEFINED")</f>
        <v/>
      </c>
      <c r="M203" s="68" t="inlineStr">
        <is>
          <t>HEADING ONLY</t>
        </is>
      </c>
      <c r="N203" s="68" t="n"/>
      <c r="O203" s="68" t="n"/>
      <c r="P203" s="64">
        <f>IF(O203&lt;&gt;"",O203,LEFT(D203,2))</f>
        <v/>
      </c>
      <c r="Q203" s="64">
        <f>IF(O203&lt;&gt;"","Standards §6",IF(M203="HEADING ONLY","Derived from heading — PROVISIONAL",IF(M203="TEXT NOT IN REGISTRY","No text to derive from — PROVISIONAL","Derived from registered statement")))</f>
        <v/>
      </c>
      <c r="R203" s="64">
        <f>IF(OR(LEFT(G203,1)="A",L203="COUNTS",ISNUMBER(SEARCH("V1",P203)),ISNUMBER(SEARCH("V2",P203)),ISNUMBER(SEARCH("V5",P203))),"A — 100%","B — sample ≥ 30%")</f>
        <v/>
      </c>
      <c r="S203" s="67" t="n"/>
      <c r="T203" s="67" t="n"/>
      <c r="U203" s="67" t="n"/>
      <c r="V203" s="67" t="n"/>
      <c r="W203" s="67" t="n"/>
      <c r="X203" s="67" t="n"/>
    </row>
    <row r="204" ht="22.35" customHeight="1" s="45">
      <c r="A204" s="65" t="inlineStr">
        <is>
          <t>A20.1</t>
        </is>
      </c>
      <c r="B204" s="66" t="inlineStr">
        <is>
          <t>Doc 20</t>
        </is>
      </c>
      <c r="C204" s="66" t="inlineStr">
        <is>
          <t>CANON</t>
        </is>
      </c>
      <c r="D204" s="66" t="inlineStr">
        <is>
          <t>V7 — Document &amp; design inspection</t>
        </is>
      </c>
      <c r="E204" s="66" t="n"/>
      <c r="F204" s="66" t="inlineStr">
        <is>
          <t>Specification text against implementation description; provenance sections; objective card lines</t>
        </is>
      </c>
      <c r="G204" s="66" t="inlineStr">
        <is>
          <t>B — sample ≥ 30%</t>
        </is>
      </c>
      <c r="H204" s="67" t="n"/>
      <c r="I204" s="67" t="n"/>
      <c r="J204" s="67" t="n"/>
      <c r="K204" s="64">
        <f>IFERROR(INDEX('Status Map'!$B$2:$B$12,MATCH(C204,'Status Map'!$A$2:$A$12,0)),"UNDEFINED")</f>
        <v/>
      </c>
      <c r="L204" s="64">
        <f>IFERROR(INDEX('Status Map'!$C$2:$C$12,MATCH(C204,'Status Map'!$A$2:$A$12,0)),"UNDEFINED")</f>
        <v/>
      </c>
      <c r="M204" s="68" t="inlineStr">
        <is>
          <t>HEADING ONLY</t>
        </is>
      </c>
      <c r="N204" s="68" t="n"/>
      <c r="O204" s="68" t="n"/>
      <c r="P204" s="64">
        <f>IF(O204&lt;&gt;"",O204,LEFT(D204,2))</f>
        <v/>
      </c>
      <c r="Q204" s="64">
        <f>IF(O204&lt;&gt;"","Standards §6",IF(M204="HEADING ONLY","Derived from heading — PROVISIONAL",IF(M204="TEXT NOT IN REGISTRY","No text to derive from — PROVISIONAL","Derived from registered statement")))</f>
        <v/>
      </c>
      <c r="R204" s="64">
        <f>IF(OR(LEFT(G204,1)="A",L204="COUNTS",ISNUMBER(SEARCH("V1",P204)),ISNUMBER(SEARCH("V2",P204)),ISNUMBER(SEARCH("V5",P204))),"A — 100%","B — sample ≥ 30%")</f>
        <v/>
      </c>
      <c r="S204" s="67" t="n"/>
      <c r="T204" s="67" t="n"/>
      <c r="U204" s="67" t="n"/>
      <c r="V204" s="67" t="n"/>
      <c r="W204" s="67" t="n"/>
      <c r="X204" s="67" t="n"/>
    </row>
    <row r="205" ht="22.35" customHeight="1" s="45">
      <c r="A205" s="65" t="inlineStr">
        <is>
          <t>A20.10</t>
        </is>
      </c>
      <c r="B205" s="66" t="inlineStr">
        <is>
          <t>Doc 20</t>
        </is>
      </c>
      <c r="C205" s="66" t="inlineStr">
        <is>
          <t>PROPOSED</t>
        </is>
      </c>
      <c r="D205" s="66" t="inlineStr">
        <is>
          <t>V7 — Document &amp; design inspection</t>
        </is>
      </c>
      <c r="E205" s="66" t="n"/>
      <c r="F205" s="66" t="inlineStr">
        <is>
          <t>Specification text against implementation description; provenance sections; objective card lines</t>
        </is>
      </c>
      <c r="G205" s="66" t="inlineStr">
        <is>
          <t>B — sample ≥ 30%</t>
        </is>
      </c>
      <c r="H205" s="67" t="n"/>
      <c r="I205" s="67" t="n"/>
      <c r="J205" s="67" t="n"/>
      <c r="K205" s="64">
        <f>IFERROR(INDEX('Status Map'!$B$2:$B$12,MATCH(C205,'Status Map'!$A$2:$A$12,0)),"UNDEFINED")</f>
        <v/>
      </c>
      <c r="L205" s="64">
        <f>IFERROR(INDEX('Status Map'!$C$2:$C$12,MATCH(C205,'Status Map'!$A$2:$A$12,0)),"UNDEFINED")</f>
        <v/>
      </c>
      <c r="M205" s="68" t="inlineStr">
        <is>
          <t>HEADING ONLY</t>
        </is>
      </c>
      <c r="N205" s="68" t="n"/>
      <c r="O205" s="68" t="n"/>
      <c r="P205" s="64">
        <f>IF(O205&lt;&gt;"",O205,LEFT(D205,2))</f>
        <v/>
      </c>
      <c r="Q205" s="64">
        <f>IF(O205&lt;&gt;"","Standards §6",IF(M205="HEADING ONLY","Derived from heading — PROVISIONAL",IF(M205="TEXT NOT IN REGISTRY","No text to derive from — PROVISIONAL","Derived from registered statement")))</f>
        <v/>
      </c>
      <c r="R205" s="64">
        <f>IF(OR(LEFT(G205,1)="A",L205="COUNTS",ISNUMBER(SEARCH("V1",P205)),ISNUMBER(SEARCH("V2",P205)),ISNUMBER(SEARCH("V5",P205))),"A — 100%","B — sample ≥ 30%")</f>
        <v/>
      </c>
      <c r="S205" s="67" t="n"/>
      <c r="T205" s="67" t="n"/>
      <c r="U205" s="67" t="n"/>
      <c r="V205" s="67" t="n"/>
      <c r="W205" s="67" t="n"/>
      <c r="X205" s="67" t="n"/>
    </row>
    <row r="206" ht="22.35" customHeight="1" s="45">
      <c r="A206" s="65" t="inlineStr">
        <is>
          <t>A20.11</t>
        </is>
      </c>
      <c r="B206" s="66" t="inlineStr">
        <is>
          <t>Doc 20</t>
        </is>
      </c>
      <c r="C206" s="66" t="inlineStr">
        <is>
          <t>CANON</t>
        </is>
      </c>
      <c r="D206" s="66" t="inlineStr">
        <is>
          <t>V7 — Document &amp; design inspection</t>
        </is>
      </c>
      <c r="E206" s="66" t="n"/>
      <c r="F206" s="66" t="inlineStr">
        <is>
          <t>Specification text against implementation description; provenance sections; objective card lines</t>
        </is>
      </c>
      <c r="G206" s="66" t="inlineStr">
        <is>
          <t>B — sample ≥ 30%</t>
        </is>
      </c>
      <c r="H206" s="67" t="n"/>
      <c r="I206" s="67" t="n"/>
      <c r="J206" s="67" t="n"/>
      <c r="K206" s="64">
        <f>IFERROR(INDEX('Status Map'!$B$2:$B$12,MATCH(C206,'Status Map'!$A$2:$A$12,0)),"UNDEFINED")</f>
        <v/>
      </c>
      <c r="L206" s="64">
        <f>IFERROR(INDEX('Status Map'!$C$2:$C$12,MATCH(C206,'Status Map'!$A$2:$A$12,0)),"UNDEFINED")</f>
        <v/>
      </c>
      <c r="M206" s="68" t="inlineStr">
        <is>
          <t>HEADING ONLY</t>
        </is>
      </c>
      <c r="N206" s="68" t="n"/>
      <c r="O206" s="68" t="n"/>
      <c r="P206" s="64">
        <f>IF(O206&lt;&gt;"",O206,LEFT(D206,2))</f>
        <v/>
      </c>
      <c r="Q206" s="64">
        <f>IF(O206&lt;&gt;"","Standards §6",IF(M206="HEADING ONLY","Derived from heading — PROVISIONAL",IF(M206="TEXT NOT IN REGISTRY","No text to derive from — PROVISIONAL","Derived from registered statement")))</f>
        <v/>
      </c>
      <c r="R206" s="64">
        <f>IF(OR(LEFT(G206,1)="A",L206="COUNTS",ISNUMBER(SEARCH("V1",P206)),ISNUMBER(SEARCH("V2",P206)),ISNUMBER(SEARCH("V5",P206))),"A — 100%","B — sample ≥ 30%")</f>
        <v/>
      </c>
      <c r="S206" s="67" t="n"/>
      <c r="T206" s="67" t="n"/>
      <c r="U206" s="67" t="n"/>
      <c r="V206" s="67" t="n"/>
      <c r="W206" s="67" t="n"/>
      <c r="X206" s="67" t="n"/>
    </row>
    <row r="207" ht="22.35" customHeight="1" s="45">
      <c r="A207" s="65" t="inlineStr">
        <is>
          <t>A20.12</t>
        </is>
      </c>
      <c r="B207" s="66" t="inlineStr">
        <is>
          <t>Doc 20</t>
        </is>
      </c>
      <c r="C207" s="66" t="inlineStr">
        <is>
          <t>PROPOSED</t>
        </is>
      </c>
      <c r="D207" s="66" t="inlineStr">
        <is>
          <t>V1 — Test evidence</t>
        </is>
      </c>
      <c r="E207" s="66" t="inlineStr">
        <is>
          <t>V2</t>
        </is>
      </c>
      <c r="F207" s="66" t="inlineStr">
        <is>
          <t>Golden-input, byte-identical output; RED-first test ID; ratchet manifest entry</t>
        </is>
      </c>
      <c r="G207" s="66" t="inlineStr">
        <is>
          <t>A — 100%</t>
        </is>
      </c>
      <c r="H207" s="67" t="n"/>
      <c r="I207" s="67" t="n"/>
      <c r="J207" s="67" t="n"/>
      <c r="K207" s="64">
        <f>IFERROR(INDEX('Status Map'!$B$2:$B$12,MATCH(C207,'Status Map'!$A$2:$A$12,0)),"UNDEFINED")</f>
        <v/>
      </c>
      <c r="L207" s="64">
        <f>IFERROR(INDEX('Status Map'!$C$2:$C$12,MATCH(C207,'Status Map'!$A$2:$A$12,0)),"UNDEFINED")</f>
        <v/>
      </c>
      <c r="M207" s="68" t="inlineStr">
        <is>
          <t>HEADING ONLY</t>
        </is>
      </c>
      <c r="N207" s="68" t="n"/>
      <c r="O207" s="68" t="n"/>
      <c r="P207" s="64">
        <f>IF(O207&lt;&gt;"",O207,LEFT(D207,2))</f>
        <v/>
      </c>
      <c r="Q207" s="64">
        <f>IF(O207&lt;&gt;"","Standards §6",IF(M207="HEADING ONLY","Derived from heading — PROVISIONAL",IF(M207="TEXT NOT IN REGISTRY","No text to derive from — PROVISIONAL","Derived from registered statement")))</f>
        <v/>
      </c>
      <c r="R207" s="64">
        <f>IF(OR(LEFT(G207,1)="A",L207="COUNTS",ISNUMBER(SEARCH("V1",P207)),ISNUMBER(SEARCH("V2",P207)),ISNUMBER(SEARCH("V5",P207))),"A — 100%","B — sample ≥ 30%")</f>
        <v/>
      </c>
      <c r="S207" s="67" t="n"/>
      <c r="T207" s="67" t="n"/>
      <c r="U207" s="67" t="n"/>
      <c r="V207" s="67" t="n"/>
      <c r="W207" s="67" t="n"/>
      <c r="X207" s="67" t="n"/>
    </row>
    <row r="208" ht="22.35" customHeight="1" s="45">
      <c r="A208" s="65" t="inlineStr">
        <is>
          <t>A20.13</t>
        </is>
      </c>
      <c r="B208" s="66" t="inlineStr">
        <is>
          <t>Doc 20</t>
        </is>
      </c>
      <c r="C208" s="66" t="inlineStr">
        <is>
          <t>PROPOSED</t>
        </is>
      </c>
      <c r="D208" s="66" t="inlineStr">
        <is>
          <t>V7 — Document &amp; design inspection</t>
        </is>
      </c>
      <c r="E208" s="66" t="n"/>
      <c r="F208" s="66" t="inlineStr">
        <is>
          <t>Specification text against implementation description; provenance sections; objective card lines</t>
        </is>
      </c>
      <c r="G208" s="66" t="inlineStr">
        <is>
          <t>B — sample ≥ 30%</t>
        </is>
      </c>
      <c r="H208" s="67" t="n"/>
      <c r="I208" s="67" t="n"/>
      <c r="J208" s="67" t="n"/>
      <c r="K208" s="64">
        <f>IFERROR(INDEX('Status Map'!$B$2:$B$12,MATCH(C208,'Status Map'!$A$2:$A$12,0)),"UNDEFINED")</f>
        <v/>
      </c>
      <c r="L208" s="64">
        <f>IFERROR(INDEX('Status Map'!$C$2:$C$12,MATCH(C208,'Status Map'!$A$2:$A$12,0)),"UNDEFINED")</f>
        <v/>
      </c>
      <c r="M208" s="68" t="inlineStr">
        <is>
          <t>HEADING ONLY</t>
        </is>
      </c>
      <c r="N208" s="68" t="n"/>
      <c r="O208" s="68" t="n"/>
      <c r="P208" s="64">
        <f>IF(O208&lt;&gt;"",O208,LEFT(D208,2))</f>
        <v/>
      </c>
      <c r="Q208" s="64">
        <f>IF(O208&lt;&gt;"","Standards §6",IF(M208="HEADING ONLY","Derived from heading — PROVISIONAL",IF(M208="TEXT NOT IN REGISTRY","No text to derive from — PROVISIONAL","Derived from registered statement")))</f>
        <v/>
      </c>
      <c r="R208" s="64">
        <f>IF(OR(LEFT(G208,1)="A",L208="COUNTS",ISNUMBER(SEARCH("V1",P208)),ISNUMBER(SEARCH("V2",P208)),ISNUMBER(SEARCH("V5",P208))),"A — 100%","B — sample ≥ 30%")</f>
        <v/>
      </c>
      <c r="S208" s="67" t="n"/>
      <c r="T208" s="67" t="n"/>
      <c r="U208" s="67" t="n"/>
      <c r="V208" s="67" t="n"/>
      <c r="W208" s="67" t="n"/>
      <c r="X208" s="67" t="n"/>
    </row>
    <row r="209" ht="22.35" customHeight="1" s="45">
      <c r="A209" s="65" t="inlineStr">
        <is>
          <t>A20.14</t>
        </is>
      </c>
      <c r="B209" s="66" t="inlineStr">
        <is>
          <t>Doc 20</t>
        </is>
      </c>
      <c r="C209" s="66" t="inlineStr">
        <is>
          <t>PROPOSED</t>
        </is>
      </c>
      <c r="D209" s="66" t="inlineStr">
        <is>
          <t>V6 — Surface inspection</t>
        </is>
      </c>
      <c r="E209" s="66" t="n"/>
      <c r="F209" s="66" t="inlineStr">
        <is>
          <t>DOM-bound substitution rule or harness receipt; fixed string verbatim; honest-gap variant rendered on null</t>
        </is>
      </c>
      <c r="G209" s="66" t="inlineStr">
        <is>
          <t>B — sample ≥ 30%</t>
        </is>
      </c>
      <c r="H209" s="67" t="n"/>
      <c r="I209" s="67" t="n"/>
      <c r="J209" s="67" t="n"/>
      <c r="K209" s="64">
        <f>IFERROR(INDEX('Status Map'!$B$2:$B$12,MATCH(C209,'Status Map'!$A$2:$A$12,0)),"UNDEFINED")</f>
        <v/>
      </c>
      <c r="L209" s="64">
        <f>IFERROR(INDEX('Status Map'!$C$2:$C$12,MATCH(C209,'Status Map'!$A$2:$A$12,0)),"UNDEFINED")</f>
        <v/>
      </c>
      <c r="M209" s="68" t="inlineStr">
        <is>
          <t>HEADING ONLY</t>
        </is>
      </c>
      <c r="N209" s="68" t="n"/>
      <c r="O209" s="68" t="n"/>
      <c r="P209" s="64">
        <f>IF(O209&lt;&gt;"",O209,LEFT(D209,2))</f>
        <v/>
      </c>
      <c r="Q209" s="64">
        <f>IF(O209&lt;&gt;"","Standards §6",IF(M209="HEADING ONLY","Derived from heading — PROVISIONAL",IF(M209="TEXT NOT IN REGISTRY","No text to derive from — PROVISIONAL","Derived from registered statement")))</f>
        <v/>
      </c>
      <c r="R209" s="64">
        <f>IF(OR(LEFT(G209,1)="A",L209="COUNTS",ISNUMBER(SEARCH("V1",P209)),ISNUMBER(SEARCH("V2",P209)),ISNUMBER(SEARCH("V5",P209))),"A — 100%","B — sample ≥ 30%")</f>
        <v/>
      </c>
      <c r="S209" s="67" t="n"/>
      <c r="T209" s="67" t="n"/>
      <c r="U209" s="67" t="n"/>
      <c r="V209" s="67" t="n"/>
      <c r="W209" s="67" t="n"/>
      <c r="X209" s="67" t="n"/>
    </row>
    <row r="210" ht="22.35" customHeight="1" s="45">
      <c r="A210" s="65" t="inlineStr">
        <is>
          <t>A20.2</t>
        </is>
      </c>
      <c r="B210" s="66" t="inlineStr">
        <is>
          <t>Doc 20</t>
        </is>
      </c>
      <c r="C210" s="66" t="inlineStr">
        <is>
          <t>CANON</t>
        </is>
      </c>
      <c r="D210" s="66" t="inlineStr">
        <is>
          <t>V7 — Document &amp; design inspection</t>
        </is>
      </c>
      <c r="E210" s="66" t="n"/>
      <c r="F210" s="66" t="inlineStr">
        <is>
          <t>Specification text against implementation description; provenance sections; objective card lines</t>
        </is>
      </c>
      <c r="G210" s="66" t="inlineStr">
        <is>
          <t>B — sample ≥ 30%</t>
        </is>
      </c>
      <c r="H210" s="67" t="n"/>
      <c r="I210" s="67" t="n"/>
      <c r="J210" s="67" t="n"/>
      <c r="K210" s="64">
        <f>IFERROR(INDEX('Status Map'!$B$2:$B$12,MATCH(C210,'Status Map'!$A$2:$A$12,0)),"UNDEFINED")</f>
        <v/>
      </c>
      <c r="L210" s="64">
        <f>IFERROR(INDEX('Status Map'!$C$2:$C$12,MATCH(C210,'Status Map'!$A$2:$A$12,0)),"UNDEFINED")</f>
        <v/>
      </c>
      <c r="M210" s="68" t="inlineStr">
        <is>
          <t>HEADING ONLY</t>
        </is>
      </c>
      <c r="N210" s="68" t="n"/>
      <c r="O210" s="68" t="n"/>
      <c r="P210" s="64">
        <f>IF(O210&lt;&gt;"",O210,LEFT(D210,2))</f>
        <v/>
      </c>
      <c r="Q210" s="64">
        <f>IF(O210&lt;&gt;"","Standards §6",IF(M210="HEADING ONLY","Derived from heading — PROVISIONAL",IF(M210="TEXT NOT IN REGISTRY","No text to derive from — PROVISIONAL","Derived from registered statement")))</f>
        <v/>
      </c>
      <c r="R210" s="64">
        <f>IF(OR(LEFT(G210,1)="A",L210="COUNTS",ISNUMBER(SEARCH("V1",P210)),ISNUMBER(SEARCH("V2",P210)),ISNUMBER(SEARCH("V5",P210))),"A — 100%","B — sample ≥ 30%")</f>
        <v/>
      </c>
      <c r="S210" s="67" t="n"/>
      <c r="T210" s="67" t="n"/>
      <c r="U210" s="67" t="n"/>
      <c r="V210" s="67" t="n"/>
      <c r="W210" s="67" t="n"/>
      <c r="X210" s="67" t="n"/>
    </row>
    <row r="211" ht="22.35" customHeight="1" s="45">
      <c r="A211" s="65" t="inlineStr">
        <is>
          <t>A20.3</t>
        </is>
      </c>
      <c r="B211" s="66" t="inlineStr">
        <is>
          <t>Doc 20</t>
        </is>
      </c>
      <c r="C211" s="66" t="inlineStr">
        <is>
          <t>PROPOSED</t>
        </is>
      </c>
      <c r="D211" s="66" t="inlineStr">
        <is>
          <t>V7 — Document &amp; design inspection</t>
        </is>
      </c>
      <c r="E211" s="66" t="n"/>
      <c r="F211" s="66" t="inlineStr">
        <is>
          <t>Specification text against implementation description; provenance sections; objective card lines</t>
        </is>
      </c>
      <c r="G211" s="66" t="inlineStr">
        <is>
          <t>B — sample ≥ 30%</t>
        </is>
      </c>
      <c r="H211" s="67" t="n"/>
      <c r="I211" s="67" t="n"/>
      <c r="J211" s="67" t="n"/>
      <c r="K211" s="64">
        <f>IFERROR(INDEX('Status Map'!$B$2:$B$12,MATCH(C211,'Status Map'!$A$2:$A$12,0)),"UNDEFINED")</f>
        <v/>
      </c>
      <c r="L211" s="64">
        <f>IFERROR(INDEX('Status Map'!$C$2:$C$12,MATCH(C211,'Status Map'!$A$2:$A$12,0)),"UNDEFINED")</f>
        <v/>
      </c>
      <c r="M211" s="68" t="inlineStr">
        <is>
          <t>HEADING ONLY</t>
        </is>
      </c>
      <c r="N211" s="68" t="n"/>
      <c r="O211" s="68" t="n"/>
      <c r="P211" s="64">
        <f>IF(O211&lt;&gt;"",O211,LEFT(D211,2))</f>
        <v/>
      </c>
      <c r="Q211" s="64">
        <f>IF(O211&lt;&gt;"","Standards §6",IF(M211="HEADING ONLY","Derived from heading — PROVISIONAL",IF(M211="TEXT NOT IN REGISTRY","No text to derive from — PROVISIONAL","Derived from registered statement")))</f>
        <v/>
      </c>
      <c r="R211" s="64">
        <f>IF(OR(LEFT(G211,1)="A",L211="COUNTS",ISNUMBER(SEARCH("V1",P211)),ISNUMBER(SEARCH("V2",P211)),ISNUMBER(SEARCH("V5",P211))),"A — 100%","B — sample ≥ 30%")</f>
        <v/>
      </c>
      <c r="S211" s="67" t="n"/>
      <c r="T211" s="67" t="n"/>
      <c r="U211" s="67" t="n"/>
      <c r="V211" s="67" t="n"/>
      <c r="W211" s="67" t="n"/>
      <c r="X211" s="67" t="n"/>
    </row>
    <row r="212" ht="22.35" customHeight="1" s="45">
      <c r="A212" s="65" t="inlineStr">
        <is>
          <t>A20.4</t>
        </is>
      </c>
      <c r="B212" s="66" t="inlineStr">
        <is>
          <t>Doc 20</t>
        </is>
      </c>
      <c r="C212" s="66" t="inlineStr">
        <is>
          <t>PROPOSED</t>
        </is>
      </c>
      <c r="D212" s="66" t="inlineStr">
        <is>
          <t>V7 — Document &amp; design inspection</t>
        </is>
      </c>
      <c r="E212" s="66" t="n"/>
      <c r="F212" s="66" t="inlineStr">
        <is>
          <t>Specification text against implementation description; provenance sections; objective card lines</t>
        </is>
      </c>
      <c r="G212" s="66" t="inlineStr">
        <is>
          <t>B — sample ≥ 30%</t>
        </is>
      </c>
      <c r="H212" s="67" t="n"/>
      <c r="I212" s="67" t="n"/>
      <c r="J212" s="67" t="n"/>
      <c r="K212" s="64">
        <f>IFERROR(INDEX('Status Map'!$B$2:$B$12,MATCH(C212,'Status Map'!$A$2:$A$12,0)),"UNDEFINED")</f>
        <v/>
      </c>
      <c r="L212" s="64">
        <f>IFERROR(INDEX('Status Map'!$C$2:$C$12,MATCH(C212,'Status Map'!$A$2:$A$12,0)),"UNDEFINED")</f>
        <v/>
      </c>
      <c r="M212" s="68" t="inlineStr">
        <is>
          <t>HEADING ONLY</t>
        </is>
      </c>
      <c r="N212" s="68" t="n"/>
      <c r="O212" s="68" t="n"/>
      <c r="P212" s="64">
        <f>IF(O212&lt;&gt;"",O212,LEFT(D212,2))</f>
        <v/>
      </c>
      <c r="Q212" s="64">
        <f>IF(O212&lt;&gt;"","Standards §6",IF(M212="HEADING ONLY","Derived from heading — PROVISIONAL",IF(M212="TEXT NOT IN REGISTRY","No text to derive from — PROVISIONAL","Derived from registered statement")))</f>
        <v/>
      </c>
      <c r="R212" s="64">
        <f>IF(OR(LEFT(G212,1)="A",L212="COUNTS",ISNUMBER(SEARCH("V1",P212)),ISNUMBER(SEARCH("V2",P212)),ISNUMBER(SEARCH("V5",P212))),"A — 100%","B — sample ≥ 30%")</f>
        <v/>
      </c>
      <c r="S212" s="67" t="n"/>
      <c r="T212" s="67" t="n"/>
      <c r="U212" s="67" t="n"/>
      <c r="V212" s="67" t="n"/>
      <c r="W212" s="67" t="n"/>
      <c r="X212" s="67" t="n"/>
    </row>
    <row r="213" ht="22.35" customHeight="1" s="45">
      <c r="A213" s="65" t="inlineStr">
        <is>
          <t>A20.5</t>
        </is>
      </c>
      <c r="B213" s="66" t="inlineStr">
        <is>
          <t>Doc 20</t>
        </is>
      </c>
      <c r="C213" s="66" t="inlineStr">
        <is>
          <t>PROPOSED</t>
        </is>
      </c>
      <c r="D213" s="66" t="inlineStr">
        <is>
          <t>V7 — Document &amp; design inspection</t>
        </is>
      </c>
      <c r="E213" s="66" t="n"/>
      <c r="F213" s="66" t="inlineStr">
        <is>
          <t>Specification text against implementation description; provenance sections; objective card lines</t>
        </is>
      </c>
      <c r="G213" s="66" t="inlineStr">
        <is>
          <t>B — sample ≥ 30%</t>
        </is>
      </c>
      <c r="H213" s="67" t="n"/>
      <c r="I213" s="67" t="n"/>
      <c r="J213" s="67" t="n"/>
      <c r="K213" s="64">
        <f>IFERROR(INDEX('Status Map'!$B$2:$B$12,MATCH(C213,'Status Map'!$A$2:$A$12,0)),"UNDEFINED")</f>
        <v/>
      </c>
      <c r="L213" s="64">
        <f>IFERROR(INDEX('Status Map'!$C$2:$C$12,MATCH(C213,'Status Map'!$A$2:$A$12,0)),"UNDEFINED")</f>
        <v/>
      </c>
      <c r="M213" s="68" t="inlineStr">
        <is>
          <t>HEADING ONLY</t>
        </is>
      </c>
      <c r="N213" s="68" t="n"/>
      <c r="O213" s="68" t="n"/>
      <c r="P213" s="64">
        <f>IF(O213&lt;&gt;"",O213,LEFT(D213,2))</f>
        <v/>
      </c>
      <c r="Q213" s="64">
        <f>IF(O213&lt;&gt;"","Standards §6",IF(M213="HEADING ONLY","Derived from heading — PROVISIONAL",IF(M213="TEXT NOT IN REGISTRY","No text to derive from — PROVISIONAL","Derived from registered statement")))</f>
        <v/>
      </c>
      <c r="R213" s="64">
        <f>IF(OR(LEFT(G213,1)="A",L213="COUNTS",ISNUMBER(SEARCH("V1",P213)),ISNUMBER(SEARCH("V2",P213)),ISNUMBER(SEARCH("V5",P213))),"A — 100%","B — sample ≥ 30%")</f>
        <v/>
      </c>
      <c r="S213" s="67" t="n"/>
      <c r="T213" s="67" t="n"/>
      <c r="U213" s="67" t="n"/>
      <c r="V213" s="67" t="n"/>
      <c r="W213" s="67" t="n"/>
      <c r="X213" s="67" t="n"/>
    </row>
    <row r="214" ht="22.35" customHeight="1" s="45">
      <c r="A214" s="65" t="inlineStr">
        <is>
          <t>A20.6</t>
        </is>
      </c>
      <c r="B214" s="66" t="inlineStr">
        <is>
          <t>Doc 20</t>
        </is>
      </c>
      <c r="C214" s="66" t="inlineStr">
        <is>
          <t>PROPOSED</t>
        </is>
      </c>
      <c r="D214" s="66" t="inlineStr">
        <is>
          <t>V7 — Document &amp; design inspection</t>
        </is>
      </c>
      <c r="E214" s="66" t="n"/>
      <c r="F214" s="66" t="inlineStr">
        <is>
          <t>Specification text against implementation description; provenance sections; objective card lines</t>
        </is>
      </c>
      <c r="G214" s="66" t="inlineStr">
        <is>
          <t>B — sample ≥ 30%</t>
        </is>
      </c>
      <c r="H214" s="67" t="n"/>
      <c r="I214" s="67" t="n"/>
      <c r="J214" s="67" t="n"/>
      <c r="K214" s="64">
        <f>IFERROR(INDEX('Status Map'!$B$2:$B$12,MATCH(C214,'Status Map'!$A$2:$A$12,0)),"UNDEFINED")</f>
        <v/>
      </c>
      <c r="L214" s="64">
        <f>IFERROR(INDEX('Status Map'!$C$2:$C$12,MATCH(C214,'Status Map'!$A$2:$A$12,0)),"UNDEFINED")</f>
        <v/>
      </c>
      <c r="M214" s="68" t="inlineStr">
        <is>
          <t>HEADING ONLY</t>
        </is>
      </c>
      <c r="N214" s="68" t="n"/>
      <c r="O214" s="68" t="n"/>
      <c r="P214" s="64">
        <f>IF(O214&lt;&gt;"",O214,LEFT(D214,2))</f>
        <v/>
      </c>
      <c r="Q214" s="64">
        <f>IF(O214&lt;&gt;"","Standards §6",IF(M214="HEADING ONLY","Derived from heading — PROVISIONAL",IF(M214="TEXT NOT IN REGISTRY","No text to derive from — PROVISIONAL","Derived from registered statement")))</f>
        <v/>
      </c>
      <c r="R214" s="64">
        <f>IF(OR(LEFT(G214,1)="A",L214="COUNTS",ISNUMBER(SEARCH("V1",P214)),ISNUMBER(SEARCH("V2",P214)),ISNUMBER(SEARCH("V5",P214))),"A — 100%","B — sample ≥ 30%")</f>
        <v/>
      </c>
      <c r="S214" s="67" t="n"/>
      <c r="T214" s="67" t="n"/>
      <c r="U214" s="67" t="n"/>
      <c r="V214" s="67" t="n"/>
      <c r="W214" s="67" t="n"/>
      <c r="X214" s="67" t="n"/>
    </row>
    <row r="215" ht="22.35" customHeight="1" s="45">
      <c r="A215" s="65" t="inlineStr">
        <is>
          <t>A20.7</t>
        </is>
      </c>
      <c r="B215" s="66" t="inlineStr">
        <is>
          <t>Doc 20</t>
        </is>
      </c>
      <c r="C215" s="66" t="inlineStr">
        <is>
          <t>PROPOSED</t>
        </is>
      </c>
      <c r="D215" s="66" t="inlineStr">
        <is>
          <t>V7 — Document &amp; design inspection</t>
        </is>
      </c>
      <c r="E215" s="66" t="n"/>
      <c r="F215" s="66" t="inlineStr">
        <is>
          <t>Specification text against implementation description; provenance sections; objective card lines</t>
        </is>
      </c>
      <c r="G215" s="66" t="inlineStr">
        <is>
          <t>B — sample ≥ 30%</t>
        </is>
      </c>
      <c r="H215" s="67" t="n"/>
      <c r="I215" s="67" t="n"/>
      <c r="J215" s="67" t="n"/>
      <c r="K215" s="64">
        <f>IFERROR(INDEX('Status Map'!$B$2:$B$12,MATCH(C215,'Status Map'!$A$2:$A$12,0)),"UNDEFINED")</f>
        <v/>
      </c>
      <c r="L215" s="64">
        <f>IFERROR(INDEX('Status Map'!$C$2:$C$12,MATCH(C215,'Status Map'!$A$2:$A$12,0)),"UNDEFINED")</f>
        <v/>
      </c>
      <c r="M215" s="68" t="inlineStr">
        <is>
          <t>HEADING ONLY</t>
        </is>
      </c>
      <c r="N215" s="68" t="n"/>
      <c r="O215" s="68" t="n"/>
      <c r="P215" s="64">
        <f>IF(O215&lt;&gt;"",O215,LEFT(D215,2))</f>
        <v/>
      </c>
      <c r="Q215" s="64">
        <f>IF(O215&lt;&gt;"","Standards §6",IF(M215="HEADING ONLY","Derived from heading — PROVISIONAL",IF(M215="TEXT NOT IN REGISTRY","No text to derive from — PROVISIONAL","Derived from registered statement")))</f>
        <v/>
      </c>
      <c r="R215" s="64">
        <f>IF(OR(LEFT(G215,1)="A",L215="COUNTS",ISNUMBER(SEARCH("V1",P215)),ISNUMBER(SEARCH("V2",P215)),ISNUMBER(SEARCH("V5",P215))),"A — 100%","B — sample ≥ 30%")</f>
        <v/>
      </c>
      <c r="S215" s="67" t="n"/>
      <c r="T215" s="67" t="n"/>
      <c r="U215" s="67" t="n"/>
      <c r="V215" s="67" t="n"/>
      <c r="W215" s="67" t="n"/>
      <c r="X215" s="67" t="n"/>
    </row>
    <row r="216" ht="22.35" customHeight="1" s="45">
      <c r="A216" s="65" t="inlineStr">
        <is>
          <t>A20.8</t>
        </is>
      </c>
      <c r="B216" s="66" t="inlineStr">
        <is>
          <t>Doc 20</t>
        </is>
      </c>
      <c r="C216" s="66" t="inlineStr">
        <is>
          <t>PROPOSED</t>
        </is>
      </c>
      <c r="D216" s="66" t="inlineStr">
        <is>
          <t>V7 — Document &amp; design inspection</t>
        </is>
      </c>
      <c r="E216" s="66" t="n"/>
      <c r="F216" s="66" t="inlineStr">
        <is>
          <t>Specification text against implementation description; provenance sections; objective card lines</t>
        </is>
      </c>
      <c r="G216" s="66" t="inlineStr">
        <is>
          <t>B — sample ≥ 30%</t>
        </is>
      </c>
      <c r="H216" s="67" t="n"/>
      <c r="I216" s="67" t="n"/>
      <c r="J216" s="67" t="n"/>
      <c r="K216" s="64">
        <f>IFERROR(INDEX('Status Map'!$B$2:$B$12,MATCH(C216,'Status Map'!$A$2:$A$12,0)),"UNDEFINED")</f>
        <v/>
      </c>
      <c r="L216" s="64">
        <f>IFERROR(INDEX('Status Map'!$C$2:$C$12,MATCH(C216,'Status Map'!$A$2:$A$12,0)),"UNDEFINED")</f>
        <v/>
      </c>
      <c r="M216" s="68" t="inlineStr">
        <is>
          <t>HEADING ONLY</t>
        </is>
      </c>
      <c r="N216" s="68" t="n"/>
      <c r="O216" s="68" t="n"/>
      <c r="P216" s="64">
        <f>IF(O216&lt;&gt;"",O216,LEFT(D216,2))</f>
        <v/>
      </c>
      <c r="Q216" s="64">
        <f>IF(O216&lt;&gt;"","Standards §6",IF(M216="HEADING ONLY","Derived from heading — PROVISIONAL",IF(M216="TEXT NOT IN REGISTRY","No text to derive from — PROVISIONAL","Derived from registered statement")))</f>
        <v/>
      </c>
      <c r="R216" s="64">
        <f>IF(OR(LEFT(G216,1)="A",L216="COUNTS",ISNUMBER(SEARCH("V1",P216)),ISNUMBER(SEARCH("V2",P216)),ISNUMBER(SEARCH("V5",P216))),"A — 100%","B — sample ≥ 30%")</f>
        <v/>
      </c>
      <c r="S216" s="67" t="n"/>
      <c r="T216" s="67" t="n"/>
      <c r="U216" s="67" t="n"/>
      <c r="V216" s="67" t="n"/>
      <c r="W216" s="67" t="n"/>
      <c r="X216" s="67" t="n"/>
    </row>
    <row r="217" ht="22.35" customHeight="1" s="45">
      <c r="A217" s="65" t="inlineStr">
        <is>
          <t>A20.9</t>
        </is>
      </c>
      <c r="B217" s="66" t="inlineStr">
        <is>
          <t>Doc 20</t>
        </is>
      </c>
      <c r="C217" s="66" t="inlineStr">
        <is>
          <t>PROPOSED</t>
        </is>
      </c>
      <c r="D217" s="66" t="inlineStr">
        <is>
          <t>V7 — Document &amp; design inspection</t>
        </is>
      </c>
      <c r="E217" s="66" t="n"/>
      <c r="F217" s="66" t="inlineStr">
        <is>
          <t>Specification text against implementation description; provenance sections; objective card lines</t>
        </is>
      </c>
      <c r="G217" s="66" t="inlineStr">
        <is>
          <t>B — sample ≥ 30%</t>
        </is>
      </c>
      <c r="H217" s="67" t="n"/>
      <c r="I217" s="67" t="n"/>
      <c r="J217" s="67" t="n"/>
      <c r="K217" s="64">
        <f>IFERROR(INDEX('Status Map'!$B$2:$B$12,MATCH(C217,'Status Map'!$A$2:$A$12,0)),"UNDEFINED")</f>
        <v/>
      </c>
      <c r="L217" s="64">
        <f>IFERROR(INDEX('Status Map'!$C$2:$C$12,MATCH(C217,'Status Map'!$A$2:$A$12,0)),"UNDEFINED")</f>
        <v/>
      </c>
      <c r="M217" s="68" t="inlineStr">
        <is>
          <t>HEADING ONLY</t>
        </is>
      </c>
      <c r="N217" s="68" t="n"/>
      <c r="O217" s="68" t="n"/>
      <c r="P217" s="64">
        <f>IF(O217&lt;&gt;"",O217,LEFT(D217,2))</f>
        <v/>
      </c>
      <c r="Q217" s="64">
        <f>IF(O217&lt;&gt;"","Standards §6",IF(M217="HEADING ONLY","Derived from heading — PROVISIONAL",IF(M217="TEXT NOT IN REGISTRY","No text to derive from — PROVISIONAL","Derived from registered statement")))</f>
        <v/>
      </c>
      <c r="R217" s="64">
        <f>IF(OR(LEFT(G217,1)="A",L217="COUNTS",ISNUMBER(SEARCH("V1",P217)),ISNUMBER(SEARCH("V2",P217)),ISNUMBER(SEARCH("V5",P217))),"A — 100%","B — sample ≥ 30%")</f>
        <v/>
      </c>
      <c r="S217" s="67" t="n"/>
      <c r="T217" s="67" t="n"/>
      <c r="U217" s="67" t="n"/>
      <c r="V217" s="67" t="n"/>
      <c r="W217" s="67" t="n"/>
      <c r="X217" s="67" t="n"/>
    </row>
    <row r="218" ht="22.35" customHeight="1" s="45">
      <c r="A218" s="65" t="inlineStr">
        <is>
          <t>LT-1</t>
        </is>
      </c>
      <c r="B218" s="66" t="inlineStr">
        <is>
          <t>SV extension</t>
        </is>
      </c>
      <c r="C218" s="66" t="inlineStr">
        <is>
          <t>PROPOSED</t>
        </is>
      </c>
      <c r="D218" s="66" t="inlineStr">
        <is>
          <t>V7 — Document &amp; design inspection</t>
        </is>
      </c>
      <c r="E218" s="66" t="n"/>
      <c r="F218" s="66" t="inlineStr">
        <is>
          <t>Specification text against implementation description; provenance sections; objective card lines</t>
        </is>
      </c>
      <c r="G218" s="66" t="inlineStr">
        <is>
          <t>B — sample ≥ 30%</t>
        </is>
      </c>
      <c r="H218" s="67" t="n"/>
      <c r="I218" s="67" t="n"/>
      <c r="J218" s="67" t="n"/>
      <c r="K218" s="64">
        <f>IFERROR(INDEX('Status Map'!$B$2:$B$12,MATCH(C218,'Status Map'!$A$2:$A$12,0)),"UNDEFINED")</f>
        <v/>
      </c>
      <c r="L218" s="64">
        <f>IFERROR(INDEX('Status Map'!$C$2:$C$12,MATCH(C218,'Status Map'!$A$2:$A$12,0)),"UNDEFINED")</f>
        <v/>
      </c>
      <c r="M218" s="68" t="inlineStr">
        <is>
          <t>STATEMENT AS REGISTERED</t>
        </is>
      </c>
      <c r="N218" s="68" t="n"/>
      <c r="O218" s="68" t="n"/>
      <c r="P218" s="64">
        <f>IF(O218&lt;&gt;"",O218,LEFT(D218,2))</f>
        <v/>
      </c>
      <c r="Q218" s="64">
        <f>IF(O218&lt;&gt;"","Standards §6",IF(M218="HEADING ONLY","Derived from heading — PROVISIONAL",IF(M218="TEXT NOT IN REGISTRY","No text to derive from — PROVISIONAL","Derived from registered statement")))</f>
        <v/>
      </c>
      <c r="R218" s="64">
        <f>IF(OR(LEFT(G218,1)="A",L218="COUNTS",ISNUMBER(SEARCH("V1",P218)),ISNUMBER(SEARCH("V2",P218)),ISNUMBER(SEARCH("V5",P218))),"A — 100%","B — sample ≥ 30%")</f>
        <v/>
      </c>
      <c r="S218" s="67" t="n"/>
      <c r="T218" s="67" t="n"/>
      <c r="U218" s="67" t="n"/>
      <c r="V218" s="67" t="n"/>
      <c r="W218" s="67" t="n"/>
      <c r="X218" s="67" t="n"/>
    </row>
    <row r="219" ht="22.35" customHeight="1" s="45">
      <c r="A219" s="65" t="inlineStr">
        <is>
          <t>LT-2</t>
        </is>
      </c>
      <c r="B219" s="66" t="inlineStr">
        <is>
          <t>SV extension</t>
        </is>
      </c>
      <c r="C219" s="66" t="inlineStr">
        <is>
          <t>OPEN</t>
        </is>
      </c>
      <c r="D219" s="66" t="inlineStr">
        <is>
          <t>V7 — Document &amp; design inspection</t>
        </is>
      </c>
      <c r="E219" s="66" t="n"/>
      <c r="F219" s="66" t="inlineStr">
        <is>
          <t>Specification text against implementation description; provenance sections; objective card lines</t>
        </is>
      </c>
      <c r="G219" s="66" t="inlineStr">
        <is>
          <t>B — sample ≥ 30%</t>
        </is>
      </c>
      <c r="H219" s="67" t="n"/>
      <c r="I219" s="67" t="n"/>
      <c r="J219" s="67" t="n"/>
      <c r="K219" s="64">
        <f>IFERROR(INDEX('Status Map'!$B$2:$B$12,MATCH(C219,'Status Map'!$A$2:$A$12,0)),"UNDEFINED")</f>
        <v/>
      </c>
      <c r="L219" s="64">
        <f>IFERROR(INDEX('Status Map'!$C$2:$C$12,MATCH(C219,'Status Map'!$A$2:$A$12,0)),"UNDEFINED")</f>
        <v/>
      </c>
      <c r="M219" s="68" t="inlineStr">
        <is>
          <t>STATEMENT AS REGISTERED</t>
        </is>
      </c>
      <c r="N219" s="68" t="n"/>
      <c r="O219" s="68" t="n"/>
      <c r="P219" s="64">
        <f>IF(O219&lt;&gt;"",O219,LEFT(D219,2))</f>
        <v/>
      </c>
      <c r="Q219" s="64">
        <f>IF(O219&lt;&gt;"","Standards §6",IF(M219="HEADING ONLY","Derived from heading — PROVISIONAL",IF(M219="TEXT NOT IN REGISTRY","No text to derive from — PROVISIONAL","Derived from registered statement")))</f>
        <v/>
      </c>
      <c r="R219" s="64">
        <f>IF(OR(LEFT(G219,1)="A",L219="COUNTS",ISNUMBER(SEARCH("V1",P219)),ISNUMBER(SEARCH("V2",P219)),ISNUMBER(SEARCH("V5",P219))),"A — 100%","B — sample ≥ 30%")</f>
        <v/>
      </c>
      <c r="S219" s="67" t="n"/>
      <c r="T219" s="67" t="n"/>
      <c r="U219" s="67" t="n"/>
      <c r="V219" s="67" t="n"/>
      <c r="W219" s="67" t="n"/>
      <c r="X219" s="67" t="n"/>
    </row>
    <row r="220" ht="22.35" customHeight="1" s="45">
      <c r="A220" s="65" t="inlineStr">
        <is>
          <t>LT-3</t>
        </is>
      </c>
      <c r="B220" s="66" t="inlineStr">
        <is>
          <t>SV extension</t>
        </is>
      </c>
      <c r="C220" s="66" t="inlineStr">
        <is>
          <t>OPEN</t>
        </is>
      </c>
      <c r="D220" s="66" t="inlineStr">
        <is>
          <t>V7 — Document &amp; design inspection</t>
        </is>
      </c>
      <c r="E220" s="66" t="n"/>
      <c r="F220" s="66" t="inlineStr">
        <is>
          <t>Specification text against implementation description; provenance sections; objective card lines</t>
        </is>
      </c>
      <c r="G220" s="66" t="inlineStr">
        <is>
          <t>B — sample ≥ 30%</t>
        </is>
      </c>
      <c r="H220" s="67" t="n"/>
      <c r="I220" s="67" t="n"/>
      <c r="J220" s="67" t="n"/>
      <c r="K220" s="64">
        <f>IFERROR(INDEX('Status Map'!$B$2:$B$12,MATCH(C220,'Status Map'!$A$2:$A$12,0)),"UNDEFINED")</f>
        <v/>
      </c>
      <c r="L220" s="64">
        <f>IFERROR(INDEX('Status Map'!$C$2:$C$12,MATCH(C220,'Status Map'!$A$2:$A$12,0)),"UNDEFINED")</f>
        <v/>
      </c>
      <c r="M220" s="68" t="inlineStr">
        <is>
          <t>STATEMENT AS REGISTERED</t>
        </is>
      </c>
      <c r="N220" s="68" t="n"/>
      <c r="O220" s="68" t="n"/>
      <c r="P220" s="64">
        <f>IF(O220&lt;&gt;"",O220,LEFT(D220,2))</f>
        <v/>
      </c>
      <c r="Q220" s="64">
        <f>IF(O220&lt;&gt;"","Standards §6",IF(M220="HEADING ONLY","Derived from heading — PROVISIONAL",IF(M220="TEXT NOT IN REGISTRY","No text to derive from — PROVISIONAL","Derived from registered statement")))</f>
        <v/>
      </c>
      <c r="R220" s="64">
        <f>IF(OR(LEFT(G220,1)="A",L220="COUNTS",ISNUMBER(SEARCH("V1",P220)),ISNUMBER(SEARCH("V2",P220)),ISNUMBER(SEARCH("V5",P220))),"A — 100%","B — sample ≥ 30%")</f>
        <v/>
      </c>
      <c r="S220" s="67" t="n"/>
      <c r="T220" s="67" t="n"/>
      <c r="U220" s="67" t="n"/>
      <c r="V220" s="67" t="n"/>
      <c r="W220" s="67" t="n"/>
      <c r="X220" s="67" t="n"/>
    </row>
    <row r="221" ht="22.35" customHeight="1" s="45">
      <c r="A221" s="65" t="inlineStr">
        <is>
          <t>RI-1</t>
        </is>
      </c>
      <c r="B221" s="66" t="inlineStr">
        <is>
          <t>SV extension</t>
        </is>
      </c>
      <c r="C221" s="66" t="inlineStr">
        <is>
          <t>PROPOSED</t>
        </is>
      </c>
      <c r="D221" s="66" t="inlineStr">
        <is>
          <t>V7 — Document &amp; design inspection</t>
        </is>
      </c>
      <c r="E221" s="66" t="n"/>
      <c r="F221" s="66" t="inlineStr">
        <is>
          <t>Specification text against implementation description; provenance sections; objective card lines</t>
        </is>
      </c>
      <c r="G221" s="66" t="inlineStr">
        <is>
          <t>B — sample ≥ 30%</t>
        </is>
      </c>
      <c r="H221" s="67" t="n"/>
      <c r="I221" s="67" t="n"/>
      <c r="J221" s="67" t="n"/>
      <c r="K221" s="64">
        <f>IFERROR(INDEX('Status Map'!$B$2:$B$12,MATCH(C221,'Status Map'!$A$2:$A$12,0)),"UNDEFINED")</f>
        <v/>
      </c>
      <c r="L221" s="64">
        <f>IFERROR(INDEX('Status Map'!$C$2:$C$12,MATCH(C221,'Status Map'!$A$2:$A$12,0)),"UNDEFINED")</f>
        <v/>
      </c>
      <c r="M221" s="68" t="inlineStr">
        <is>
          <t>STATEMENT AS REGISTERED</t>
        </is>
      </c>
      <c r="N221" s="68" t="n"/>
      <c r="O221" s="68" t="n"/>
      <c r="P221" s="64">
        <f>IF(O221&lt;&gt;"",O221,LEFT(D221,2))</f>
        <v/>
      </c>
      <c r="Q221" s="64">
        <f>IF(O221&lt;&gt;"","Standards §6",IF(M221="HEADING ONLY","Derived from heading — PROVISIONAL",IF(M221="TEXT NOT IN REGISTRY","No text to derive from — PROVISIONAL","Derived from registered statement")))</f>
        <v/>
      </c>
      <c r="R221" s="64">
        <f>IF(OR(LEFT(G221,1)="A",L221="COUNTS",ISNUMBER(SEARCH("V1",P221)),ISNUMBER(SEARCH("V2",P221)),ISNUMBER(SEARCH("V5",P221))),"A — 100%","B — sample ≥ 30%")</f>
        <v/>
      </c>
      <c r="S221" s="67" t="n"/>
      <c r="T221" s="67" t="n"/>
      <c r="U221" s="67" t="n"/>
      <c r="V221" s="67" t="n"/>
      <c r="W221" s="67" t="n"/>
      <c r="X221" s="67" t="n"/>
    </row>
    <row r="222" ht="22.35" customHeight="1" s="45">
      <c r="A222" s="65" t="inlineStr">
        <is>
          <t>RI-2</t>
        </is>
      </c>
      <c r="B222" s="66" t="inlineStr">
        <is>
          <t>SV extension</t>
        </is>
      </c>
      <c r="C222" s="66" t="inlineStr">
        <is>
          <t>PROPOSED</t>
        </is>
      </c>
      <c r="D222" s="66" t="inlineStr">
        <is>
          <t>V6 — Surface inspection</t>
        </is>
      </c>
      <c r="E222" s="66" t="n"/>
      <c r="F222" s="66" t="inlineStr">
        <is>
          <t>DOM-bound substitution rule or harness receipt; fixed string verbatim; honest-gap variant rendered on null</t>
        </is>
      </c>
      <c r="G222" s="66" t="inlineStr">
        <is>
          <t>B — sample ≥ 30%</t>
        </is>
      </c>
      <c r="H222" s="67" t="n"/>
      <c r="I222" s="67" t="n"/>
      <c r="J222" s="67" t="n"/>
      <c r="K222" s="64">
        <f>IFERROR(INDEX('Status Map'!$B$2:$B$12,MATCH(C222,'Status Map'!$A$2:$A$12,0)),"UNDEFINED")</f>
        <v/>
      </c>
      <c r="L222" s="64">
        <f>IFERROR(INDEX('Status Map'!$C$2:$C$12,MATCH(C222,'Status Map'!$A$2:$A$12,0)),"UNDEFINED")</f>
        <v/>
      </c>
      <c r="M222" s="68" t="inlineStr">
        <is>
          <t>STATEMENT AS REGISTERED</t>
        </is>
      </c>
      <c r="N222" s="68" t="n"/>
      <c r="O222" s="68" t="n"/>
      <c r="P222" s="64">
        <f>IF(O222&lt;&gt;"",O222,LEFT(D222,2))</f>
        <v/>
      </c>
      <c r="Q222" s="64">
        <f>IF(O222&lt;&gt;"","Standards §6",IF(M222="HEADING ONLY","Derived from heading — PROVISIONAL",IF(M222="TEXT NOT IN REGISTRY","No text to derive from — PROVISIONAL","Derived from registered statement")))</f>
        <v/>
      </c>
      <c r="R222" s="64">
        <f>IF(OR(LEFT(G222,1)="A",L222="COUNTS",ISNUMBER(SEARCH("V1",P222)),ISNUMBER(SEARCH("V2",P222)),ISNUMBER(SEARCH("V5",P222))),"A — 100%","B — sample ≥ 30%")</f>
        <v/>
      </c>
      <c r="S222" s="67" t="n"/>
      <c r="T222" s="67" t="n"/>
      <c r="U222" s="67" t="n"/>
      <c r="V222" s="67" t="n"/>
      <c r="W222" s="67" t="n"/>
      <c r="X222" s="67" t="n"/>
    </row>
    <row r="223" ht="22.35" customHeight="1" s="45">
      <c r="A223" s="65" t="inlineStr">
        <is>
          <t>RI-3</t>
        </is>
      </c>
      <c r="B223" s="66" t="inlineStr">
        <is>
          <t>SV extension</t>
        </is>
      </c>
      <c r="C223" s="66" t="inlineStr">
        <is>
          <t>PROPOSED</t>
        </is>
      </c>
      <c r="D223" s="66" t="inlineStr">
        <is>
          <t>V7 — Document &amp; design inspection</t>
        </is>
      </c>
      <c r="E223" s="66" t="n"/>
      <c r="F223" s="66" t="inlineStr">
        <is>
          <t>Specification text against implementation description; provenance sections; objective card lines</t>
        </is>
      </c>
      <c r="G223" s="66" t="inlineStr">
        <is>
          <t>B — sample ≥ 30%</t>
        </is>
      </c>
      <c r="H223" s="67" t="n"/>
      <c r="I223" s="67" t="n"/>
      <c r="J223" s="67" t="n"/>
      <c r="K223" s="64">
        <f>IFERROR(INDEX('Status Map'!$B$2:$B$12,MATCH(C223,'Status Map'!$A$2:$A$12,0)),"UNDEFINED")</f>
        <v/>
      </c>
      <c r="L223" s="64">
        <f>IFERROR(INDEX('Status Map'!$C$2:$C$12,MATCH(C223,'Status Map'!$A$2:$A$12,0)),"UNDEFINED")</f>
        <v/>
      </c>
      <c r="M223" s="68" t="inlineStr">
        <is>
          <t>STATEMENT AS REGISTERED</t>
        </is>
      </c>
      <c r="N223" s="68" t="n"/>
      <c r="O223" s="68" t="n"/>
      <c r="P223" s="64">
        <f>IF(O223&lt;&gt;"",O223,LEFT(D223,2))</f>
        <v/>
      </c>
      <c r="Q223" s="64">
        <f>IF(O223&lt;&gt;"","Standards §6",IF(M223="HEADING ONLY","Derived from heading — PROVISIONAL",IF(M223="TEXT NOT IN REGISTRY","No text to derive from — PROVISIONAL","Derived from registered statement")))</f>
        <v/>
      </c>
      <c r="R223" s="64">
        <f>IF(OR(LEFT(G223,1)="A",L223="COUNTS",ISNUMBER(SEARCH("V1",P223)),ISNUMBER(SEARCH("V2",P223)),ISNUMBER(SEARCH("V5",P223))),"A — 100%","B — sample ≥ 30%")</f>
        <v/>
      </c>
      <c r="S223" s="67" t="n"/>
      <c r="T223" s="67" t="n"/>
      <c r="U223" s="67" t="n"/>
      <c r="V223" s="67" t="n"/>
      <c r="W223" s="67" t="n"/>
      <c r="X223" s="67" t="n"/>
    </row>
    <row r="224" ht="22.35" customHeight="1" s="45">
      <c r="A224" s="65" t="inlineStr">
        <is>
          <t>RI-4</t>
        </is>
      </c>
      <c r="B224" s="66" t="inlineStr">
        <is>
          <t>SV extension</t>
        </is>
      </c>
      <c r="C224" s="66" t="inlineStr">
        <is>
          <t>PROPOSED</t>
        </is>
      </c>
      <c r="D224" s="66" t="inlineStr">
        <is>
          <t>V7 — Document &amp; design inspection</t>
        </is>
      </c>
      <c r="E224" s="66" t="n"/>
      <c r="F224" s="66" t="inlineStr">
        <is>
          <t>Specification text against implementation description; provenance sections; objective card lines</t>
        </is>
      </c>
      <c r="G224" s="66" t="inlineStr">
        <is>
          <t>B — sample ≥ 30%</t>
        </is>
      </c>
      <c r="H224" s="67" t="n"/>
      <c r="I224" s="67" t="n"/>
      <c r="J224" s="67" t="n"/>
      <c r="K224" s="64">
        <f>IFERROR(INDEX('Status Map'!$B$2:$B$12,MATCH(C224,'Status Map'!$A$2:$A$12,0)),"UNDEFINED")</f>
        <v/>
      </c>
      <c r="L224" s="64">
        <f>IFERROR(INDEX('Status Map'!$C$2:$C$12,MATCH(C224,'Status Map'!$A$2:$A$12,0)),"UNDEFINED")</f>
        <v/>
      </c>
      <c r="M224" s="68" t="inlineStr">
        <is>
          <t>STATEMENT AS REGISTERED</t>
        </is>
      </c>
      <c r="N224" s="68" t="n"/>
      <c r="O224" s="68" t="n"/>
      <c r="P224" s="64">
        <f>IF(O224&lt;&gt;"",O224,LEFT(D224,2))</f>
        <v/>
      </c>
      <c r="Q224" s="64">
        <f>IF(O224&lt;&gt;"","Standards §6",IF(M224="HEADING ONLY","Derived from heading — PROVISIONAL",IF(M224="TEXT NOT IN REGISTRY","No text to derive from — PROVISIONAL","Derived from registered statement")))</f>
        <v/>
      </c>
      <c r="R224" s="64">
        <f>IF(OR(LEFT(G224,1)="A",L224="COUNTS",ISNUMBER(SEARCH("V1",P224)),ISNUMBER(SEARCH("V2",P224)),ISNUMBER(SEARCH("V5",P224))),"A — 100%","B — sample ≥ 30%")</f>
        <v/>
      </c>
      <c r="S224" s="67" t="n"/>
      <c r="T224" s="67" t="n"/>
      <c r="U224" s="67" t="n"/>
      <c r="V224" s="67" t="n"/>
      <c r="W224" s="67" t="n"/>
      <c r="X224" s="67" t="n"/>
    </row>
    <row r="225" ht="22.35" customHeight="1" s="45">
      <c r="A225" s="65" t="inlineStr">
        <is>
          <t>SE-1</t>
        </is>
      </c>
      <c r="B225" s="66" t="inlineStr">
        <is>
          <t>SV extension</t>
        </is>
      </c>
      <c r="C225" s="66" t="inlineStr">
        <is>
          <t>PROPOSED</t>
        </is>
      </c>
      <c r="D225" s="66" t="inlineStr">
        <is>
          <t>V7 — Document &amp; design inspection</t>
        </is>
      </c>
      <c r="E225" s="66" t="n"/>
      <c r="F225" s="66" t="inlineStr">
        <is>
          <t>Specification text against implementation description; provenance sections; objective card lines</t>
        </is>
      </c>
      <c r="G225" s="66" t="inlineStr">
        <is>
          <t>B — sample ≥ 30%</t>
        </is>
      </c>
      <c r="H225" s="67" t="n"/>
      <c r="I225" s="67" t="n"/>
      <c r="J225" s="67" t="n"/>
      <c r="K225" s="64">
        <f>IFERROR(INDEX('Status Map'!$B$2:$B$12,MATCH(C225,'Status Map'!$A$2:$A$12,0)),"UNDEFINED")</f>
        <v/>
      </c>
      <c r="L225" s="64">
        <f>IFERROR(INDEX('Status Map'!$C$2:$C$12,MATCH(C225,'Status Map'!$A$2:$A$12,0)),"UNDEFINED")</f>
        <v/>
      </c>
      <c r="M225" s="68" t="inlineStr">
        <is>
          <t>STATEMENT AS REGISTERED</t>
        </is>
      </c>
      <c r="N225" s="68" t="n"/>
      <c r="O225" s="68" t="n"/>
      <c r="P225" s="64">
        <f>IF(O225&lt;&gt;"",O225,LEFT(D225,2))</f>
        <v/>
      </c>
      <c r="Q225" s="64">
        <f>IF(O225&lt;&gt;"","Standards §6",IF(M225="HEADING ONLY","Derived from heading — PROVISIONAL",IF(M225="TEXT NOT IN REGISTRY","No text to derive from — PROVISIONAL","Derived from registered statement")))</f>
        <v/>
      </c>
      <c r="R225" s="64">
        <f>IF(OR(LEFT(G225,1)="A",L225="COUNTS",ISNUMBER(SEARCH("V1",P225)),ISNUMBER(SEARCH("V2",P225)),ISNUMBER(SEARCH("V5",P225))),"A — 100%","B — sample ≥ 30%")</f>
        <v/>
      </c>
      <c r="S225" s="67" t="n"/>
      <c r="T225" s="67" t="n"/>
      <c r="U225" s="67" t="n"/>
      <c r="V225" s="67" t="n"/>
      <c r="W225" s="67" t="n"/>
      <c r="X225" s="67" t="n"/>
    </row>
    <row r="226" ht="22.35" customHeight="1" s="45">
      <c r="A226" s="65" t="inlineStr">
        <is>
          <t>SE-2</t>
        </is>
      </c>
      <c r="B226" s="66" t="inlineStr">
        <is>
          <t>SV extension</t>
        </is>
      </c>
      <c r="C226" s="66" t="inlineStr">
        <is>
          <t>PROPOSED</t>
        </is>
      </c>
      <c r="D226" s="66" t="inlineStr">
        <is>
          <t>V7 — Document &amp; design inspection</t>
        </is>
      </c>
      <c r="E226" s="66" t="n"/>
      <c r="F226" s="66" t="inlineStr">
        <is>
          <t>Specification text against implementation description; provenance sections; objective card lines</t>
        </is>
      </c>
      <c r="G226" s="66" t="inlineStr">
        <is>
          <t>B — sample ≥ 30%</t>
        </is>
      </c>
      <c r="H226" s="67" t="n"/>
      <c r="I226" s="67" t="n"/>
      <c r="J226" s="67" t="n"/>
      <c r="K226" s="64">
        <f>IFERROR(INDEX('Status Map'!$B$2:$B$12,MATCH(C226,'Status Map'!$A$2:$A$12,0)),"UNDEFINED")</f>
        <v/>
      </c>
      <c r="L226" s="64">
        <f>IFERROR(INDEX('Status Map'!$C$2:$C$12,MATCH(C226,'Status Map'!$A$2:$A$12,0)),"UNDEFINED")</f>
        <v/>
      </c>
      <c r="M226" s="68" t="inlineStr">
        <is>
          <t>STATEMENT AS REGISTERED</t>
        </is>
      </c>
      <c r="N226" s="68" t="n"/>
      <c r="O226" s="68" t="n"/>
      <c r="P226" s="64">
        <f>IF(O226&lt;&gt;"",O226,LEFT(D226,2))</f>
        <v/>
      </c>
      <c r="Q226" s="64">
        <f>IF(O226&lt;&gt;"","Standards §6",IF(M226="HEADING ONLY","Derived from heading — PROVISIONAL",IF(M226="TEXT NOT IN REGISTRY","No text to derive from — PROVISIONAL","Derived from registered statement")))</f>
        <v/>
      </c>
      <c r="R226" s="64">
        <f>IF(OR(LEFT(G226,1)="A",L226="COUNTS",ISNUMBER(SEARCH("V1",P226)),ISNUMBER(SEARCH("V2",P226)),ISNUMBER(SEARCH("V5",P226))),"A — 100%","B — sample ≥ 30%")</f>
        <v/>
      </c>
      <c r="S226" s="67" t="n"/>
      <c r="T226" s="67" t="n"/>
      <c r="U226" s="67" t="n"/>
      <c r="V226" s="67" t="n"/>
      <c r="W226" s="67" t="n"/>
      <c r="X226" s="67" t="n"/>
    </row>
    <row r="227" ht="22.35" customHeight="1" s="45">
      <c r="A227" s="65" t="inlineStr">
        <is>
          <t>SE-3</t>
        </is>
      </c>
      <c r="B227" s="66" t="inlineStr">
        <is>
          <t>SV extension</t>
        </is>
      </c>
      <c r="C227" s="66" t="inlineStr">
        <is>
          <t>PROPOSED</t>
        </is>
      </c>
      <c r="D227" s="66" t="inlineStr">
        <is>
          <t>V7 — Document &amp; design inspection</t>
        </is>
      </c>
      <c r="E227" s="66" t="n"/>
      <c r="F227" s="66" t="inlineStr">
        <is>
          <t>Specification text against implementation description; provenance sections; objective card lines</t>
        </is>
      </c>
      <c r="G227" s="66" t="inlineStr">
        <is>
          <t>B — sample ≥ 30%</t>
        </is>
      </c>
      <c r="H227" s="67" t="n"/>
      <c r="I227" s="67" t="n"/>
      <c r="J227" s="67" t="n"/>
      <c r="K227" s="64">
        <f>IFERROR(INDEX('Status Map'!$B$2:$B$12,MATCH(C227,'Status Map'!$A$2:$A$12,0)),"UNDEFINED")</f>
        <v/>
      </c>
      <c r="L227" s="64">
        <f>IFERROR(INDEX('Status Map'!$C$2:$C$12,MATCH(C227,'Status Map'!$A$2:$A$12,0)),"UNDEFINED")</f>
        <v/>
      </c>
      <c r="M227" s="68" t="inlineStr">
        <is>
          <t>STATEMENT AS REGISTERED</t>
        </is>
      </c>
      <c r="N227" s="68" t="n"/>
      <c r="O227" s="68" t="n"/>
      <c r="P227" s="64">
        <f>IF(O227&lt;&gt;"",O227,LEFT(D227,2))</f>
        <v/>
      </c>
      <c r="Q227" s="64">
        <f>IF(O227&lt;&gt;"","Standards §6",IF(M227="HEADING ONLY","Derived from heading — PROVISIONAL",IF(M227="TEXT NOT IN REGISTRY","No text to derive from — PROVISIONAL","Derived from registered statement")))</f>
        <v/>
      </c>
      <c r="R227" s="64">
        <f>IF(OR(LEFT(G227,1)="A",L227="COUNTS",ISNUMBER(SEARCH("V1",P227)),ISNUMBER(SEARCH("V2",P227)),ISNUMBER(SEARCH("V5",P227))),"A — 100%","B — sample ≥ 30%")</f>
        <v/>
      </c>
      <c r="S227" s="67" t="n"/>
      <c r="T227" s="67" t="n"/>
      <c r="U227" s="67" t="n"/>
      <c r="V227" s="67" t="n"/>
      <c r="W227" s="67" t="n"/>
      <c r="X227" s="67" t="n"/>
    </row>
    <row r="228" ht="22.35" customHeight="1" s="45">
      <c r="A228" s="65" t="inlineStr">
        <is>
          <t>SE-4</t>
        </is>
      </c>
      <c r="B228" s="66" t="inlineStr">
        <is>
          <t>SV extension</t>
        </is>
      </c>
      <c r="C228" s="66" t="inlineStr">
        <is>
          <t>PROPOSED</t>
        </is>
      </c>
      <c r="D228" s="66" t="inlineStr">
        <is>
          <t>V7 — Document &amp; design inspection</t>
        </is>
      </c>
      <c r="E228" s="66" t="n"/>
      <c r="F228" s="66" t="inlineStr">
        <is>
          <t>Specification text against implementation description; provenance sections; objective card lines</t>
        </is>
      </c>
      <c r="G228" s="66" t="inlineStr">
        <is>
          <t>B — sample ≥ 30%</t>
        </is>
      </c>
      <c r="H228" s="67" t="n"/>
      <c r="I228" s="67" t="n"/>
      <c r="J228" s="67" t="n"/>
      <c r="K228" s="64">
        <f>IFERROR(INDEX('Status Map'!$B$2:$B$12,MATCH(C228,'Status Map'!$A$2:$A$12,0)),"UNDEFINED")</f>
        <v/>
      </c>
      <c r="L228" s="64">
        <f>IFERROR(INDEX('Status Map'!$C$2:$C$12,MATCH(C228,'Status Map'!$A$2:$A$12,0)),"UNDEFINED")</f>
        <v/>
      </c>
      <c r="M228" s="68" t="inlineStr">
        <is>
          <t>STATEMENT AS REGISTERED</t>
        </is>
      </c>
      <c r="N228" s="68" t="n"/>
      <c r="O228" s="68" t="n"/>
      <c r="P228" s="64">
        <f>IF(O228&lt;&gt;"",O228,LEFT(D228,2))</f>
        <v/>
      </c>
      <c r="Q228" s="64">
        <f>IF(O228&lt;&gt;"","Standards §6",IF(M228="HEADING ONLY","Derived from heading — PROVISIONAL",IF(M228="TEXT NOT IN REGISTRY","No text to derive from — PROVISIONAL","Derived from registered statement")))</f>
        <v/>
      </c>
      <c r="R228" s="64">
        <f>IF(OR(LEFT(G228,1)="A",L228="COUNTS",ISNUMBER(SEARCH("V1",P228)),ISNUMBER(SEARCH("V2",P228)),ISNUMBER(SEARCH("V5",P228))),"A — 100%","B — sample ≥ 30%")</f>
        <v/>
      </c>
      <c r="S228" s="67" t="n"/>
      <c r="T228" s="67" t="n"/>
      <c r="U228" s="67" t="n"/>
      <c r="V228" s="67" t="n"/>
      <c r="W228" s="67" t="n"/>
      <c r="X228" s="67" t="n"/>
    </row>
    <row r="229" ht="22.35" customHeight="1" s="45">
      <c r="A229" s="65" t="inlineStr">
        <is>
          <t>C5.1</t>
        </is>
      </c>
      <c r="B229" s="66" t="inlineStr">
        <is>
          <t>Doc 15</t>
        </is>
      </c>
      <c r="C229" s="66" t="inlineStr">
        <is>
          <t>CANON</t>
        </is>
      </c>
      <c r="D229" s="66" t="inlineStr">
        <is>
          <t>V7 — Document &amp; design inspection</t>
        </is>
      </c>
      <c r="E229" s="66" t="n"/>
      <c r="F229" s="66" t="inlineStr">
        <is>
          <t>Specification text against implementation description; provenance sections; objective card lines</t>
        </is>
      </c>
      <c r="G229" s="66" t="inlineStr">
        <is>
          <t>B — sample ≥ 30%</t>
        </is>
      </c>
      <c r="H229" s="67" t="n"/>
      <c r="I229" s="67" t="n"/>
      <c r="J229" s="67" t="n"/>
      <c r="K229" s="64">
        <f>IFERROR(INDEX('Status Map'!$B$2:$B$12,MATCH(C229,'Status Map'!$A$2:$A$12,0)),"UNDEFINED")</f>
        <v/>
      </c>
      <c r="L229" s="64">
        <f>IFERROR(INDEX('Status Map'!$C$2:$C$12,MATCH(C229,'Status Map'!$A$2:$A$12,0)),"UNDEFINED")</f>
        <v/>
      </c>
      <c r="M229" s="68" t="inlineStr">
        <is>
          <t>HEADING ONLY</t>
        </is>
      </c>
      <c r="N229" s="68" t="n"/>
      <c r="O229" s="68" t="n"/>
      <c r="P229" s="64">
        <f>IF(O229&lt;&gt;"",O229,LEFT(D229,2))</f>
        <v/>
      </c>
      <c r="Q229" s="64">
        <f>IF(O229&lt;&gt;"","Standards §6",IF(M229="HEADING ONLY","Derived from heading — PROVISIONAL",IF(M229="TEXT NOT IN REGISTRY","No text to derive from — PROVISIONAL","Derived from registered statement")))</f>
        <v/>
      </c>
      <c r="R229" s="64">
        <f>IF(OR(LEFT(G229,1)="A",L229="COUNTS",ISNUMBER(SEARCH("V1",P229)),ISNUMBER(SEARCH("V2",P229)),ISNUMBER(SEARCH("V5",P229))),"A — 100%","B — sample ≥ 30%")</f>
        <v/>
      </c>
      <c r="S229" s="67" t="n"/>
      <c r="T229" s="67" t="n"/>
      <c r="U229" s="67" t="n"/>
      <c r="V229" s="67" t="n"/>
      <c r="W229" s="67" t="n"/>
      <c r="X229" s="67" t="n"/>
    </row>
    <row r="230" ht="22.35" customHeight="1" s="45">
      <c r="A230" s="65" t="inlineStr">
        <is>
          <t>C5.2</t>
        </is>
      </c>
      <c r="B230" s="66" t="inlineStr">
        <is>
          <t>Doc 15</t>
        </is>
      </c>
      <c r="C230" s="66" t="inlineStr">
        <is>
          <t>CANON</t>
        </is>
      </c>
      <c r="D230" s="66" t="inlineStr">
        <is>
          <t>V4 — Governance-record evidence</t>
        </is>
      </c>
      <c r="E230" s="66" t="n"/>
      <c r="F230" s="66" t="inlineStr">
        <is>
          <t>DECISIONS.md entry; ceremony record with tier, countersign, countdown, apply, re-verify; canon_ref present</t>
        </is>
      </c>
      <c r="G230" s="66" t="inlineStr">
        <is>
          <t>B — sample ≥ 30%</t>
        </is>
      </c>
      <c r="H230" s="67" t="n"/>
      <c r="I230" s="67" t="n"/>
      <c r="J230" s="67" t="n"/>
      <c r="K230" s="64">
        <f>IFERROR(INDEX('Status Map'!$B$2:$B$12,MATCH(C230,'Status Map'!$A$2:$A$12,0)),"UNDEFINED")</f>
        <v/>
      </c>
      <c r="L230" s="64">
        <f>IFERROR(INDEX('Status Map'!$C$2:$C$12,MATCH(C230,'Status Map'!$A$2:$A$12,0)),"UNDEFINED")</f>
        <v/>
      </c>
      <c r="M230" s="68" t="inlineStr">
        <is>
          <t>HEADING ONLY</t>
        </is>
      </c>
      <c r="N230" s="68" t="n"/>
      <c r="O230" s="68" t="n"/>
      <c r="P230" s="64">
        <f>IF(O230&lt;&gt;"",O230,LEFT(D230,2))</f>
        <v/>
      </c>
      <c r="Q230" s="64">
        <f>IF(O230&lt;&gt;"","Standards §6",IF(M230="HEADING ONLY","Derived from heading — PROVISIONAL",IF(M230="TEXT NOT IN REGISTRY","No text to derive from — PROVISIONAL","Derived from registered statement")))</f>
        <v/>
      </c>
      <c r="R230" s="64">
        <f>IF(OR(LEFT(G230,1)="A",L230="COUNTS",ISNUMBER(SEARCH("V1",P230)),ISNUMBER(SEARCH("V2",P230)),ISNUMBER(SEARCH("V5",P230))),"A — 100%","B — sample ≥ 30%")</f>
        <v/>
      </c>
      <c r="S230" s="67" t="n"/>
      <c r="T230" s="67" t="n"/>
      <c r="U230" s="67" t="n"/>
      <c r="V230" s="67" t="n"/>
      <c r="W230" s="67" t="n"/>
      <c r="X230" s="67" t="n"/>
    </row>
    <row r="231" ht="22.35" customHeight="1" s="45">
      <c r="A231" s="65" t="inlineStr">
        <is>
          <t>C5.3</t>
        </is>
      </c>
      <c r="B231" s="66" t="inlineStr">
        <is>
          <t>Doc 15</t>
        </is>
      </c>
      <c r="C231" s="66" t="inlineStr">
        <is>
          <t>CANON</t>
        </is>
      </c>
      <c r="D231" s="66" t="inlineStr">
        <is>
          <t>V7 — Document &amp; design inspection</t>
        </is>
      </c>
      <c r="E231" s="66" t="n"/>
      <c r="F231" s="66" t="inlineStr">
        <is>
          <t>Specification text against implementation description; provenance sections; objective card lines</t>
        </is>
      </c>
      <c r="G231" s="66" t="inlineStr">
        <is>
          <t>B — sample ≥ 30%</t>
        </is>
      </c>
      <c r="H231" s="67" t="n"/>
      <c r="I231" s="67" t="n"/>
      <c r="J231" s="67" t="n"/>
      <c r="K231" s="64">
        <f>IFERROR(INDEX('Status Map'!$B$2:$B$12,MATCH(C231,'Status Map'!$A$2:$A$12,0)),"UNDEFINED")</f>
        <v/>
      </c>
      <c r="L231" s="64">
        <f>IFERROR(INDEX('Status Map'!$C$2:$C$12,MATCH(C231,'Status Map'!$A$2:$A$12,0)),"UNDEFINED")</f>
        <v/>
      </c>
      <c r="M231" s="68" t="inlineStr">
        <is>
          <t>HEADING ONLY</t>
        </is>
      </c>
      <c r="N231" s="68" t="n"/>
      <c r="O231" s="68" t="n"/>
      <c r="P231" s="64">
        <f>IF(O231&lt;&gt;"",O231,LEFT(D231,2))</f>
        <v/>
      </c>
      <c r="Q231" s="64">
        <f>IF(O231&lt;&gt;"","Standards §6",IF(M231="HEADING ONLY","Derived from heading — PROVISIONAL",IF(M231="TEXT NOT IN REGISTRY","No text to derive from — PROVISIONAL","Derived from registered statement")))</f>
        <v/>
      </c>
      <c r="R231" s="64">
        <f>IF(OR(LEFT(G231,1)="A",L231="COUNTS",ISNUMBER(SEARCH("V1",P231)),ISNUMBER(SEARCH("V2",P231)),ISNUMBER(SEARCH("V5",P231))),"A — 100%","B — sample ≥ 30%")</f>
        <v/>
      </c>
      <c r="S231" s="67" t="n"/>
      <c r="T231" s="67" t="n"/>
      <c r="U231" s="67" t="n"/>
      <c r="V231" s="67" t="n"/>
      <c r="W231" s="67" t="n"/>
      <c r="X231" s="67" t="n"/>
    </row>
    <row r="232" ht="22.35" customHeight="1" s="45">
      <c r="A232" s="65" t="inlineStr">
        <is>
          <t>C5.4</t>
        </is>
      </c>
      <c r="B232" s="66" t="inlineStr">
        <is>
          <t>Doc 15</t>
        </is>
      </c>
      <c r="C232" s="66" t="inlineStr">
        <is>
          <t>CANON</t>
        </is>
      </c>
      <c r="D232" s="66" t="inlineStr">
        <is>
          <t>V7 — Document &amp; design inspection</t>
        </is>
      </c>
      <c r="E232" s="66" t="n"/>
      <c r="F232" s="66" t="inlineStr">
        <is>
          <t>Specification text against implementation description; provenance sections; objective card lines</t>
        </is>
      </c>
      <c r="G232" s="66" t="inlineStr">
        <is>
          <t>B — sample ≥ 30%</t>
        </is>
      </c>
      <c r="H232" s="67" t="n"/>
      <c r="I232" s="67" t="n"/>
      <c r="J232" s="67" t="n"/>
      <c r="K232" s="64">
        <f>IFERROR(INDEX('Status Map'!$B$2:$B$12,MATCH(C232,'Status Map'!$A$2:$A$12,0)),"UNDEFINED")</f>
        <v/>
      </c>
      <c r="L232" s="64">
        <f>IFERROR(INDEX('Status Map'!$C$2:$C$12,MATCH(C232,'Status Map'!$A$2:$A$12,0)),"UNDEFINED")</f>
        <v/>
      </c>
      <c r="M232" s="68" t="inlineStr">
        <is>
          <t>HEADING ONLY</t>
        </is>
      </c>
      <c r="N232" s="68" t="n"/>
      <c r="O232" s="68" t="n"/>
      <c r="P232" s="64">
        <f>IF(O232&lt;&gt;"",O232,LEFT(D232,2))</f>
        <v/>
      </c>
      <c r="Q232" s="64">
        <f>IF(O232&lt;&gt;"","Standards §6",IF(M232="HEADING ONLY","Derived from heading — PROVISIONAL",IF(M232="TEXT NOT IN REGISTRY","No text to derive from — PROVISIONAL","Derived from registered statement")))</f>
        <v/>
      </c>
      <c r="R232" s="64">
        <f>IF(OR(LEFT(G232,1)="A",L232="COUNTS",ISNUMBER(SEARCH("V1",P232)),ISNUMBER(SEARCH("V2",P232)),ISNUMBER(SEARCH("V5",P232))),"A — 100%","B — sample ≥ 30%")</f>
        <v/>
      </c>
      <c r="S232" s="67" t="n"/>
      <c r="T232" s="67" t="n"/>
      <c r="U232" s="67" t="n"/>
      <c r="V232" s="67" t="n"/>
      <c r="W232" s="67" t="n"/>
      <c r="X232" s="67" t="n"/>
    </row>
    <row r="233" ht="22.35" customHeight="1" s="45">
      <c r="A233" s="65" t="inlineStr">
        <is>
          <t>C5.5</t>
        </is>
      </c>
      <c r="B233" s="66" t="inlineStr">
        <is>
          <t>Doc 15</t>
        </is>
      </c>
      <c r="C233" s="66" t="inlineStr">
        <is>
          <t>PROPOSED</t>
        </is>
      </c>
      <c r="D233" s="66" t="inlineStr">
        <is>
          <t>V7 — Document &amp; design inspection</t>
        </is>
      </c>
      <c r="E233" s="66" t="n"/>
      <c r="F233" s="66" t="inlineStr">
        <is>
          <t>Specification text against implementation description; provenance sections; objective card lines</t>
        </is>
      </c>
      <c r="G233" s="66" t="inlineStr">
        <is>
          <t>B — sample ≥ 30%</t>
        </is>
      </c>
      <c r="H233" s="67" t="n"/>
      <c r="I233" s="67" t="n"/>
      <c r="J233" s="67" t="n"/>
      <c r="K233" s="64">
        <f>IFERROR(INDEX('Status Map'!$B$2:$B$12,MATCH(C233,'Status Map'!$A$2:$A$12,0)),"UNDEFINED")</f>
        <v/>
      </c>
      <c r="L233" s="64">
        <f>IFERROR(INDEX('Status Map'!$C$2:$C$12,MATCH(C233,'Status Map'!$A$2:$A$12,0)),"UNDEFINED")</f>
        <v/>
      </c>
      <c r="M233" s="68" t="inlineStr">
        <is>
          <t>HEADING ONLY</t>
        </is>
      </c>
      <c r="N233" s="68" t="n"/>
      <c r="O233" s="68" t="n"/>
      <c r="P233" s="64">
        <f>IF(O233&lt;&gt;"",O233,LEFT(D233,2))</f>
        <v/>
      </c>
      <c r="Q233" s="64">
        <f>IF(O233&lt;&gt;"","Standards §6",IF(M233="HEADING ONLY","Derived from heading — PROVISIONAL",IF(M233="TEXT NOT IN REGISTRY","No text to derive from — PROVISIONAL","Derived from registered statement")))</f>
        <v/>
      </c>
      <c r="R233" s="64">
        <f>IF(OR(LEFT(G233,1)="A",L233="COUNTS",ISNUMBER(SEARCH("V1",P233)),ISNUMBER(SEARCH("V2",P233)),ISNUMBER(SEARCH("V5",P233))),"A — 100%","B — sample ≥ 30%")</f>
        <v/>
      </c>
      <c r="S233" s="67" t="n"/>
      <c r="T233" s="67" t="n"/>
      <c r="U233" s="67" t="n"/>
      <c r="V233" s="67" t="n"/>
      <c r="W233" s="67" t="n"/>
      <c r="X233" s="67" t="n"/>
    </row>
    <row r="234" ht="22.35" customHeight="1" s="45">
      <c r="A234" s="65" t="inlineStr">
        <is>
          <t>B5.1</t>
        </is>
      </c>
      <c r="B234" s="66" t="inlineStr">
        <is>
          <t>Doc 15</t>
        </is>
      </c>
      <c r="C234" s="66" t="inlineStr">
        <is>
          <t>CANON</t>
        </is>
      </c>
      <c r="D234" s="66" t="inlineStr">
        <is>
          <t>V7 — Document &amp; design inspection</t>
        </is>
      </c>
      <c r="E234" s="66" t="n"/>
      <c r="F234" s="66" t="inlineStr">
        <is>
          <t>Specification text against implementation description; provenance sections; objective card lines</t>
        </is>
      </c>
      <c r="G234" s="66" t="inlineStr">
        <is>
          <t>B — sample ≥ 30%</t>
        </is>
      </c>
      <c r="H234" s="67" t="n"/>
      <c r="I234" s="67" t="n"/>
      <c r="J234" s="67" t="n"/>
      <c r="K234" s="64">
        <f>IFERROR(INDEX('Status Map'!$B$2:$B$12,MATCH(C234,'Status Map'!$A$2:$A$12,0)),"UNDEFINED")</f>
        <v/>
      </c>
      <c r="L234" s="64">
        <f>IFERROR(INDEX('Status Map'!$C$2:$C$12,MATCH(C234,'Status Map'!$A$2:$A$12,0)),"UNDEFINED")</f>
        <v/>
      </c>
      <c r="M234" s="68" t="inlineStr">
        <is>
          <t>HEADING ONLY</t>
        </is>
      </c>
      <c r="N234" s="68" t="n"/>
      <c r="O234" s="68" t="n"/>
      <c r="P234" s="64">
        <f>IF(O234&lt;&gt;"",O234,LEFT(D234,2))</f>
        <v/>
      </c>
      <c r="Q234" s="64">
        <f>IF(O234&lt;&gt;"","Standards §6",IF(M234="HEADING ONLY","Derived from heading — PROVISIONAL",IF(M234="TEXT NOT IN REGISTRY","No text to derive from — PROVISIONAL","Derived from registered statement")))</f>
        <v/>
      </c>
      <c r="R234" s="64">
        <f>IF(OR(LEFT(G234,1)="A",L234="COUNTS",ISNUMBER(SEARCH("V1",P234)),ISNUMBER(SEARCH("V2",P234)),ISNUMBER(SEARCH("V5",P234))),"A — 100%","B — sample ≥ 30%")</f>
        <v/>
      </c>
      <c r="S234" s="67" t="n"/>
      <c r="T234" s="67" t="n"/>
      <c r="U234" s="67" t="n"/>
      <c r="V234" s="67" t="n"/>
      <c r="W234" s="67" t="n"/>
      <c r="X234" s="67" t="n"/>
    </row>
    <row r="235" ht="22.35" customHeight="1" s="45">
      <c r="A235" s="65" t="inlineStr">
        <is>
          <t>B5.2</t>
        </is>
      </c>
      <c r="B235" s="66" t="inlineStr">
        <is>
          <t>Doc 15</t>
        </is>
      </c>
      <c r="C235" s="66" t="inlineStr">
        <is>
          <t>CANON</t>
        </is>
      </c>
      <c r="D235" s="66" t="inlineStr">
        <is>
          <t>V7 — Document &amp; design inspection</t>
        </is>
      </c>
      <c r="E235" s="66" t="n"/>
      <c r="F235" s="66" t="inlineStr">
        <is>
          <t>Specification text against implementation description; provenance sections; objective card lines</t>
        </is>
      </c>
      <c r="G235" s="66" t="inlineStr">
        <is>
          <t>B — sample ≥ 30%</t>
        </is>
      </c>
      <c r="H235" s="67" t="n"/>
      <c r="I235" s="67" t="n"/>
      <c r="J235" s="67" t="n"/>
      <c r="K235" s="64">
        <f>IFERROR(INDEX('Status Map'!$B$2:$B$12,MATCH(C235,'Status Map'!$A$2:$A$12,0)),"UNDEFINED")</f>
        <v/>
      </c>
      <c r="L235" s="64">
        <f>IFERROR(INDEX('Status Map'!$C$2:$C$12,MATCH(C235,'Status Map'!$A$2:$A$12,0)),"UNDEFINED")</f>
        <v/>
      </c>
      <c r="M235" s="68" t="inlineStr">
        <is>
          <t>HEADING ONLY</t>
        </is>
      </c>
      <c r="N235" s="68" t="n"/>
      <c r="O235" s="68" t="n"/>
      <c r="P235" s="64">
        <f>IF(O235&lt;&gt;"",O235,LEFT(D235,2))</f>
        <v/>
      </c>
      <c r="Q235" s="64">
        <f>IF(O235&lt;&gt;"","Standards §6",IF(M235="HEADING ONLY","Derived from heading — PROVISIONAL",IF(M235="TEXT NOT IN REGISTRY","No text to derive from — PROVISIONAL","Derived from registered statement")))</f>
        <v/>
      </c>
      <c r="R235" s="64">
        <f>IF(OR(LEFT(G235,1)="A",L235="COUNTS",ISNUMBER(SEARCH("V1",P235)),ISNUMBER(SEARCH("V2",P235)),ISNUMBER(SEARCH("V5",P235))),"A — 100%","B — sample ≥ 30%")</f>
        <v/>
      </c>
      <c r="S235" s="67" t="n"/>
      <c r="T235" s="67" t="n"/>
      <c r="U235" s="67" t="n"/>
      <c r="V235" s="67" t="n"/>
      <c r="W235" s="67" t="n"/>
      <c r="X235" s="67" t="n"/>
    </row>
    <row r="236" ht="22.35" customHeight="1" s="45">
      <c r="A236" s="65" t="inlineStr">
        <is>
          <t>B5.3</t>
        </is>
      </c>
      <c r="B236" s="66" t="inlineStr">
        <is>
          <t>Doc 15</t>
        </is>
      </c>
      <c r="C236" s="66" t="inlineStr">
        <is>
          <t>CANON</t>
        </is>
      </c>
      <c r="D236" s="66" t="inlineStr">
        <is>
          <t>V7 — Document &amp; design inspection</t>
        </is>
      </c>
      <c r="E236" s="66" t="n"/>
      <c r="F236" s="66" t="inlineStr">
        <is>
          <t>Specification text against implementation description; provenance sections; objective card lines</t>
        </is>
      </c>
      <c r="G236" s="66" t="inlineStr">
        <is>
          <t>B — sample ≥ 30%</t>
        </is>
      </c>
      <c r="H236" s="67" t="n"/>
      <c r="I236" s="67" t="n"/>
      <c r="J236" s="67" t="n"/>
      <c r="K236" s="64">
        <f>IFERROR(INDEX('Status Map'!$B$2:$B$12,MATCH(C236,'Status Map'!$A$2:$A$12,0)),"UNDEFINED")</f>
        <v/>
      </c>
      <c r="L236" s="64">
        <f>IFERROR(INDEX('Status Map'!$C$2:$C$12,MATCH(C236,'Status Map'!$A$2:$A$12,0)),"UNDEFINED")</f>
        <v/>
      </c>
      <c r="M236" s="68" t="inlineStr">
        <is>
          <t>HEADING ONLY</t>
        </is>
      </c>
      <c r="N236" s="68" t="n"/>
      <c r="O236" s="68" t="n"/>
      <c r="P236" s="64">
        <f>IF(O236&lt;&gt;"",O236,LEFT(D236,2))</f>
        <v/>
      </c>
      <c r="Q236" s="64">
        <f>IF(O236&lt;&gt;"","Standards §6",IF(M236="HEADING ONLY","Derived from heading — PROVISIONAL",IF(M236="TEXT NOT IN REGISTRY","No text to derive from — PROVISIONAL","Derived from registered statement")))</f>
        <v/>
      </c>
      <c r="R236" s="64">
        <f>IF(OR(LEFT(G236,1)="A",L236="COUNTS",ISNUMBER(SEARCH("V1",P236)),ISNUMBER(SEARCH("V2",P236)),ISNUMBER(SEARCH("V5",P236))),"A — 100%","B — sample ≥ 30%")</f>
        <v/>
      </c>
      <c r="S236" s="67" t="n"/>
      <c r="T236" s="67" t="n"/>
      <c r="U236" s="67" t="n"/>
      <c r="V236" s="67" t="n"/>
      <c r="W236" s="67" t="n"/>
      <c r="X236" s="67" t="n"/>
    </row>
    <row r="237" ht="22.35" customHeight="1" s="45">
      <c r="A237" s="65" t="inlineStr">
        <is>
          <t>B5.4</t>
        </is>
      </c>
      <c r="B237" s="66" t="inlineStr">
        <is>
          <t>Doc 15</t>
        </is>
      </c>
      <c r="C237" s="66" t="inlineStr">
        <is>
          <t>—</t>
        </is>
      </c>
      <c r="D237" s="66" t="inlineStr">
        <is>
          <t>V7 — Document &amp; design inspection</t>
        </is>
      </c>
      <c r="E237" s="66" t="n"/>
      <c r="F237" s="66" t="inlineStr">
        <is>
          <t>Specification text against implementation description; provenance sections; objective card lines</t>
        </is>
      </c>
      <c r="G237" s="66" t="inlineStr">
        <is>
          <t>B — sample ≥ 30%</t>
        </is>
      </c>
      <c r="H237" s="67" t="n"/>
      <c r="I237" s="67" t="n"/>
      <c r="J237" s="67" t="n"/>
      <c r="K237" s="64">
        <f>IFERROR(INDEX('Status Map'!$B$2:$B$12,MATCH(C237,'Status Map'!$A$2:$A$12,0)),"UNDEFINED")</f>
        <v/>
      </c>
      <c r="L237" s="64">
        <f>IFERROR(INDEX('Status Map'!$C$2:$C$12,MATCH(C237,'Status Map'!$A$2:$A$12,0)),"UNDEFINED")</f>
        <v/>
      </c>
      <c r="M237" s="68" t="inlineStr">
        <is>
          <t>HEADING ONLY</t>
        </is>
      </c>
      <c r="N237" s="68" t="n"/>
      <c r="O237" s="68" t="n"/>
      <c r="P237" s="64">
        <f>IF(O237&lt;&gt;"",O237,LEFT(D237,2))</f>
        <v/>
      </c>
      <c r="Q237" s="64">
        <f>IF(O237&lt;&gt;"","Standards §6",IF(M237="HEADING ONLY","Derived from heading — PROVISIONAL",IF(M237="TEXT NOT IN REGISTRY","No text to derive from — PROVISIONAL","Derived from registered statement")))</f>
        <v/>
      </c>
      <c r="R237" s="64">
        <f>IF(OR(LEFT(G237,1)="A",L237="COUNTS",ISNUMBER(SEARCH("V1",P237)),ISNUMBER(SEARCH("V2",P237)),ISNUMBER(SEARCH("V5",P237))),"A — 100%","B — sample ≥ 30%")</f>
        <v/>
      </c>
      <c r="S237" s="67" t="n"/>
      <c r="T237" s="67" t="n"/>
      <c r="U237" s="67" t="n"/>
      <c r="V237" s="67" t="n"/>
      <c r="W237" s="67" t="n"/>
      <c r="X237" s="67" t="n"/>
    </row>
    <row r="238" ht="22.35" customHeight="1" s="45">
      <c r="A238" s="65" t="inlineStr">
        <is>
          <t>RV-1</t>
        </is>
      </c>
      <c r="B238" s="66" t="inlineStr">
        <is>
          <t>Doc 19</t>
        </is>
      </c>
      <c r="C238" s="66" t="inlineStr">
        <is>
          <t>CANON</t>
        </is>
      </c>
      <c r="D238" s="66" t="inlineStr">
        <is>
          <t>V4 — Governance-record evidence</t>
        </is>
      </c>
      <c r="E238" s="66" t="n"/>
      <c r="F238" s="66" t="inlineStr">
        <is>
          <t>DECISIONS.md entry; ceremony record with tier, countersign, countdown, apply, re-verify; canon_ref present</t>
        </is>
      </c>
      <c r="G238" s="66" t="inlineStr">
        <is>
          <t>B — sample ≥ 30%</t>
        </is>
      </c>
      <c r="H238" s="67" t="n"/>
      <c r="I238" s="67" t="n"/>
      <c r="J238" s="67" t="n"/>
      <c r="K238" s="64">
        <f>IFERROR(INDEX('Status Map'!$B$2:$B$12,MATCH(C238,'Status Map'!$A$2:$A$12,0)),"UNDEFINED")</f>
        <v/>
      </c>
      <c r="L238" s="64">
        <f>IFERROR(INDEX('Status Map'!$C$2:$C$12,MATCH(C238,'Status Map'!$A$2:$A$12,0)),"UNDEFINED")</f>
        <v/>
      </c>
      <c r="M238" s="68" t="inlineStr">
        <is>
          <t>HEADING ONLY</t>
        </is>
      </c>
      <c r="N238" s="68" t="n"/>
      <c r="O238" s="68" t="n"/>
      <c r="P238" s="64">
        <f>IF(O238&lt;&gt;"",O238,LEFT(D238,2))</f>
        <v/>
      </c>
      <c r="Q238" s="64">
        <f>IF(O238&lt;&gt;"","Standards §6",IF(M238="HEADING ONLY","Derived from heading — PROVISIONAL",IF(M238="TEXT NOT IN REGISTRY","No text to derive from — PROVISIONAL","Derived from registered statement")))</f>
        <v/>
      </c>
      <c r="R238" s="64">
        <f>IF(OR(LEFT(G238,1)="A",L238="COUNTS",ISNUMBER(SEARCH("V1",P238)),ISNUMBER(SEARCH("V2",P238)),ISNUMBER(SEARCH("V5",P238))),"A — 100%","B — sample ≥ 30%")</f>
        <v/>
      </c>
      <c r="S238" s="67" t="n"/>
      <c r="T238" s="67" t="n"/>
      <c r="U238" s="67" t="n"/>
      <c r="V238" s="67" t="n"/>
      <c r="W238" s="67" t="n"/>
      <c r="X238" s="67" t="n"/>
    </row>
    <row r="239" ht="22.35" customHeight="1" s="45">
      <c r="A239" s="65" t="inlineStr">
        <is>
          <t>RV-2</t>
        </is>
      </c>
      <c r="B239" s="66" t="inlineStr">
        <is>
          <t>Doc 19</t>
        </is>
      </c>
      <c r="C239" s="66" t="inlineStr">
        <is>
          <t>CANON</t>
        </is>
      </c>
      <c r="D239" s="66" t="inlineStr">
        <is>
          <t>V4 — Governance-record evidence</t>
        </is>
      </c>
      <c r="E239" s="66" t="n"/>
      <c r="F239" s="66" t="inlineStr">
        <is>
          <t>DECISIONS.md entry; ceremony record with tier, countersign, countdown, apply, re-verify; canon_ref present</t>
        </is>
      </c>
      <c r="G239" s="66" t="inlineStr">
        <is>
          <t>B — sample ≥ 30%</t>
        </is>
      </c>
      <c r="H239" s="67" t="n"/>
      <c r="I239" s="67" t="n"/>
      <c r="J239" s="67" t="n"/>
      <c r="K239" s="64">
        <f>IFERROR(INDEX('Status Map'!$B$2:$B$12,MATCH(C239,'Status Map'!$A$2:$A$12,0)),"UNDEFINED")</f>
        <v/>
      </c>
      <c r="L239" s="64">
        <f>IFERROR(INDEX('Status Map'!$C$2:$C$12,MATCH(C239,'Status Map'!$A$2:$A$12,0)),"UNDEFINED")</f>
        <v/>
      </c>
      <c r="M239" s="68" t="inlineStr">
        <is>
          <t>HEADING ONLY</t>
        </is>
      </c>
      <c r="N239" s="68" t="n"/>
      <c r="O239" s="68" t="n"/>
      <c r="P239" s="64">
        <f>IF(O239&lt;&gt;"",O239,LEFT(D239,2))</f>
        <v/>
      </c>
      <c r="Q239" s="64">
        <f>IF(O239&lt;&gt;"","Standards §6",IF(M239="HEADING ONLY","Derived from heading — PROVISIONAL",IF(M239="TEXT NOT IN REGISTRY","No text to derive from — PROVISIONAL","Derived from registered statement")))</f>
        <v/>
      </c>
      <c r="R239" s="64">
        <f>IF(OR(LEFT(G239,1)="A",L239="COUNTS",ISNUMBER(SEARCH("V1",P239)),ISNUMBER(SEARCH("V2",P239)),ISNUMBER(SEARCH("V5",P239))),"A — 100%","B — sample ≥ 30%")</f>
        <v/>
      </c>
      <c r="S239" s="67" t="n"/>
      <c r="T239" s="67" t="n"/>
      <c r="U239" s="67" t="n"/>
      <c r="V239" s="67" t="n"/>
      <c r="W239" s="67" t="n"/>
      <c r="X239" s="67" t="n"/>
    </row>
    <row r="240" ht="22.35" customHeight="1" s="45">
      <c r="A240" s="65" t="inlineStr">
        <is>
          <t>RV-3</t>
        </is>
      </c>
      <c r="B240" s="66" t="inlineStr">
        <is>
          <t>Doc 19</t>
        </is>
      </c>
      <c r="C240" s="66" t="inlineStr">
        <is>
          <t>CANON</t>
        </is>
      </c>
      <c r="D240" s="66" t="inlineStr">
        <is>
          <t>V7 — Document &amp; design inspection</t>
        </is>
      </c>
      <c r="E240" s="66" t="n"/>
      <c r="F240" s="66" t="inlineStr">
        <is>
          <t>Specification text against implementation description; provenance sections; objective card lines</t>
        </is>
      </c>
      <c r="G240" s="66" t="inlineStr">
        <is>
          <t>B — sample ≥ 30%</t>
        </is>
      </c>
      <c r="H240" s="67" t="n"/>
      <c r="I240" s="67" t="n"/>
      <c r="J240" s="67" t="n"/>
      <c r="K240" s="64">
        <f>IFERROR(INDEX('Status Map'!$B$2:$B$12,MATCH(C240,'Status Map'!$A$2:$A$12,0)),"UNDEFINED")</f>
        <v/>
      </c>
      <c r="L240" s="64">
        <f>IFERROR(INDEX('Status Map'!$C$2:$C$12,MATCH(C240,'Status Map'!$A$2:$A$12,0)),"UNDEFINED")</f>
        <v/>
      </c>
      <c r="M240" s="68" t="inlineStr">
        <is>
          <t>HEADING ONLY</t>
        </is>
      </c>
      <c r="N240" s="68" t="n"/>
      <c r="O240" s="68" t="n"/>
      <c r="P240" s="64">
        <f>IF(O240&lt;&gt;"",O240,LEFT(D240,2))</f>
        <v/>
      </c>
      <c r="Q240" s="64">
        <f>IF(O240&lt;&gt;"","Standards §6",IF(M240="HEADING ONLY","Derived from heading — PROVISIONAL",IF(M240="TEXT NOT IN REGISTRY","No text to derive from — PROVISIONAL","Derived from registered statement")))</f>
        <v/>
      </c>
      <c r="R240" s="64">
        <f>IF(OR(LEFT(G240,1)="A",L240="COUNTS",ISNUMBER(SEARCH("V1",P240)),ISNUMBER(SEARCH("V2",P240)),ISNUMBER(SEARCH("V5",P240))),"A — 100%","B — sample ≥ 30%")</f>
        <v/>
      </c>
      <c r="S240" s="67" t="n"/>
      <c r="T240" s="67" t="n"/>
      <c r="U240" s="67" t="n"/>
      <c r="V240" s="67" t="n"/>
      <c r="W240" s="67" t="n"/>
      <c r="X240" s="67" t="n"/>
    </row>
    <row r="241" ht="22.35" customHeight="1" s="45">
      <c r="A241" s="65" t="inlineStr">
        <is>
          <t>RV-4</t>
        </is>
      </c>
      <c r="B241" s="66" t="inlineStr">
        <is>
          <t>Doc 19</t>
        </is>
      </c>
      <c r="C241" s="66" t="inlineStr">
        <is>
          <t>CANON</t>
        </is>
      </c>
      <c r="D241" s="66" t="inlineStr">
        <is>
          <t>V7 — Document &amp; design inspection</t>
        </is>
      </c>
      <c r="E241" s="66" t="n"/>
      <c r="F241" s="66" t="inlineStr">
        <is>
          <t>Specification text against implementation description; provenance sections; objective card lines</t>
        </is>
      </c>
      <c r="G241" s="66" t="inlineStr">
        <is>
          <t>B — sample ≥ 30%</t>
        </is>
      </c>
      <c r="H241" s="67" t="n"/>
      <c r="I241" s="67" t="n"/>
      <c r="J241" s="67" t="n"/>
      <c r="K241" s="64">
        <f>IFERROR(INDEX('Status Map'!$B$2:$B$12,MATCH(C241,'Status Map'!$A$2:$A$12,0)),"UNDEFINED")</f>
        <v/>
      </c>
      <c r="L241" s="64">
        <f>IFERROR(INDEX('Status Map'!$C$2:$C$12,MATCH(C241,'Status Map'!$A$2:$A$12,0)),"UNDEFINED")</f>
        <v/>
      </c>
      <c r="M241" s="68" t="inlineStr">
        <is>
          <t>HEADING ONLY</t>
        </is>
      </c>
      <c r="N241" s="68" t="n"/>
      <c r="O241" s="68" t="n"/>
      <c r="P241" s="64">
        <f>IF(O241&lt;&gt;"",O241,LEFT(D241,2))</f>
        <v/>
      </c>
      <c r="Q241" s="64">
        <f>IF(O241&lt;&gt;"","Standards §6",IF(M241="HEADING ONLY","Derived from heading — PROVISIONAL",IF(M241="TEXT NOT IN REGISTRY","No text to derive from — PROVISIONAL","Derived from registered statement")))</f>
        <v/>
      </c>
      <c r="R241" s="64">
        <f>IF(OR(LEFT(G241,1)="A",L241="COUNTS",ISNUMBER(SEARCH("V1",P241)),ISNUMBER(SEARCH("V2",P241)),ISNUMBER(SEARCH("V5",P241))),"A — 100%","B — sample ≥ 30%")</f>
        <v/>
      </c>
      <c r="S241" s="67" t="n"/>
      <c r="T241" s="67" t="n"/>
      <c r="U241" s="67" t="n"/>
      <c r="V241" s="67" t="n"/>
      <c r="W241" s="67" t="n"/>
      <c r="X241" s="67" t="n"/>
    </row>
    <row r="242" ht="22.35" customHeight="1" s="45">
      <c r="A242" s="65" t="inlineStr">
        <is>
          <t>RV-5</t>
        </is>
      </c>
      <c r="B242" s="66" t="inlineStr">
        <is>
          <t>Doc 19</t>
        </is>
      </c>
      <c r="C242" s="66" t="inlineStr">
        <is>
          <t>CANON</t>
        </is>
      </c>
      <c r="D242" s="66" t="inlineStr">
        <is>
          <t>V7 — Document &amp; design inspection</t>
        </is>
      </c>
      <c r="E242" s="66" t="n"/>
      <c r="F242" s="66" t="inlineStr">
        <is>
          <t>Specification text against implementation description; provenance sections; objective card lines</t>
        </is>
      </c>
      <c r="G242" s="66" t="inlineStr">
        <is>
          <t>B — sample ≥ 30%</t>
        </is>
      </c>
      <c r="H242" s="67" t="n"/>
      <c r="I242" s="67" t="n"/>
      <c r="J242" s="67" t="n"/>
      <c r="K242" s="64">
        <f>IFERROR(INDEX('Status Map'!$B$2:$B$12,MATCH(C242,'Status Map'!$A$2:$A$12,0)),"UNDEFINED")</f>
        <v/>
      </c>
      <c r="L242" s="64">
        <f>IFERROR(INDEX('Status Map'!$C$2:$C$12,MATCH(C242,'Status Map'!$A$2:$A$12,0)),"UNDEFINED")</f>
        <v/>
      </c>
      <c r="M242" s="68" t="inlineStr">
        <is>
          <t>HEADING ONLY</t>
        </is>
      </c>
      <c r="N242" s="68" t="n"/>
      <c r="O242" s="68" t="n"/>
      <c r="P242" s="64">
        <f>IF(O242&lt;&gt;"",O242,LEFT(D242,2))</f>
        <v/>
      </c>
      <c r="Q242" s="64">
        <f>IF(O242&lt;&gt;"","Standards §6",IF(M242="HEADING ONLY","Derived from heading — PROVISIONAL",IF(M242="TEXT NOT IN REGISTRY","No text to derive from — PROVISIONAL","Derived from registered statement")))</f>
        <v/>
      </c>
      <c r="R242" s="64">
        <f>IF(OR(LEFT(G242,1)="A",L242="COUNTS",ISNUMBER(SEARCH("V1",P242)),ISNUMBER(SEARCH("V2",P242)),ISNUMBER(SEARCH("V5",P242))),"A — 100%","B — sample ≥ 30%")</f>
        <v/>
      </c>
      <c r="S242" s="67" t="n"/>
      <c r="T242" s="67" t="n"/>
      <c r="U242" s="67" t="n"/>
      <c r="V242" s="67" t="n"/>
      <c r="W242" s="67" t="n"/>
      <c r="X242" s="67" t="n"/>
    </row>
    <row r="243" ht="22.35" customHeight="1" s="45">
      <c r="A243" s="65" t="inlineStr">
        <is>
          <t>RV-6</t>
        </is>
      </c>
      <c r="B243" s="66" t="inlineStr">
        <is>
          <t>Doc 19</t>
        </is>
      </c>
      <c r="C243" s="66" t="inlineStr">
        <is>
          <t>CANON</t>
        </is>
      </c>
      <c r="D243" s="66" t="inlineStr">
        <is>
          <t>V7 — Document &amp; design inspection</t>
        </is>
      </c>
      <c r="E243" s="66" t="n"/>
      <c r="F243" s="66" t="inlineStr">
        <is>
          <t>Specification text against implementation description; provenance sections; objective card lines</t>
        </is>
      </c>
      <c r="G243" s="66" t="inlineStr">
        <is>
          <t>B — sample ≥ 30%</t>
        </is>
      </c>
      <c r="H243" s="67" t="n"/>
      <c r="I243" s="67" t="n"/>
      <c r="J243" s="67" t="n"/>
      <c r="K243" s="64">
        <f>IFERROR(INDEX('Status Map'!$B$2:$B$12,MATCH(C243,'Status Map'!$A$2:$A$12,0)),"UNDEFINED")</f>
        <v/>
      </c>
      <c r="L243" s="64">
        <f>IFERROR(INDEX('Status Map'!$C$2:$C$12,MATCH(C243,'Status Map'!$A$2:$A$12,0)),"UNDEFINED")</f>
        <v/>
      </c>
      <c r="M243" s="68" t="inlineStr">
        <is>
          <t>HEADING ONLY</t>
        </is>
      </c>
      <c r="N243" s="68" t="n"/>
      <c r="O243" s="68" t="n"/>
      <c r="P243" s="64">
        <f>IF(O243&lt;&gt;"",O243,LEFT(D243,2))</f>
        <v/>
      </c>
      <c r="Q243" s="64">
        <f>IF(O243&lt;&gt;"","Standards §6",IF(M243="HEADING ONLY","Derived from heading — PROVISIONAL",IF(M243="TEXT NOT IN REGISTRY","No text to derive from — PROVISIONAL","Derived from registered statement")))</f>
        <v/>
      </c>
      <c r="R243" s="64">
        <f>IF(OR(LEFT(G243,1)="A",L243="COUNTS",ISNUMBER(SEARCH("V1",P243)),ISNUMBER(SEARCH("V2",P243)),ISNUMBER(SEARCH("V5",P243))),"A — 100%","B — sample ≥ 30%")</f>
        <v/>
      </c>
      <c r="S243" s="67" t="n"/>
      <c r="T243" s="67" t="n"/>
      <c r="U243" s="67" t="n"/>
      <c r="V243" s="67" t="n"/>
      <c r="W243" s="67" t="n"/>
      <c r="X243" s="67" t="n"/>
    </row>
    <row r="244" ht="22.35" customHeight="1" s="45">
      <c r="A244" s="65" t="inlineStr">
        <is>
          <t>QA-1</t>
        </is>
      </c>
      <c r="B244" s="66" t="inlineStr">
        <is>
          <t>Doc 19</t>
        </is>
      </c>
      <c r="C244" s="66" t="inlineStr">
        <is>
          <t>CANON</t>
        </is>
      </c>
      <c r="D244" s="66" t="inlineStr">
        <is>
          <t>V7 — Document &amp; design inspection</t>
        </is>
      </c>
      <c r="E244" s="66" t="n"/>
      <c r="F244" s="66" t="inlineStr">
        <is>
          <t>Specification text against implementation description; provenance sections; objective card lines</t>
        </is>
      </c>
      <c r="G244" s="66" t="inlineStr">
        <is>
          <t>B — sample ≥ 30%</t>
        </is>
      </c>
      <c r="H244" s="67" t="n"/>
      <c r="I244" s="67" t="n"/>
      <c r="J244" s="67" t="n"/>
      <c r="K244" s="64">
        <f>IFERROR(INDEX('Status Map'!$B$2:$B$12,MATCH(C244,'Status Map'!$A$2:$A$12,0)),"UNDEFINED")</f>
        <v/>
      </c>
      <c r="L244" s="64">
        <f>IFERROR(INDEX('Status Map'!$C$2:$C$12,MATCH(C244,'Status Map'!$A$2:$A$12,0)),"UNDEFINED")</f>
        <v/>
      </c>
      <c r="M244" s="68" t="inlineStr">
        <is>
          <t>HEADING ONLY</t>
        </is>
      </c>
      <c r="N244" s="68" t="n"/>
      <c r="O244" s="68" t="n"/>
      <c r="P244" s="64">
        <f>IF(O244&lt;&gt;"",O244,LEFT(D244,2))</f>
        <v/>
      </c>
      <c r="Q244" s="64">
        <f>IF(O244&lt;&gt;"","Standards §6",IF(M244="HEADING ONLY","Derived from heading — PROVISIONAL",IF(M244="TEXT NOT IN REGISTRY","No text to derive from — PROVISIONAL","Derived from registered statement")))</f>
        <v/>
      </c>
      <c r="R244" s="64">
        <f>IF(OR(LEFT(G244,1)="A",L244="COUNTS",ISNUMBER(SEARCH("V1",P244)),ISNUMBER(SEARCH("V2",P244)),ISNUMBER(SEARCH("V5",P244))),"A — 100%","B — sample ≥ 30%")</f>
        <v/>
      </c>
      <c r="S244" s="67" t="n"/>
      <c r="T244" s="67" t="n"/>
      <c r="U244" s="67" t="n"/>
      <c r="V244" s="67" t="n"/>
      <c r="W244" s="67" t="n"/>
      <c r="X244" s="67" t="n"/>
    </row>
    <row r="245" ht="22.35" customHeight="1" s="45">
      <c r="A245" s="65" t="inlineStr">
        <is>
          <t>QA-2</t>
        </is>
      </c>
      <c r="B245" s="66" t="inlineStr">
        <is>
          <t>Doc 19</t>
        </is>
      </c>
      <c r="C245" s="66" t="inlineStr">
        <is>
          <t>CANON</t>
        </is>
      </c>
      <c r="D245" s="66" t="inlineStr">
        <is>
          <t>V7 — Document &amp; design inspection</t>
        </is>
      </c>
      <c r="E245" s="66" t="n"/>
      <c r="F245" s="66" t="inlineStr">
        <is>
          <t>Specification text against implementation description; provenance sections; objective card lines</t>
        </is>
      </c>
      <c r="G245" s="66" t="inlineStr">
        <is>
          <t>B — sample ≥ 30%</t>
        </is>
      </c>
      <c r="H245" s="67" t="n"/>
      <c r="I245" s="67" t="n"/>
      <c r="J245" s="67" t="n"/>
      <c r="K245" s="64">
        <f>IFERROR(INDEX('Status Map'!$B$2:$B$12,MATCH(C245,'Status Map'!$A$2:$A$12,0)),"UNDEFINED")</f>
        <v/>
      </c>
      <c r="L245" s="64">
        <f>IFERROR(INDEX('Status Map'!$C$2:$C$12,MATCH(C245,'Status Map'!$A$2:$A$12,0)),"UNDEFINED")</f>
        <v/>
      </c>
      <c r="M245" s="68" t="inlineStr">
        <is>
          <t>HEADING ONLY</t>
        </is>
      </c>
      <c r="N245" s="68" t="n"/>
      <c r="O245" s="68" t="n"/>
      <c r="P245" s="64">
        <f>IF(O245&lt;&gt;"",O245,LEFT(D245,2))</f>
        <v/>
      </c>
      <c r="Q245" s="64">
        <f>IF(O245&lt;&gt;"","Standards §6",IF(M245="HEADING ONLY","Derived from heading — PROVISIONAL",IF(M245="TEXT NOT IN REGISTRY","No text to derive from — PROVISIONAL","Derived from registered statement")))</f>
        <v/>
      </c>
      <c r="R245" s="64">
        <f>IF(OR(LEFT(G245,1)="A",L245="COUNTS",ISNUMBER(SEARCH("V1",P245)),ISNUMBER(SEARCH("V2",P245)),ISNUMBER(SEARCH("V5",P245))),"A — 100%","B — sample ≥ 30%")</f>
        <v/>
      </c>
      <c r="S245" s="67" t="n"/>
      <c r="T245" s="67" t="n"/>
      <c r="U245" s="67" t="n"/>
      <c r="V245" s="67" t="n"/>
      <c r="W245" s="67" t="n"/>
      <c r="X245" s="67" t="n"/>
    </row>
    <row r="246" ht="22.35" customHeight="1" s="45">
      <c r="A246" s="65" t="inlineStr">
        <is>
          <t>QA-3</t>
        </is>
      </c>
      <c r="B246" s="66" t="inlineStr">
        <is>
          <t>Doc 19</t>
        </is>
      </c>
      <c r="C246" s="66" t="inlineStr">
        <is>
          <t>CANON</t>
        </is>
      </c>
      <c r="D246" s="66" t="inlineStr">
        <is>
          <t>V7 — Document &amp; design inspection</t>
        </is>
      </c>
      <c r="E246" s="66" t="n"/>
      <c r="F246" s="66" t="inlineStr">
        <is>
          <t>Specification text against implementation description; provenance sections; objective card lines</t>
        </is>
      </c>
      <c r="G246" s="66" t="inlineStr">
        <is>
          <t>B — sample ≥ 30%</t>
        </is>
      </c>
      <c r="H246" s="67" t="n"/>
      <c r="I246" s="67" t="n"/>
      <c r="J246" s="67" t="n"/>
      <c r="K246" s="64">
        <f>IFERROR(INDEX('Status Map'!$B$2:$B$12,MATCH(C246,'Status Map'!$A$2:$A$12,0)),"UNDEFINED")</f>
        <v/>
      </c>
      <c r="L246" s="64">
        <f>IFERROR(INDEX('Status Map'!$C$2:$C$12,MATCH(C246,'Status Map'!$A$2:$A$12,0)),"UNDEFINED")</f>
        <v/>
      </c>
      <c r="M246" s="68" t="inlineStr">
        <is>
          <t>HEADING ONLY</t>
        </is>
      </c>
      <c r="N246" s="68" t="n"/>
      <c r="O246" s="68" t="n"/>
      <c r="P246" s="64">
        <f>IF(O246&lt;&gt;"",O246,LEFT(D246,2))</f>
        <v/>
      </c>
      <c r="Q246" s="64">
        <f>IF(O246&lt;&gt;"","Standards §6",IF(M246="HEADING ONLY","Derived from heading — PROVISIONAL",IF(M246="TEXT NOT IN REGISTRY","No text to derive from — PROVISIONAL","Derived from registered statement")))</f>
        <v/>
      </c>
      <c r="R246" s="64">
        <f>IF(OR(LEFT(G246,1)="A",L246="COUNTS",ISNUMBER(SEARCH("V1",P246)),ISNUMBER(SEARCH("V2",P246)),ISNUMBER(SEARCH("V5",P246))),"A — 100%","B — sample ≥ 30%")</f>
        <v/>
      </c>
      <c r="S246" s="67" t="n"/>
      <c r="T246" s="67" t="n"/>
      <c r="U246" s="67" t="n"/>
      <c r="V246" s="67" t="n"/>
      <c r="W246" s="67" t="n"/>
      <c r="X246" s="67" t="n"/>
    </row>
    <row r="247" ht="22.35" customHeight="1" s="45">
      <c r="A247" s="65" t="inlineStr">
        <is>
          <t>QA-4</t>
        </is>
      </c>
      <c r="B247" s="66" t="inlineStr">
        <is>
          <t>Doc 19</t>
        </is>
      </c>
      <c r="C247" s="66" t="inlineStr">
        <is>
          <t>CANON</t>
        </is>
      </c>
      <c r="D247" s="66" t="inlineStr">
        <is>
          <t>V7 — Document &amp; design inspection</t>
        </is>
      </c>
      <c r="E247" s="66" t="n"/>
      <c r="F247" s="66" t="inlineStr">
        <is>
          <t>Specification text against implementation description; provenance sections; objective card lines</t>
        </is>
      </c>
      <c r="G247" s="66" t="inlineStr">
        <is>
          <t>B — sample ≥ 30%</t>
        </is>
      </c>
      <c r="H247" s="67" t="n"/>
      <c r="I247" s="67" t="n"/>
      <c r="J247" s="67" t="n"/>
      <c r="K247" s="64">
        <f>IFERROR(INDEX('Status Map'!$B$2:$B$12,MATCH(C247,'Status Map'!$A$2:$A$12,0)),"UNDEFINED")</f>
        <v/>
      </c>
      <c r="L247" s="64">
        <f>IFERROR(INDEX('Status Map'!$C$2:$C$12,MATCH(C247,'Status Map'!$A$2:$A$12,0)),"UNDEFINED")</f>
        <v/>
      </c>
      <c r="M247" s="68" t="inlineStr">
        <is>
          <t>HEADING ONLY</t>
        </is>
      </c>
      <c r="N247" s="68" t="n"/>
      <c r="O247" s="68" t="n"/>
      <c r="P247" s="64">
        <f>IF(O247&lt;&gt;"",O247,LEFT(D247,2))</f>
        <v/>
      </c>
      <c r="Q247" s="64">
        <f>IF(O247&lt;&gt;"","Standards §6",IF(M247="HEADING ONLY","Derived from heading — PROVISIONAL",IF(M247="TEXT NOT IN REGISTRY","No text to derive from — PROVISIONAL","Derived from registered statement")))</f>
        <v/>
      </c>
      <c r="R247" s="64">
        <f>IF(OR(LEFT(G247,1)="A",L247="COUNTS",ISNUMBER(SEARCH("V1",P247)),ISNUMBER(SEARCH("V2",P247)),ISNUMBER(SEARCH("V5",P247))),"A — 100%","B — sample ≥ 30%")</f>
        <v/>
      </c>
      <c r="S247" s="67" t="n"/>
      <c r="T247" s="67" t="n"/>
      <c r="U247" s="67" t="n"/>
      <c r="V247" s="67" t="n"/>
      <c r="W247" s="67" t="n"/>
      <c r="X247" s="67" t="n"/>
    </row>
    <row r="248" ht="22.35" customHeight="1" s="45">
      <c r="A248" s="65" t="inlineStr">
        <is>
          <t>QA-5</t>
        </is>
      </c>
      <c r="B248" s="66" t="inlineStr">
        <is>
          <t>Doc 19</t>
        </is>
      </c>
      <c r="C248" s="66" t="inlineStr">
        <is>
          <t>CANON</t>
        </is>
      </c>
      <c r="D248" s="66" t="inlineStr">
        <is>
          <t>V7 — Document &amp; design inspection</t>
        </is>
      </c>
      <c r="E248" s="66" t="n"/>
      <c r="F248" s="66" t="inlineStr">
        <is>
          <t>Specification text against implementation description; provenance sections; objective card lines</t>
        </is>
      </c>
      <c r="G248" s="66" t="inlineStr">
        <is>
          <t>B — sample ≥ 30%</t>
        </is>
      </c>
      <c r="H248" s="67" t="n"/>
      <c r="I248" s="67" t="n"/>
      <c r="J248" s="67" t="n"/>
      <c r="K248" s="64">
        <f>IFERROR(INDEX('Status Map'!$B$2:$B$12,MATCH(C248,'Status Map'!$A$2:$A$12,0)),"UNDEFINED")</f>
        <v/>
      </c>
      <c r="L248" s="64">
        <f>IFERROR(INDEX('Status Map'!$C$2:$C$12,MATCH(C248,'Status Map'!$A$2:$A$12,0)),"UNDEFINED")</f>
        <v/>
      </c>
      <c r="M248" s="68" t="inlineStr">
        <is>
          <t>HEADING ONLY</t>
        </is>
      </c>
      <c r="N248" s="68" t="n"/>
      <c r="O248" s="68" t="n"/>
      <c r="P248" s="64">
        <f>IF(O248&lt;&gt;"",O248,LEFT(D248,2))</f>
        <v/>
      </c>
      <c r="Q248" s="64">
        <f>IF(O248&lt;&gt;"","Standards §6",IF(M248="HEADING ONLY","Derived from heading — PROVISIONAL",IF(M248="TEXT NOT IN REGISTRY","No text to derive from — PROVISIONAL","Derived from registered statement")))</f>
        <v/>
      </c>
      <c r="R248" s="64">
        <f>IF(OR(LEFT(G248,1)="A",L248="COUNTS",ISNUMBER(SEARCH("V1",P248)),ISNUMBER(SEARCH("V2",P248)),ISNUMBER(SEARCH("V5",P248))),"A — 100%","B — sample ≥ 30%")</f>
        <v/>
      </c>
      <c r="S248" s="67" t="n"/>
      <c r="T248" s="67" t="n"/>
      <c r="U248" s="67" t="n"/>
      <c r="V248" s="67" t="n"/>
      <c r="W248" s="67" t="n"/>
      <c r="X248" s="67" t="n"/>
    </row>
    <row r="249" ht="22.35" customHeight="1" s="45">
      <c r="A249" s="65" t="inlineStr">
        <is>
          <t>QA-6</t>
        </is>
      </c>
      <c r="B249" s="66" t="inlineStr">
        <is>
          <t>Doc 19</t>
        </is>
      </c>
      <c r="C249" s="66" t="inlineStr">
        <is>
          <t>CANON</t>
        </is>
      </c>
      <c r="D249" s="66" t="inlineStr">
        <is>
          <t>V7 — Document &amp; design inspection</t>
        </is>
      </c>
      <c r="E249" s="66" t="n"/>
      <c r="F249" s="66" t="inlineStr">
        <is>
          <t>Specification text against implementation description; provenance sections; objective card lines</t>
        </is>
      </c>
      <c r="G249" s="66" t="inlineStr">
        <is>
          <t>B — sample ≥ 30%</t>
        </is>
      </c>
      <c r="H249" s="67" t="n"/>
      <c r="I249" s="67" t="n"/>
      <c r="J249" s="67" t="n"/>
      <c r="K249" s="64">
        <f>IFERROR(INDEX('Status Map'!$B$2:$B$12,MATCH(C249,'Status Map'!$A$2:$A$12,0)),"UNDEFINED")</f>
        <v/>
      </c>
      <c r="L249" s="64">
        <f>IFERROR(INDEX('Status Map'!$C$2:$C$12,MATCH(C249,'Status Map'!$A$2:$A$12,0)),"UNDEFINED")</f>
        <v/>
      </c>
      <c r="M249" s="68" t="inlineStr">
        <is>
          <t>HEADING ONLY</t>
        </is>
      </c>
      <c r="N249" s="68" t="n"/>
      <c r="O249" s="68" t="n"/>
      <c r="P249" s="64">
        <f>IF(O249&lt;&gt;"",O249,LEFT(D249,2))</f>
        <v/>
      </c>
      <c r="Q249" s="64">
        <f>IF(O249&lt;&gt;"","Standards §6",IF(M249="HEADING ONLY","Derived from heading — PROVISIONAL",IF(M249="TEXT NOT IN REGISTRY","No text to derive from — PROVISIONAL","Derived from registered statement")))</f>
        <v/>
      </c>
      <c r="R249" s="64">
        <f>IF(OR(LEFT(G249,1)="A",L249="COUNTS",ISNUMBER(SEARCH("V1",P249)),ISNUMBER(SEARCH("V2",P249)),ISNUMBER(SEARCH("V5",P249))),"A — 100%","B — sample ≥ 30%")</f>
        <v/>
      </c>
      <c r="S249" s="67" t="n"/>
      <c r="T249" s="67" t="n"/>
      <c r="U249" s="67" t="n"/>
      <c r="V249" s="67" t="n"/>
      <c r="W249" s="67" t="n"/>
      <c r="X249" s="67" t="n"/>
    </row>
    <row r="250" ht="22.35" customHeight="1" s="45">
      <c r="A250" s="65" t="inlineStr">
        <is>
          <t>EP-1</t>
        </is>
      </c>
      <c r="B250" s="66" t="inlineStr">
        <is>
          <t>Doc 19</t>
        </is>
      </c>
      <c r="C250" s="66" t="inlineStr">
        <is>
          <t>PROPOSED</t>
        </is>
      </c>
      <c r="D250" s="66" t="inlineStr">
        <is>
          <t>V7 — Document &amp; design inspection</t>
        </is>
      </c>
      <c r="E250" s="66" t="n"/>
      <c r="F250" s="66" t="inlineStr">
        <is>
          <t>Specification text against implementation description; provenance sections; objective card lines</t>
        </is>
      </c>
      <c r="G250" s="66" t="inlineStr">
        <is>
          <t>B — sample ≥ 30%</t>
        </is>
      </c>
      <c r="H250" s="67" t="n"/>
      <c r="I250" s="67" t="n"/>
      <c r="J250" s="67" t="n"/>
      <c r="K250" s="64">
        <f>IFERROR(INDEX('Status Map'!$B$2:$B$12,MATCH(C250,'Status Map'!$A$2:$A$12,0)),"UNDEFINED")</f>
        <v/>
      </c>
      <c r="L250" s="64">
        <f>IFERROR(INDEX('Status Map'!$C$2:$C$12,MATCH(C250,'Status Map'!$A$2:$A$12,0)),"UNDEFINED")</f>
        <v/>
      </c>
      <c r="M250" s="68" t="inlineStr">
        <is>
          <t>HEADING ONLY</t>
        </is>
      </c>
      <c r="N250" s="68" t="n"/>
      <c r="O250" s="68" t="n"/>
      <c r="P250" s="64">
        <f>IF(O250&lt;&gt;"",O250,LEFT(D250,2))</f>
        <v/>
      </c>
      <c r="Q250" s="64">
        <f>IF(O250&lt;&gt;"","Standards §6",IF(M250="HEADING ONLY","Derived from heading — PROVISIONAL",IF(M250="TEXT NOT IN REGISTRY","No text to derive from — PROVISIONAL","Derived from registered statement")))</f>
        <v/>
      </c>
      <c r="R250" s="64">
        <f>IF(OR(LEFT(G250,1)="A",L250="COUNTS",ISNUMBER(SEARCH("V1",P250)),ISNUMBER(SEARCH("V2",P250)),ISNUMBER(SEARCH("V5",P250))),"A — 100%","B — sample ≥ 30%")</f>
        <v/>
      </c>
      <c r="S250" s="67" t="n"/>
      <c r="T250" s="67" t="n"/>
      <c r="U250" s="67" t="n"/>
      <c r="V250" s="67" t="n"/>
      <c r="W250" s="67" t="n"/>
      <c r="X250" s="67" t="n"/>
    </row>
    <row r="251" ht="22.35" customHeight="1" s="45">
      <c r="A251" s="65" t="inlineStr">
        <is>
          <t>EP-2</t>
        </is>
      </c>
      <c r="B251" s="66" t="inlineStr">
        <is>
          <t>Doc 19</t>
        </is>
      </c>
      <c r="C251" s="66" t="inlineStr">
        <is>
          <t>PROPOSED</t>
        </is>
      </c>
      <c r="D251" s="66" t="inlineStr">
        <is>
          <t>V7 — Document &amp; design inspection</t>
        </is>
      </c>
      <c r="E251" s="66" t="n"/>
      <c r="F251" s="66" t="inlineStr">
        <is>
          <t>Specification text against implementation description; provenance sections; objective card lines</t>
        </is>
      </c>
      <c r="G251" s="66" t="inlineStr">
        <is>
          <t>B — sample ≥ 30%</t>
        </is>
      </c>
      <c r="H251" s="67" t="n"/>
      <c r="I251" s="67" t="n"/>
      <c r="J251" s="67" t="n"/>
      <c r="K251" s="64">
        <f>IFERROR(INDEX('Status Map'!$B$2:$B$12,MATCH(C251,'Status Map'!$A$2:$A$12,0)),"UNDEFINED")</f>
        <v/>
      </c>
      <c r="L251" s="64">
        <f>IFERROR(INDEX('Status Map'!$C$2:$C$12,MATCH(C251,'Status Map'!$A$2:$A$12,0)),"UNDEFINED")</f>
        <v/>
      </c>
      <c r="M251" s="68" t="inlineStr">
        <is>
          <t>HEADING ONLY</t>
        </is>
      </c>
      <c r="N251" s="68" t="n"/>
      <c r="O251" s="68" t="n"/>
      <c r="P251" s="64">
        <f>IF(O251&lt;&gt;"",O251,LEFT(D251,2))</f>
        <v/>
      </c>
      <c r="Q251" s="64">
        <f>IF(O251&lt;&gt;"","Standards §6",IF(M251="HEADING ONLY","Derived from heading — PROVISIONAL",IF(M251="TEXT NOT IN REGISTRY","No text to derive from — PROVISIONAL","Derived from registered statement")))</f>
        <v/>
      </c>
      <c r="R251" s="64">
        <f>IF(OR(LEFT(G251,1)="A",L251="COUNTS",ISNUMBER(SEARCH("V1",P251)),ISNUMBER(SEARCH("V2",P251)),ISNUMBER(SEARCH("V5",P251))),"A — 100%","B — sample ≥ 30%")</f>
        <v/>
      </c>
      <c r="S251" s="67" t="n"/>
      <c r="T251" s="67" t="n"/>
      <c r="U251" s="67" t="n"/>
      <c r="V251" s="67" t="n"/>
      <c r="W251" s="67" t="n"/>
      <c r="X251" s="67" t="n"/>
    </row>
    <row r="252" ht="22.35" customHeight="1" s="45">
      <c r="A252" s="65" t="inlineStr">
        <is>
          <t>EP-3</t>
        </is>
      </c>
      <c r="B252" s="66" t="inlineStr">
        <is>
          <t>Doc 19</t>
        </is>
      </c>
      <c r="C252" s="66" t="inlineStr">
        <is>
          <t>PROPOSED</t>
        </is>
      </c>
      <c r="D252" s="66" t="inlineStr">
        <is>
          <t>V7 — Document &amp; design inspection</t>
        </is>
      </c>
      <c r="E252" s="66" t="n"/>
      <c r="F252" s="66" t="inlineStr">
        <is>
          <t>Specification text against implementation description; provenance sections; objective card lines</t>
        </is>
      </c>
      <c r="G252" s="66" t="inlineStr">
        <is>
          <t>B — sample ≥ 30%</t>
        </is>
      </c>
      <c r="H252" s="67" t="n"/>
      <c r="I252" s="67" t="n"/>
      <c r="J252" s="67" t="n"/>
      <c r="K252" s="64">
        <f>IFERROR(INDEX('Status Map'!$B$2:$B$12,MATCH(C252,'Status Map'!$A$2:$A$12,0)),"UNDEFINED")</f>
        <v/>
      </c>
      <c r="L252" s="64">
        <f>IFERROR(INDEX('Status Map'!$C$2:$C$12,MATCH(C252,'Status Map'!$A$2:$A$12,0)),"UNDEFINED")</f>
        <v/>
      </c>
      <c r="M252" s="68" t="inlineStr">
        <is>
          <t>HEADING ONLY</t>
        </is>
      </c>
      <c r="N252" s="68" t="n"/>
      <c r="O252" s="68" t="n"/>
      <c r="P252" s="64">
        <f>IF(O252&lt;&gt;"",O252,LEFT(D252,2))</f>
        <v/>
      </c>
      <c r="Q252" s="64">
        <f>IF(O252&lt;&gt;"","Standards §6",IF(M252="HEADING ONLY","Derived from heading — PROVISIONAL",IF(M252="TEXT NOT IN REGISTRY","No text to derive from — PROVISIONAL","Derived from registered statement")))</f>
        <v/>
      </c>
      <c r="R252" s="64">
        <f>IF(OR(LEFT(G252,1)="A",L252="COUNTS",ISNUMBER(SEARCH("V1",P252)),ISNUMBER(SEARCH("V2",P252)),ISNUMBER(SEARCH("V5",P252))),"A — 100%","B — sample ≥ 30%")</f>
        <v/>
      </c>
      <c r="S252" s="67" t="n"/>
      <c r="T252" s="67" t="n"/>
      <c r="U252" s="67" t="n"/>
      <c r="V252" s="67" t="n"/>
      <c r="W252" s="67" t="n"/>
      <c r="X252" s="67" t="n"/>
    </row>
    <row r="253" ht="22.35" customHeight="1" s="45">
      <c r="A253" s="65" t="inlineStr">
        <is>
          <t>EP-4</t>
        </is>
      </c>
      <c r="B253" s="66" t="inlineStr">
        <is>
          <t>Doc 19</t>
        </is>
      </c>
      <c r="C253" s="66" t="inlineStr">
        <is>
          <t>OPEN</t>
        </is>
      </c>
      <c r="D253" s="66" t="inlineStr">
        <is>
          <t>V7 — Document &amp; design inspection</t>
        </is>
      </c>
      <c r="E253" s="66" t="n"/>
      <c r="F253" s="66" t="inlineStr">
        <is>
          <t>Specification text against implementation description; provenance sections; objective card lines</t>
        </is>
      </c>
      <c r="G253" s="66" t="inlineStr">
        <is>
          <t>B — sample ≥ 30%</t>
        </is>
      </c>
      <c r="H253" s="67" t="n"/>
      <c r="I253" s="67" t="n"/>
      <c r="J253" s="67" t="n"/>
      <c r="K253" s="64">
        <f>IFERROR(INDEX('Status Map'!$B$2:$B$12,MATCH(C253,'Status Map'!$A$2:$A$12,0)),"UNDEFINED")</f>
        <v/>
      </c>
      <c r="L253" s="64">
        <f>IFERROR(INDEX('Status Map'!$C$2:$C$12,MATCH(C253,'Status Map'!$A$2:$A$12,0)),"UNDEFINED")</f>
        <v/>
      </c>
      <c r="M253" s="68" t="inlineStr">
        <is>
          <t>HEADING ONLY</t>
        </is>
      </c>
      <c r="N253" s="68" t="n"/>
      <c r="O253" s="68" t="n"/>
      <c r="P253" s="64">
        <f>IF(O253&lt;&gt;"",O253,LEFT(D253,2))</f>
        <v/>
      </c>
      <c r="Q253" s="64">
        <f>IF(O253&lt;&gt;"","Standards §6",IF(M253="HEADING ONLY","Derived from heading — PROVISIONAL",IF(M253="TEXT NOT IN REGISTRY","No text to derive from — PROVISIONAL","Derived from registered statement")))</f>
        <v/>
      </c>
      <c r="R253" s="64">
        <f>IF(OR(LEFT(G253,1)="A",L253="COUNTS",ISNUMBER(SEARCH("V1",P253)),ISNUMBER(SEARCH("V2",P253)),ISNUMBER(SEARCH("V5",P253))),"A — 100%","B — sample ≥ 30%")</f>
        <v/>
      </c>
      <c r="S253" s="67" t="n"/>
      <c r="T253" s="67" t="n"/>
      <c r="U253" s="67" t="n"/>
      <c r="V253" s="67" t="n"/>
      <c r="W253" s="67" t="n"/>
      <c r="X253" s="67" t="n"/>
    </row>
    <row r="254" ht="22.35" customHeight="1" s="45">
      <c r="A254" s="65" t="inlineStr">
        <is>
          <t>EP-5</t>
        </is>
      </c>
      <c r="B254" s="66" t="inlineStr">
        <is>
          <t>Doc 19</t>
        </is>
      </c>
      <c r="C254" s="66" t="inlineStr">
        <is>
          <t>PROPOSED</t>
        </is>
      </c>
      <c r="D254" s="66" t="inlineStr">
        <is>
          <t>V7 — Document &amp; design inspection</t>
        </is>
      </c>
      <c r="E254" s="66" t="n"/>
      <c r="F254" s="66" t="inlineStr">
        <is>
          <t>Specification text against implementation description; provenance sections; objective card lines</t>
        </is>
      </c>
      <c r="G254" s="66" t="inlineStr">
        <is>
          <t>B — sample ≥ 30%</t>
        </is>
      </c>
      <c r="H254" s="67" t="n"/>
      <c r="I254" s="67" t="n"/>
      <c r="J254" s="67" t="n"/>
      <c r="K254" s="64">
        <f>IFERROR(INDEX('Status Map'!$B$2:$B$12,MATCH(C254,'Status Map'!$A$2:$A$12,0)),"UNDEFINED")</f>
        <v/>
      </c>
      <c r="L254" s="64">
        <f>IFERROR(INDEX('Status Map'!$C$2:$C$12,MATCH(C254,'Status Map'!$A$2:$A$12,0)),"UNDEFINED")</f>
        <v/>
      </c>
      <c r="M254" s="68" t="inlineStr">
        <is>
          <t>HEADING ONLY</t>
        </is>
      </c>
      <c r="N254" s="68" t="n"/>
      <c r="O254" s="68" t="n"/>
      <c r="P254" s="64">
        <f>IF(O254&lt;&gt;"",O254,LEFT(D254,2))</f>
        <v/>
      </c>
      <c r="Q254" s="64">
        <f>IF(O254&lt;&gt;"","Standards §6",IF(M254="HEADING ONLY","Derived from heading — PROVISIONAL",IF(M254="TEXT NOT IN REGISTRY","No text to derive from — PROVISIONAL","Derived from registered statement")))</f>
        <v/>
      </c>
      <c r="R254" s="64">
        <f>IF(OR(LEFT(G254,1)="A",L254="COUNTS",ISNUMBER(SEARCH("V1",P254)),ISNUMBER(SEARCH("V2",P254)),ISNUMBER(SEARCH("V5",P254))),"A — 100%","B — sample ≥ 30%")</f>
        <v/>
      </c>
      <c r="S254" s="67" t="n"/>
      <c r="T254" s="67" t="n"/>
      <c r="U254" s="67" t="n"/>
      <c r="V254" s="67" t="n"/>
      <c r="W254" s="67" t="n"/>
      <c r="X254" s="67" t="n"/>
    </row>
    <row r="255" ht="32.8" customHeight="1" s="45">
      <c r="A255" s="65" t="inlineStr">
        <is>
          <t>DR-R1</t>
        </is>
      </c>
      <c r="B255" s="66" t="inlineStr">
        <is>
          <t>Deck Engine spec</t>
        </is>
      </c>
      <c r="C255" s="66" t="inlineStr">
        <is>
          <t>OWNER-DIRECTED → CANON (R3/R5/R7/R9 strikeable)</t>
        </is>
      </c>
      <c r="D255" s="66" t="inlineStr">
        <is>
          <t>V6 — Surface inspection</t>
        </is>
      </c>
      <c r="E255" s="66" t="n"/>
      <c r="F255" s="66" t="inlineStr">
        <is>
          <t>DOM-bound substitution rule or harness receipt; fixed string verbatim; honest-gap variant rendered on null</t>
        </is>
      </c>
      <c r="G255" s="66" t="inlineStr">
        <is>
          <t>B — sample ≥ 30%</t>
        </is>
      </c>
      <c r="H255" s="67" t="n"/>
      <c r="I255" s="67" t="n"/>
      <c r="J255" s="67" t="n"/>
      <c r="K255" s="64">
        <f>IFERROR(INDEX('Status Map'!$B$2:$B$12,MATCH(C255,'Status Map'!$A$2:$A$12,0)),"UNDEFINED")</f>
        <v/>
      </c>
      <c r="L255" s="64" t="inlineStr">
        <is>
          <t>COUNTS</t>
        </is>
      </c>
      <c r="M255" s="68" t="inlineStr">
        <is>
          <t>FIRST SENTENCE</t>
        </is>
      </c>
      <c r="N255" s="68" t="n"/>
      <c r="O255" s="68" t="n"/>
      <c r="P255" s="64">
        <f>IF(O255&lt;&gt;"",O255,LEFT(D255,2))</f>
        <v/>
      </c>
      <c r="Q255" s="64">
        <f>IF(O255&lt;&gt;"","Standards §6",IF(M255="HEADING ONLY","Derived from heading — PROVISIONAL",IF(M255="TEXT NOT IN REGISTRY","No text to derive from — PROVISIONAL","Derived from registered statement")))</f>
        <v/>
      </c>
      <c r="R255" s="64">
        <f>IF(OR(LEFT(G255,1)="A",L255="COUNTS",ISNUMBER(SEARCH("V1",P255)),ISNUMBER(SEARCH("V2",P255)),ISNUMBER(SEARCH("V5",P255))),"A — 100%","B — sample ≥ 30%")</f>
        <v/>
      </c>
      <c r="S255" s="67" t="n"/>
      <c r="T255" s="67" t="n"/>
      <c r="U255" s="67" t="n"/>
      <c r="V255" s="67" t="n"/>
      <c r="W255" s="67" t="n"/>
      <c r="X255" s="67" t="n"/>
    </row>
    <row r="256" ht="32.8" customHeight="1" s="45">
      <c r="A256" s="65" t="inlineStr">
        <is>
          <t>DR-R10</t>
        </is>
      </c>
      <c r="B256" s="66" t="inlineStr">
        <is>
          <t>Deck Engine spec</t>
        </is>
      </c>
      <c r="C256" s="66" t="inlineStr">
        <is>
          <t>OPEN</t>
        </is>
      </c>
      <c r="D256" s="66" t="inlineStr">
        <is>
          <t>V7 — Document &amp; design inspection</t>
        </is>
      </c>
      <c r="E256" s="66" t="n"/>
      <c r="F256" s="66" t="inlineStr">
        <is>
          <t>Specification text against implementation description; provenance sections; objective card lines</t>
        </is>
      </c>
      <c r="G256" s="66" t="inlineStr">
        <is>
          <t>B — sample ≥ 30%</t>
        </is>
      </c>
      <c r="H256" s="67" t="n"/>
      <c r="I256" s="67" t="n"/>
      <c r="J256" s="67" t="n"/>
      <c r="K256" s="64">
        <f>IFERROR(INDEX('Status Map'!$B$2:$B$12,MATCH(C256,'Status Map'!$A$2:$A$12,0)),"UNDEFINED")</f>
        <v/>
      </c>
      <c r="L256" s="64">
        <f>IFERROR(INDEX('Status Map'!$C$2:$C$12,MATCH(C256,'Status Map'!$A$2:$A$12,0)),"UNDEFINED")</f>
        <v/>
      </c>
      <c r="M256" s="68" t="inlineStr">
        <is>
          <t>FIRST SENTENCE</t>
        </is>
      </c>
      <c r="N256" s="68" t="n"/>
      <c r="O256" s="68" t="n"/>
      <c r="P256" s="64">
        <f>IF(O256&lt;&gt;"",O256,LEFT(D256,2))</f>
        <v/>
      </c>
      <c r="Q256" s="64">
        <f>IF(O256&lt;&gt;"","Standards §6",IF(M256="HEADING ONLY","Derived from heading — PROVISIONAL",IF(M256="TEXT NOT IN REGISTRY","No text to derive from — PROVISIONAL","Derived from registered statement")))</f>
        <v/>
      </c>
      <c r="R256" s="64">
        <f>IF(OR(LEFT(G256,1)="A",L256="COUNTS",ISNUMBER(SEARCH("V1",P256)),ISNUMBER(SEARCH("V2",P256)),ISNUMBER(SEARCH("V5",P256))),"A — 100%","B — sample ≥ 30%")</f>
        <v/>
      </c>
      <c r="S256" s="67" t="n"/>
      <c r="T256" s="67" t="n"/>
      <c r="U256" s="67" t="n"/>
      <c r="V256" s="67" t="n"/>
      <c r="W256" s="67" t="n"/>
      <c r="X256" s="67" t="n"/>
    </row>
    <row r="257" ht="32.8" customHeight="1" s="45">
      <c r="A257" s="65" t="inlineStr">
        <is>
          <t>DR-R11</t>
        </is>
      </c>
      <c r="B257" s="66" t="inlineStr">
        <is>
          <t>Deck Engine spec</t>
        </is>
      </c>
      <c r="C257" s="66" t="inlineStr">
        <is>
          <t>OWNER-DIRECTED → CANON (R3/R5/R7/R9 strikeable)</t>
        </is>
      </c>
      <c r="D257" s="66" t="inlineStr">
        <is>
          <t>V1 — Test evidence</t>
        </is>
      </c>
      <c r="E257" s="66" t="n"/>
      <c r="F257" s="66" t="inlineStr">
        <is>
          <t>Golden-input, byte-identical output; RED-first test ID; ratchet manifest entry</t>
        </is>
      </c>
      <c r="G257" s="66" t="inlineStr">
        <is>
          <t>A — 100%</t>
        </is>
      </c>
      <c r="H257" s="67" t="n"/>
      <c r="I257" s="67" t="n"/>
      <c r="J257" s="67" t="n"/>
      <c r="K257" s="64">
        <f>IFERROR(INDEX('Status Map'!$B$2:$B$12,MATCH(C257,'Status Map'!$A$2:$A$12,0)),"UNDEFINED")</f>
        <v/>
      </c>
      <c r="L257" s="64" t="inlineStr">
        <is>
          <t>COUNTS</t>
        </is>
      </c>
      <c r="M257" s="68" t="inlineStr">
        <is>
          <t>FIRST SENTENCE</t>
        </is>
      </c>
      <c r="N257" s="68" t="n"/>
      <c r="O257" s="68" t="n"/>
      <c r="P257" s="64">
        <f>IF(O257&lt;&gt;"",O257,LEFT(D257,2))</f>
        <v/>
      </c>
      <c r="Q257" s="64">
        <f>IF(O257&lt;&gt;"","Standards §6",IF(M257="HEADING ONLY","Derived from heading — PROVISIONAL",IF(M257="TEXT NOT IN REGISTRY","No text to derive from — PROVISIONAL","Derived from registered statement")))</f>
        <v/>
      </c>
      <c r="R257" s="64">
        <f>IF(OR(LEFT(G257,1)="A",L257="COUNTS",ISNUMBER(SEARCH("V1",P257)),ISNUMBER(SEARCH("V2",P257)),ISNUMBER(SEARCH("V5",P257))),"A — 100%","B — sample ≥ 30%")</f>
        <v/>
      </c>
      <c r="S257" s="67" t="n"/>
      <c r="T257" s="67" t="n"/>
      <c r="U257" s="67" t="n"/>
      <c r="V257" s="67" t="n"/>
      <c r="W257" s="67" t="n"/>
      <c r="X257" s="67" t="n"/>
    </row>
    <row r="258" ht="32.8" customHeight="1" s="45">
      <c r="A258" s="65" t="inlineStr">
        <is>
          <t>DR-R12</t>
        </is>
      </c>
      <c r="B258" s="66" t="inlineStr">
        <is>
          <t>Deck Engine spec</t>
        </is>
      </c>
      <c r="C258" s="66" t="inlineStr">
        <is>
          <t>OWNER-DIRECTED → CANON (R3/R5/R7/R9 strikeable)</t>
        </is>
      </c>
      <c r="D258" s="66" t="inlineStr">
        <is>
          <t>V3 — Record evidence</t>
        </is>
      </c>
      <c r="E258" s="66" t="inlineStr">
        <is>
          <t>V6</t>
        </is>
      </c>
      <c r="F258" s="66" t="inlineStr">
        <is>
          <t>Ledger rows inspected; hash-chain verifier receipt; refused operations present on identical terms</t>
        </is>
      </c>
      <c r="G258" s="66" t="inlineStr">
        <is>
          <t>B — sample ≥ 30%</t>
        </is>
      </c>
      <c r="H258" s="67" t="n"/>
      <c r="I258" s="67" t="n"/>
      <c r="J258" s="67" t="n"/>
      <c r="K258" s="64">
        <f>IFERROR(INDEX('Status Map'!$B$2:$B$12,MATCH(C258,'Status Map'!$A$2:$A$12,0)),"UNDEFINED")</f>
        <v/>
      </c>
      <c r="L258" s="64" t="inlineStr">
        <is>
          <t>COUNTS</t>
        </is>
      </c>
      <c r="M258" s="68" t="inlineStr">
        <is>
          <t>FIRST SENTENCE</t>
        </is>
      </c>
      <c r="N258" s="68" t="n"/>
      <c r="O258" s="68" t="n"/>
      <c r="P258" s="64">
        <f>IF(O258&lt;&gt;"",O258,LEFT(D258,2))</f>
        <v/>
      </c>
      <c r="Q258" s="64">
        <f>IF(O258&lt;&gt;"","Standards §6",IF(M258="HEADING ONLY","Derived from heading — PROVISIONAL",IF(M258="TEXT NOT IN REGISTRY","No text to derive from — PROVISIONAL","Derived from registered statement")))</f>
        <v/>
      </c>
      <c r="R258" s="64">
        <f>IF(OR(LEFT(G258,1)="A",L258="COUNTS",ISNUMBER(SEARCH("V1",P258)),ISNUMBER(SEARCH("V2",P258)),ISNUMBER(SEARCH("V5",P258))),"A — 100%","B — sample ≥ 30%")</f>
        <v/>
      </c>
      <c r="S258" s="67" t="n"/>
      <c r="T258" s="67" t="n"/>
      <c r="U258" s="67" t="n"/>
      <c r="V258" s="67" t="n"/>
      <c r="W258" s="67" t="n"/>
      <c r="X258" s="67" t="n"/>
    </row>
    <row r="259" ht="32.8" customHeight="1" s="45">
      <c r="A259" s="65" t="inlineStr">
        <is>
          <t>DR-R13</t>
        </is>
      </c>
      <c r="B259" s="66" t="inlineStr">
        <is>
          <t>Deck Engine spec</t>
        </is>
      </c>
      <c r="C259" s="66" t="inlineStr">
        <is>
          <t>OPEN</t>
        </is>
      </c>
      <c r="D259" s="66" t="inlineStr">
        <is>
          <t>V7 — Document &amp; design inspection</t>
        </is>
      </c>
      <c r="E259" s="66" t="n"/>
      <c r="F259" s="66" t="inlineStr">
        <is>
          <t>Specification text against implementation description; provenance sections; objective card lines</t>
        </is>
      </c>
      <c r="G259" s="66" t="inlineStr">
        <is>
          <t>B — sample ≥ 30%</t>
        </is>
      </c>
      <c r="H259" s="67" t="n"/>
      <c r="I259" s="67" t="n"/>
      <c r="J259" s="67" t="n"/>
      <c r="K259" s="64">
        <f>IFERROR(INDEX('Status Map'!$B$2:$B$12,MATCH(C259,'Status Map'!$A$2:$A$12,0)),"UNDEFINED")</f>
        <v/>
      </c>
      <c r="L259" s="64">
        <f>IFERROR(INDEX('Status Map'!$C$2:$C$12,MATCH(C259,'Status Map'!$A$2:$A$12,0)),"UNDEFINED")</f>
        <v/>
      </c>
      <c r="M259" s="68" t="inlineStr">
        <is>
          <t>FIRST SENTENCE</t>
        </is>
      </c>
      <c r="N259" s="68" t="n"/>
      <c r="O259" s="68" t="n"/>
      <c r="P259" s="64">
        <f>IF(O259&lt;&gt;"",O259,LEFT(D259,2))</f>
        <v/>
      </c>
      <c r="Q259" s="64">
        <f>IF(O259&lt;&gt;"","Standards §6",IF(M259="HEADING ONLY","Derived from heading — PROVISIONAL",IF(M259="TEXT NOT IN REGISTRY","No text to derive from — PROVISIONAL","Derived from registered statement")))</f>
        <v/>
      </c>
      <c r="R259" s="64">
        <f>IF(OR(LEFT(G259,1)="A",L259="COUNTS",ISNUMBER(SEARCH("V1",P259)),ISNUMBER(SEARCH("V2",P259)),ISNUMBER(SEARCH("V5",P259))),"A — 100%","B — sample ≥ 30%")</f>
        <v/>
      </c>
      <c r="S259" s="67" t="n"/>
      <c r="T259" s="67" t="n"/>
      <c r="U259" s="67" t="n"/>
      <c r="V259" s="67" t="n"/>
      <c r="W259" s="67" t="n"/>
      <c r="X259" s="67" t="n"/>
    </row>
    <row r="260" ht="32.8" customHeight="1" s="45">
      <c r="A260" s="65" t="inlineStr">
        <is>
          <t>DR-R14</t>
        </is>
      </c>
      <c r="B260" s="66" t="inlineStr">
        <is>
          <t>Deck Engine spec</t>
        </is>
      </c>
      <c r="C260" s="66" t="inlineStr">
        <is>
          <t>OWNER-DIRECTED → CANON (R3/R5/R7/R9 strikeable)</t>
        </is>
      </c>
      <c r="D260" s="66" t="inlineStr">
        <is>
          <t>V7 — Document &amp; design inspection</t>
        </is>
      </c>
      <c r="E260" s="66" t="n"/>
      <c r="F260" s="66" t="inlineStr">
        <is>
          <t>Specification text against implementation description; provenance sections; objective card lines</t>
        </is>
      </c>
      <c r="G260" s="66" t="inlineStr">
        <is>
          <t>B — sample ≥ 30%</t>
        </is>
      </c>
      <c r="H260" s="67" t="n"/>
      <c r="I260" s="67" t="n"/>
      <c r="J260" s="67" t="n"/>
      <c r="K260" s="64">
        <f>IFERROR(INDEX('Status Map'!$B$2:$B$12,MATCH(C260,'Status Map'!$A$2:$A$12,0)),"UNDEFINED")</f>
        <v/>
      </c>
      <c r="L260" s="64" t="inlineStr">
        <is>
          <t>COUNTS</t>
        </is>
      </c>
      <c r="M260" s="68" t="inlineStr">
        <is>
          <t>FIRST SENTENCE</t>
        </is>
      </c>
      <c r="N260" s="68" t="n"/>
      <c r="O260" s="68" t="n"/>
      <c r="P260" s="64">
        <f>IF(O260&lt;&gt;"",O260,LEFT(D260,2))</f>
        <v/>
      </c>
      <c r="Q260" s="64">
        <f>IF(O260&lt;&gt;"","Standards §6",IF(M260="HEADING ONLY","Derived from heading — PROVISIONAL",IF(M260="TEXT NOT IN REGISTRY","No text to derive from — PROVISIONAL","Derived from registered statement")))</f>
        <v/>
      </c>
      <c r="R260" s="64">
        <f>IF(OR(LEFT(G260,1)="A",L260="COUNTS",ISNUMBER(SEARCH("V1",P260)),ISNUMBER(SEARCH("V2",P260)),ISNUMBER(SEARCH("V5",P260))),"A — 100%","B — sample ≥ 30%")</f>
        <v/>
      </c>
      <c r="S260" s="67" t="n"/>
      <c r="T260" s="67" t="n"/>
      <c r="U260" s="67" t="n"/>
      <c r="V260" s="67" t="n"/>
      <c r="W260" s="67" t="n"/>
      <c r="X260" s="67" t="n"/>
    </row>
    <row r="261" ht="32.8" customHeight="1" s="45">
      <c r="A261" s="65" t="inlineStr">
        <is>
          <t>DR-R2</t>
        </is>
      </c>
      <c r="B261" s="66" t="inlineStr">
        <is>
          <t>Deck Engine spec</t>
        </is>
      </c>
      <c r="C261" s="66" t="inlineStr">
        <is>
          <t>OWNER-DIRECTED → CANON (R3/R5/R7/R9 strikeable)</t>
        </is>
      </c>
      <c r="D261" s="66" t="inlineStr">
        <is>
          <t>V1 — Test evidence</t>
        </is>
      </c>
      <c r="E261" s="66" t="n"/>
      <c r="F261" s="66" t="inlineStr">
        <is>
          <t>Golden-input, byte-identical output; RED-first test ID; ratchet manifest entry</t>
        </is>
      </c>
      <c r="G261" s="66" t="inlineStr">
        <is>
          <t>A — 100%</t>
        </is>
      </c>
      <c r="H261" s="67" t="n"/>
      <c r="I261" s="67" t="n"/>
      <c r="J261" s="67" t="n"/>
      <c r="K261" s="64">
        <f>IFERROR(INDEX('Status Map'!$B$2:$B$12,MATCH(C261,'Status Map'!$A$2:$A$12,0)),"UNDEFINED")</f>
        <v/>
      </c>
      <c r="L261" s="64" t="inlineStr">
        <is>
          <t>COUNTS</t>
        </is>
      </c>
      <c r="M261" s="68" t="inlineStr">
        <is>
          <t>FIRST SENTENCE</t>
        </is>
      </c>
      <c r="N261" s="68" t="n"/>
      <c r="O261" s="68" t="n"/>
      <c r="P261" s="64">
        <f>IF(O261&lt;&gt;"",O261,LEFT(D261,2))</f>
        <v/>
      </c>
      <c r="Q261" s="64">
        <f>IF(O261&lt;&gt;"","Standards §6",IF(M261="HEADING ONLY","Derived from heading — PROVISIONAL",IF(M261="TEXT NOT IN REGISTRY","No text to derive from — PROVISIONAL","Derived from registered statement")))</f>
        <v/>
      </c>
      <c r="R261" s="64">
        <f>IF(OR(LEFT(G261,1)="A",L261="COUNTS",ISNUMBER(SEARCH("V1",P261)),ISNUMBER(SEARCH("V2",P261)),ISNUMBER(SEARCH("V5",P261))),"A — 100%","B — sample ≥ 30%")</f>
        <v/>
      </c>
      <c r="S261" s="67" t="n"/>
      <c r="T261" s="67" t="n"/>
      <c r="U261" s="67" t="n"/>
      <c r="V261" s="67" t="n"/>
      <c r="W261" s="67" t="n"/>
      <c r="X261" s="67" t="n"/>
    </row>
    <row r="262" ht="32.8" customHeight="1" s="45">
      <c r="A262" s="65" t="inlineStr">
        <is>
          <t>DR-R3</t>
        </is>
      </c>
      <c r="B262" s="66" t="inlineStr">
        <is>
          <t>Deck Engine spec</t>
        </is>
      </c>
      <c r="C262" s="66" t="inlineStr">
        <is>
          <t>OWNER-DIRECTED → CANON (R3/R5/R7/R9 strikeable)</t>
        </is>
      </c>
      <c r="D262" s="66" t="inlineStr">
        <is>
          <t>V6 — Surface inspection</t>
        </is>
      </c>
      <c r="E262" s="66" t="n"/>
      <c r="F262" s="66" t="inlineStr">
        <is>
          <t>DOM-bound substitution rule or harness receipt; fixed string verbatim; honest-gap variant rendered on null</t>
        </is>
      </c>
      <c r="G262" s="66" t="inlineStr">
        <is>
          <t>B — sample ≥ 30%</t>
        </is>
      </c>
      <c r="H262" s="67" t="n"/>
      <c r="I262" s="67" t="n"/>
      <c r="J262" s="67" t="n"/>
      <c r="K262" s="64">
        <f>IFERROR(INDEX('Status Map'!$B$2:$B$12,MATCH(C262,'Status Map'!$A$2:$A$12,0)),"UNDEFINED")</f>
        <v/>
      </c>
      <c r="L262" s="64" t="inlineStr">
        <is>
          <t>COUNTS</t>
        </is>
      </c>
      <c r="M262" s="68" t="inlineStr">
        <is>
          <t>FIRST SENTENCE</t>
        </is>
      </c>
      <c r="N262" s="68" t="n"/>
      <c r="O262" s="68" t="n"/>
      <c r="P262" s="64">
        <f>IF(O262&lt;&gt;"",O262,LEFT(D262,2))</f>
        <v/>
      </c>
      <c r="Q262" s="64">
        <f>IF(O262&lt;&gt;"","Standards §6",IF(M262="HEADING ONLY","Derived from heading — PROVISIONAL",IF(M262="TEXT NOT IN REGISTRY","No text to derive from — PROVISIONAL","Derived from registered statement")))</f>
        <v/>
      </c>
      <c r="R262" s="64">
        <f>IF(OR(LEFT(G262,1)="A",L262="COUNTS",ISNUMBER(SEARCH("V1",P262)),ISNUMBER(SEARCH("V2",P262)),ISNUMBER(SEARCH("V5",P262))),"A — 100%","B — sample ≥ 30%")</f>
        <v/>
      </c>
      <c r="S262" s="67" t="n"/>
      <c r="T262" s="67" t="n"/>
      <c r="U262" s="67" t="n"/>
      <c r="V262" s="67" t="n"/>
      <c r="W262" s="67" t="n"/>
      <c r="X262" s="67" t="n"/>
    </row>
    <row r="263" ht="32.8" customHeight="1" s="45">
      <c r="A263" s="65" t="inlineStr">
        <is>
          <t>DR-R4</t>
        </is>
      </c>
      <c r="B263" s="66" t="inlineStr">
        <is>
          <t>Deck Engine spec</t>
        </is>
      </c>
      <c r="C263" s="66" t="inlineStr">
        <is>
          <t>OWNER-DIRECTED → CANON (R3/R5/R7/R9 strikeable)</t>
        </is>
      </c>
      <c r="D263" s="66" t="inlineStr">
        <is>
          <t>V7 — Document &amp; design inspection</t>
        </is>
      </c>
      <c r="E263" s="66" t="n"/>
      <c r="F263" s="66" t="inlineStr">
        <is>
          <t>Specification text against implementation description; provenance sections; objective card lines</t>
        </is>
      </c>
      <c r="G263" s="66" t="inlineStr">
        <is>
          <t>B — sample ≥ 30%</t>
        </is>
      </c>
      <c r="H263" s="67" t="n"/>
      <c r="I263" s="67" t="n"/>
      <c r="J263" s="67" t="n"/>
      <c r="K263" s="64">
        <f>IFERROR(INDEX('Status Map'!$B$2:$B$12,MATCH(C263,'Status Map'!$A$2:$A$12,0)),"UNDEFINED")</f>
        <v/>
      </c>
      <c r="L263" s="64" t="inlineStr">
        <is>
          <t>COUNTS</t>
        </is>
      </c>
      <c r="M263" s="68" t="inlineStr">
        <is>
          <t>FIRST SENTENCE</t>
        </is>
      </c>
      <c r="N263" s="68" t="n"/>
      <c r="O263" s="68" t="n"/>
      <c r="P263" s="64">
        <f>IF(O263&lt;&gt;"",O263,LEFT(D263,2))</f>
        <v/>
      </c>
      <c r="Q263" s="64">
        <f>IF(O263&lt;&gt;"","Standards §6",IF(M263="HEADING ONLY","Derived from heading — PROVISIONAL",IF(M263="TEXT NOT IN REGISTRY","No text to derive from — PROVISIONAL","Derived from registered statement")))</f>
        <v/>
      </c>
      <c r="R263" s="64">
        <f>IF(OR(LEFT(G263,1)="A",L263="COUNTS",ISNUMBER(SEARCH("V1",P263)),ISNUMBER(SEARCH("V2",P263)),ISNUMBER(SEARCH("V5",P263))),"A — 100%","B — sample ≥ 30%")</f>
        <v/>
      </c>
      <c r="S263" s="67" t="n"/>
      <c r="T263" s="67" t="n"/>
      <c r="U263" s="67" t="n"/>
      <c r="V263" s="67" t="n"/>
      <c r="W263" s="67" t="n"/>
      <c r="X263" s="67" t="n"/>
    </row>
    <row r="264" ht="32.8" customHeight="1" s="45">
      <c r="A264" s="65" t="inlineStr">
        <is>
          <t>DR-R5</t>
        </is>
      </c>
      <c r="B264" s="66" t="inlineStr">
        <is>
          <t>Deck Engine spec</t>
        </is>
      </c>
      <c r="C264" s="66" t="inlineStr">
        <is>
          <t>OWNER-DIRECTED → CANON (R3/R5/R7/R9 strikeable)</t>
        </is>
      </c>
      <c r="D264" s="66" t="inlineStr">
        <is>
          <t>V5 — Failure-injection demonstration</t>
        </is>
      </c>
      <c r="E264" s="66" t="n"/>
      <c r="F264" s="66" t="inlineStr">
        <is>
          <t>Dependency made unreachable or check made to error; observed refusal; no result returned; stale marker where degradation is the ruled posture</t>
        </is>
      </c>
      <c r="G264" s="66" t="inlineStr">
        <is>
          <t>A — 100%</t>
        </is>
      </c>
      <c r="H264" s="67" t="n"/>
      <c r="I264" s="67" t="n"/>
      <c r="J264" s="67" t="n"/>
      <c r="K264" s="64">
        <f>IFERROR(INDEX('Status Map'!$B$2:$B$12,MATCH(C264,'Status Map'!$A$2:$A$12,0)),"UNDEFINED")</f>
        <v/>
      </c>
      <c r="L264" s="64" t="inlineStr">
        <is>
          <t>COUNTS</t>
        </is>
      </c>
      <c r="M264" s="68" t="inlineStr">
        <is>
          <t>FIRST SENTENCE</t>
        </is>
      </c>
      <c r="N264" s="68" t="n"/>
      <c r="O264" s="68" t="n"/>
      <c r="P264" s="64">
        <f>IF(O264&lt;&gt;"",O264,LEFT(D264,2))</f>
        <v/>
      </c>
      <c r="Q264" s="64">
        <f>IF(O264&lt;&gt;"","Standards §6",IF(M264="HEADING ONLY","Derived from heading — PROVISIONAL",IF(M264="TEXT NOT IN REGISTRY","No text to derive from — PROVISIONAL","Derived from registered statement")))</f>
        <v/>
      </c>
      <c r="R264" s="64">
        <f>IF(OR(LEFT(G264,1)="A",L264="COUNTS",ISNUMBER(SEARCH("V1",P264)),ISNUMBER(SEARCH("V2",P264)),ISNUMBER(SEARCH("V5",P264))),"A — 100%","B — sample ≥ 30%")</f>
        <v/>
      </c>
      <c r="S264" s="67" t="n"/>
      <c r="T264" s="67" t="n"/>
      <c r="U264" s="67" t="n"/>
      <c r="V264" s="67" t="n"/>
      <c r="W264" s="67" t="n"/>
      <c r="X264" s="67" t="n"/>
    </row>
    <row r="265" ht="32.8" customHeight="1" s="45">
      <c r="A265" s="65" t="inlineStr">
        <is>
          <t>DR-R6</t>
        </is>
      </c>
      <c r="B265" s="66" t="inlineStr">
        <is>
          <t>Deck Engine spec</t>
        </is>
      </c>
      <c r="C265" s="66" t="inlineStr">
        <is>
          <t>OWNER-DIRECTED → CANON (R3/R5/R7/R9 strikeable)</t>
        </is>
      </c>
      <c r="D265" s="66" t="inlineStr">
        <is>
          <t>V7 — Document &amp; design inspection</t>
        </is>
      </c>
      <c r="E265" s="66" t="n"/>
      <c r="F265" s="66" t="inlineStr">
        <is>
          <t>Specification text against implementation description; provenance sections; objective card lines</t>
        </is>
      </c>
      <c r="G265" s="66" t="inlineStr">
        <is>
          <t>B — sample ≥ 30%</t>
        </is>
      </c>
      <c r="H265" s="67" t="n"/>
      <c r="I265" s="67" t="n"/>
      <c r="J265" s="67" t="n"/>
      <c r="K265" s="64">
        <f>IFERROR(INDEX('Status Map'!$B$2:$B$12,MATCH(C265,'Status Map'!$A$2:$A$12,0)),"UNDEFINED")</f>
        <v/>
      </c>
      <c r="L265" s="64" t="inlineStr">
        <is>
          <t>COUNTS</t>
        </is>
      </c>
      <c r="M265" s="68" t="inlineStr">
        <is>
          <t>FIRST SENTENCE</t>
        </is>
      </c>
      <c r="N265" s="68" t="n"/>
      <c r="O265" s="68" t="n"/>
      <c r="P265" s="64">
        <f>IF(O265&lt;&gt;"",O265,LEFT(D265,2))</f>
        <v/>
      </c>
      <c r="Q265" s="64">
        <f>IF(O265&lt;&gt;"","Standards §6",IF(M265="HEADING ONLY","Derived from heading — PROVISIONAL",IF(M265="TEXT NOT IN REGISTRY","No text to derive from — PROVISIONAL","Derived from registered statement")))</f>
        <v/>
      </c>
      <c r="R265" s="64">
        <f>IF(OR(LEFT(G265,1)="A",L265="COUNTS",ISNUMBER(SEARCH("V1",P265)),ISNUMBER(SEARCH("V2",P265)),ISNUMBER(SEARCH("V5",P265))),"A — 100%","B — sample ≥ 30%")</f>
        <v/>
      </c>
      <c r="S265" s="67" t="n"/>
      <c r="T265" s="67" t="n"/>
      <c r="U265" s="67" t="n"/>
      <c r="V265" s="67" t="n"/>
      <c r="W265" s="67" t="n"/>
      <c r="X265" s="67" t="n"/>
    </row>
    <row r="266" ht="32.8" customHeight="1" s="45">
      <c r="A266" s="65" t="inlineStr">
        <is>
          <t>DR-R7</t>
        </is>
      </c>
      <c r="B266" s="66" t="inlineStr">
        <is>
          <t>Deck Engine spec</t>
        </is>
      </c>
      <c r="C266" s="66" t="inlineStr">
        <is>
          <t>OWNER-DIRECTED → CANON (R3/R5/R7/R9 strikeable)</t>
        </is>
      </c>
      <c r="D266" s="66" t="inlineStr">
        <is>
          <t>V6 — Surface inspection</t>
        </is>
      </c>
      <c r="E266" s="66" t="n"/>
      <c r="F266" s="66" t="inlineStr">
        <is>
          <t>DOM-bound substitution rule or harness receipt; fixed string verbatim; honest-gap variant rendered on null</t>
        </is>
      </c>
      <c r="G266" s="66" t="inlineStr">
        <is>
          <t>B — sample ≥ 30%</t>
        </is>
      </c>
      <c r="H266" s="67" t="n"/>
      <c r="I266" s="67" t="n"/>
      <c r="J266" s="67" t="n"/>
      <c r="K266" s="64">
        <f>IFERROR(INDEX('Status Map'!$B$2:$B$12,MATCH(C266,'Status Map'!$A$2:$A$12,0)),"UNDEFINED")</f>
        <v/>
      </c>
      <c r="L266" s="64" t="inlineStr">
        <is>
          <t>COUNTS</t>
        </is>
      </c>
      <c r="M266" s="68" t="inlineStr">
        <is>
          <t>FIRST SENTENCE</t>
        </is>
      </c>
      <c r="N266" s="68" t="n"/>
      <c r="O266" s="68" t="n"/>
      <c r="P266" s="64">
        <f>IF(O266&lt;&gt;"",O266,LEFT(D266,2))</f>
        <v/>
      </c>
      <c r="Q266" s="64">
        <f>IF(O266&lt;&gt;"","Standards §6",IF(M266="HEADING ONLY","Derived from heading — PROVISIONAL",IF(M266="TEXT NOT IN REGISTRY","No text to derive from — PROVISIONAL","Derived from registered statement")))</f>
        <v/>
      </c>
      <c r="R266" s="64">
        <f>IF(OR(LEFT(G266,1)="A",L266="COUNTS",ISNUMBER(SEARCH("V1",P266)),ISNUMBER(SEARCH("V2",P266)),ISNUMBER(SEARCH("V5",P266))),"A — 100%","B — sample ≥ 30%")</f>
        <v/>
      </c>
      <c r="S266" s="67" t="n"/>
      <c r="T266" s="67" t="n"/>
      <c r="U266" s="67" t="n"/>
      <c r="V266" s="67" t="n"/>
      <c r="W266" s="67" t="n"/>
      <c r="X266" s="67" t="n"/>
    </row>
    <row r="267" ht="32.8" customHeight="1" s="45">
      <c r="A267" s="65" t="inlineStr">
        <is>
          <t>DR-R8</t>
        </is>
      </c>
      <c r="B267" s="66" t="inlineStr">
        <is>
          <t>Deck Engine spec</t>
        </is>
      </c>
      <c r="C267" s="66" t="inlineStr">
        <is>
          <t>OWNER-DIRECTED → CANON (R3/R5/R7/R9 strikeable)</t>
        </is>
      </c>
      <c r="D267" s="66" t="inlineStr">
        <is>
          <t>V4 — Governance-record evidence</t>
        </is>
      </c>
      <c r="E267" s="66" t="n"/>
      <c r="F267" s="66" t="inlineStr">
        <is>
          <t>DECISIONS.md entry; ceremony record with tier, countersign, countdown, apply, re-verify; canon_ref present</t>
        </is>
      </c>
      <c r="G267" s="66" t="inlineStr">
        <is>
          <t>B — sample ≥ 30%</t>
        </is>
      </c>
      <c r="H267" s="67" t="n"/>
      <c r="I267" s="67" t="n"/>
      <c r="J267" s="67" t="n"/>
      <c r="K267" s="64">
        <f>IFERROR(INDEX('Status Map'!$B$2:$B$12,MATCH(C267,'Status Map'!$A$2:$A$12,0)),"UNDEFINED")</f>
        <v/>
      </c>
      <c r="L267" s="64" t="inlineStr">
        <is>
          <t>COUNTS</t>
        </is>
      </c>
      <c r="M267" s="68" t="inlineStr">
        <is>
          <t>FIRST SENTENCE</t>
        </is>
      </c>
      <c r="N267" s="68" t="n"/>
      <c r="O267" s="68" t="n"/>
      <c r="P267" s="64">
        <f>IF(O267&lt;&gt;"",O267,LEFT(D267,2))</f>
        <v/>
      </c>
      <c r="Q267" s="64">
        <f>IF(O267&lt;&gt;"","Standards §6",IF(M267="HEADING ONLY","Derived from heading — PROVISIONAL",IF(M267="TEXT NOT IN REGISTRY","No text to derive from — PROVISIONAL","Derived from registered statement")))</f>
        <v/>
      </c>
      <c r="R267" s="64">
        <f>IF(OR(LEFT(G267,1)="A",L267="COUNTS",ISNUMBER(SEARCH("V1",P267)),ISNUMBER(SEARCH("V2",P267)),ISNUMBER(SEARCH("V5",P267))),"A — 100%","B — sample ≥ 30%")</f>
        <v/>
      </c>
      <c r="S267" s="67" t="n"/>
      <c r="T267" s="67" t="n"/>
      <c r="U267" s="67" t="n"/>
      <c r="V267" s="67" t="n"/>
      <c r="W267" s="67" t="n"/>
      <c r="X267" s="67" t="n"/>
    </row>
    <row r="268" ht="32.8" customHeight="1" s="45">
      <c r="A268" s="65" t="inlineStr">
        <is>
          <t>DR-R9</t>
        </is>
      </c>
      <c r="B268" s="66" t="inlineStr">
        <is>
          <t>Deck Engine spec</t>
        </is>
      </c>
      <c r="C268" s="66" t="inlineStr">
        <is>
          <t>OWNER-DIRECTED → CANON (R3/R5/R7/R9 strikeable)</t>
        </is>
      </c>
      <c r="D268" s="66" t="inlineStr">
        <is>
          <t>V7 — Document &amp; design inspection</t>
        </is>
      </c>
      <c r="E268" s="66" t="n"/>
      <c r="F268" s="66" t="inlineStr">
        <is>
          <t>Specification text against implementation description; provenance sections; objective card lines</t>
        </is>
      </c>
      <c r="G268" s="66" t="inlineStr">
        <is>
          <t>B — sample ≥ 30%</t>
        </is>
      </c>
      <c r="H268" s="67" t="n"/>
      <c r="I268" s="67" t="n"/>
      <c r="J268" s="67" t="n"/>
      <c r="K268" s="64">
        <f>IFERROR(INDEX('Status Map'!$B$2:$B$12,MATCH(C268,'Status Map'!$A$2:$A$12,0)),"UNDEFINED")</f>
        <v/>
      </c>
      <c r="L268" s="64" t="inlineStr">
        <is>
          <t>COUNTS</t>
        </is>
      </c>
      <c r="M268" s="68" t="inlineStr">
        <is>
          <t>FIRST SENTENCE</t>
        </is>
      </c>
      <c r="N268" s="68" t="n"/>
      <c r="O268" s="68" t="n"/>
      <c r="P268" s="64">
        <f>IF(O268&lt;&gt;"",O268,LEFT(D268,2))</f>
        <v/>
      </c>
      <c r="Q268" s="64">
        <f>IF(O268&lt;&gt;"","Standards §6",IF(M268="HEADING ONLY","Derived from heading — PROVISIONAL",IF(M268="TEXT NOT IN REGISTRY","No text to derive from — PROVISIONAL","Derived from registered statement")))</f>
        <v/>
      </c>
      <c r="R268" s="64">
        <f>IF(OR(LEFT(G268,1)="A",L268="COUNTS",ISNUMBER(SEARCH("V1",P268)),ISNUMBER(SEARCH("V2",P268)),ISNUMBER(SEARCH("V5",P268))),"A — 100%","B — sample ≥ 30%")</f>
        <v/>
      </c>
      <c r="S268" s="67" t="n"/>
      <c r="T268" s="67" t="n"/>
      <c r="U268" s="67" t="n"/>
      <c r="V268" s="67" t="n"/>
      <c r="W268" s="67" t="n"/>
      <c r="X268" s="67" t="n"/>
    </row>
    <row r="269" ht="22.35" customHeight="1" s="45">
      <c r="A269" s="65" t="inlineStr">
        <is>
          <t>A18.1</t>
        </is>
      </c>
      <c r="B269" s="66" t="inlineStr">
        <is>
          <t>Doc 18</t>
        </is>
      </c>
      <c r="C269" s="66" t="inlineStr">
        <is>
          <t>CANON</t>
        </is>
      </c>
      <c r="D269" s="66" t="inlineStr">
        <is>
          <t>V7 — Document &amp; design inspection</t>
        </is>
      </c>
      <c r="E269" s="66" t="n"/>
      <c r="F269" s="66" t="inlineStr">
        <is>
          <t>Specification text against implementation description; provenance sections; objective card lines</t>
        </is>
      </c>
      <c r="G269" s="66" t="inlineStr">
        <is>
          <t>B — sample ≥ 30%</t>
        </is>
      </c>
      <c r="H269" s="67" t="n"/>
      <c r="I269" s="67" t="n"/>
      <c r="J269" s="67" t="n"/>
      <c r="K269" s="64">
        <f>IFERROR(INDEX('Status Map'!$B$2:$B$12,MATCH(C269,'Status Map'!$A$2:$A$12,0)),"UNDEFINED")</f>
        <v/>
      </c>
      <c r="L269" s="64">
        <f>IFERROR(INDEX('Status Map'!$C$2:$C$12,MATCH(C269,'Status Map'!$A$2:$A$12,0)),"UNDEFINED")</f>
        <v/>
      </c>
      <c r="M269" s="68" t="inlineStr">
        <is>
          <t>HEADING ONLY</t>
        </is>
      </c>
      <c r="N269" s="68" t="n"/>
      <c r="O269" s="68" t="n"/>
      <c r="P269" s="64">
        <f>IF(O269&lt;&gt;"",O269,LEFT(D269,2))</f>
        <v/>
      </c>
      <c r="Q269" s="64">
        <f>IF(O269&lt;&gt;"","Standards §6",IF(M269="HEADING ONLY","Derived from heading — PROVISIONAL",IF(M269="TEXT NOT IN REGISTRY","No text to derive from — PROVISIONAL","Derived from registered statement")))</f>
        <v/>
      </c>
      <c r="R269" s="64">
        <f>IF(OR(LEFT(G269,1)="A",L269="COUNTS",ISNUMBER(SEARCH("V1",P269)),ISNUMBER(SEARCH("V2",P269)),ISNUMBER(SEARCH("V5",P269))),"A — 100%","B — sample ≥ 30%")</f>
        <v/>
      </c>
      <c r="S269" s="67" t="n"/>
      <c r="T269" s="67" t="n"/>
      <c r="U269" s="67" t="n"/>
      <c r="V269" s="67" t="n"/>
      <c r="W269" s="67" t="n"/>
      <c r="X269" s="67" t="n"/>
    </row>
    <row r="270" ht="22.35" customHeight="1" s="45">
      <c r="A270" s="65" t="inlineStr">
        <is>
          <t>A18.2</t>
        </is>
      </c>
      <c r="B270" s="66" t="inlineStr">
        <is>
          <t>Doc 18</t>
        </is>
      </c>
      <c r="C270" s="66" t="inlineStr">
        <is>
          <t>CANON</t>
        </is>
      </c>
      <c r="D270" s="66" t="inlineStr">
        <is>
          <t>V7 — Document &amp; design inspection</t>
        </is>
      </c>
      <c r="E270" s="66" t="n"/>
      <c r="F270" s="66" t="inlineStr">
        <is>
          <t>Specification text against implementation description; provenance sections; objective card lines</t>
        </is>
      </c>
      <c r="G270" s="66" t="inlineStr">
        <is>
          <t>B — sample ≥ 30%</t>
        </is>
      </c>
      <c r="H270" s="67" t="n"/>
      <c r="I270" s="67" t="n"/>
      <c r="J270" s="67" t="n"/>
      <c r="K270" s="64">
        <f>IFERROR(INDEX('Status Map'!$B$2:$B$12,MATCH(C270,'Status Map'!$A$2:$A$12,0)),"UNDEFINED")</f>
        <v/>
      </c>
      <c r="L270" s="64">
        <f>IFERROR(INDEX('Status Map'!$C$2:$C$12,MATCH(C270,'Status Map'!$A$2:$A$12,0)),"UNDEFINED")</f>
        <v/>
      </c>
      <c r="M270" s="68" t="inlineStr">
        <is>
          <t>HEADING ONLY</t>
        </is>
      </c>
      <c r="N270" s="68" t="n"/>
      <c r="O270" s="68" t="n"/>
      <c r="P270" s="64">
        <f>IF(O270&lt;&gt;"",O270,LEFT(D270,2))</f>
        <v/>
      </c>
      <c r="Q270" s="64">
        <f>IF(O270&lt;&gt;"","Standards §6",IF(M270="HEADING ONLY","Derived from heading — PROVISIONAL",IF(M270="TEXT NOT IN REGISTRY","No text to derive from — PROVISIONAL","Derived from registered statement")))</f>
        <v/>
      </c>
      <c r="R270" s="64">
        <f>IF(OR(LEFT(G270,1)="A",L270="COUNTS",ISNUMBER(SEARCH("V1",P270)),ISNUMBER(SEARCH("V2",P270)),ISNUMBER(SEARCH("V5",P270))),"A — 100%","B — sample ≥ 30%")</f>
        <v/>
      </c>
      <c r="S270" s="67" t="n"/>
      <c r="T270" s="67" t="n"/>
      <c r="U270" s="67" t="n"/>
      <c r="V270" s="67" t="n"/>
      <c r="W270" s="67" t="n"/>
      <c r="X270" s="67" t="n"/>
    </row>
    <row r="271" ht="22.35" customHeight="1" s="45">
      <c r="A271" s="65" t="inlineStr">
        <is>
          <t>A18.3</t>
        </is>
      </c>
      <c r="B271" s="66" t="inlineStr">
        <is>
          <t>Doc 18</t>
        </is>
      </c>
      <c r="C271" s="66" t="inlineStr">
        <is>
          <t>CANON</t>
        </is>
      </c>
      <c r="D271" s="66" t="inlineStr">
        <is>
          <t>V7 — Document &amp; design inspection</t>
        </is>
      </c>
      <c r="E271" s="66" t="n"/>
      <c r="F271" s="66" t="inlineStr">
        <is>
          <t>Specification text against implementation description; provenance sections; objective card lines</t>
        </is>
      </c>
      <c r="G271" s="66" t="inlineStr">
        <is>
          <t>B — sample ≥ 30%</t>
        </is>
      </c>
      <c r="H271" s="67" t="n"/>
      <c r="I271" s="67" t="n"/>
      <c r="J271" s="67" t="n"/>
      <c r="K271" s="64">
        <f>IFERROR(INDEX('Status Map'!$B$2:$B$12,MATCH(C271,'Status Map'!$A$2:$A$12,0)),"UNDEFINED")</f>
        <v/>
      </c>
      <c r="L271" s="64">
        <f>IFERROR(INDEX('Status Map'!$C$2:$C$12,MATCH(C271,'Status Map'!$A$2:$A$12,0)),"UNDEFINED")</f>
        <v/>
      </c>
      <c r="M271" s="68" t="inlineStr">
        <is>
          <t>HEADING ONLY</t>
        </is>
      </c>
      <c r="N271" s="68" t="n"/>
      <c r="O271" s="68" t="n"/>
      <c r="P271" s="64">
        <f>IF(O271&lt;&gt;"",O271,LEFT(D271,2))</f>
        <v/>
      </c>
      <c r="Q271" s="64">
        <f>IF(O271&lt;&gt;"","Standards §6",IF(M271="HEADING ONLY","Derived from heading — PROVISIONAL",IF(M271="TEXT NOT IN REGISTRY","No text to derive from — PROVISIONAL","Derived from registered statement")))</f>
        <v/>
      </c>
      <c r="R271" s="64">
        <f>IF(OR(LEFT(G271,1)="A",L271="COUNTS",ISNUMBER(SEARCH("V1",P271)),ISNUMBER(SEARCH("V2",P271)),ISNUMBER(SEARCH("V5",P271))),"A — 100%","B — sample ≥ 30%")</f>
        <v/>
      </c>
      <c r="S271" s="67" t="n"/>
      <c r="T271" s="67" t="n"/>
      <c r="U271" s="67" t="n"/>
      <c r="V271" s="67" t="n"/>
      <c r="W271" s="67" t="n"/>
      <c r="X271" s="67" t="n"/>
    </row>
    <row r="272" ht="32.8" customHeight="1" s="45">
      <c r="A272" s="65" t="inlineStr">
        <is>
          <t>A18.4</t>
        </is>
      </c>
      <c r="B272" s="66" t="inlineStr">
        <is>
          <t>Doc 18</t>
        </is>
      </c>
      <c r="C272" s="66" t="inlineStr">
        <is>
          <t>CANON</t>
        </is>
      </c>
      <c r="D272" s="66" t="inlineStr">
        <is>
          <t>V5 — Failure-injection demonstration</t>
        </is>
      </c>
      <c r="E272" s="66" t="n"/>
      <c r="F272" s="66" t="inlineStr">
        <is>
          <t>Dependency made unreachable or check made to error; observed refusal; no result returned; stale marker where degradation is the ruled posture</t>
        </is>
      </c>
      <c r="G272" s="66" t="inlineStr">
        <is>
          <t>A — 100%</t>
        </is>
      </c>
      <c r="H272" s="67" t="n"/>
      <c r="I272" s="67" t="n"/>
      <c r="J272" s="67" t="n"/>
      <c r="K272" s="64">
        <f>IFERROR(INDEX('Status Map'!$B$2:$B$12,MATCH(C272,'Status Map'!$A$2:$A$12,0)),"UNDEFINED")</f>
        <v/>
      </c>
      <c r="L272" s="64">
        <f>IFERROR(INDEX('Status Map'!$C$2:$C$12,MATCH(C272,'Status Map'!$A$2:$A$12,0)),"UNDEFINED")</f>
        <v/>
      </c>
      <c r="M272" s="68" t="inlineStr">
        <is>
          <t>HEADING ONLY</t>
        </is>
      </c>
      <c r="N272" s="68" t="n"/>
      <c r="O272" s="68" t="n"/>
      <c r="P272" s="64">
        <f>IF(O272&lt;&gt;"",O272,LEFT(D272,2))</f>
        <v/>
      </c>
      <c r="Q272" s="64">
        <f>IF(O272&lt;&gt;"","Standards §6",IF(M272="HEADING ONLY","Derived from heading — PROVISIONAL",IF(M272="TEXT NOT IN REGISTRY","No text to derive from — PROVISIONAL","Derived from registered statement")))</f>
        <v/>
      </c>
      <c r="R272" s="64">
        <f>IF(OR(LEFT(G272,1)="A",L272="COUNTS",ISNUMBER(SEARCH("V1",P272)),ISNUMBER(SEARCH("V2",P272)),ISNUMBER(SEARCH("V5",P272))),"A — 100%","B — sample ≥ 30%")</f>
        <v/>
      </c>
      <c r="S272" s="67" t="n"/>
      <c r="T272" s="67" t="n"/>
      <c r="U272" s="67" t="n"/>
      <c r="V272" s="67" t="n"/>
      <c r="W272" s="67" t="n"/>
      <c r="X272" s="67" t="n"/>
    </row>
    <row r="273" ht="22.35" customHeight="1" s="45">
      <c r="A273" s="65" t="inlineStr">
        <is>
          <t>A18.5</t>
        </is>
      </c>
      <c r="B273" s="66" t="inlineStr">
        <is>
          <t>Doc 18</t>
        </is>
      </c>
      <c r="C273" s="66" t="inlineStr">
        <is>
          <t>CANON</t>
        </is>
      </c>
      <c r="D273" s="66" t="inlineStr">
        <is>
          <t>V7 — Document &amp; design inspection</t>
        </is>
      </c>
      <c r="E273" s="66" t="n"/>
      <c r="F273" s="66" t="inlineStr">
        <is>
          <t>Specification text against implementation description; provenance sections; objective card lines</t>
        </is>
      </c>
      <c r="G273" s="66" t="inlineStr">
        <is>
          <t>B — sample ≥ 30%</t>
        </is>
      </c>
      <c r="H273" s="67" t="n"/>
      <c r="I273" s="67" t="n"/>
      <c r="J273" s="67" t="n"/>
      <c r="K273" s="64">
        <f>IFERROR(INDEX('Status Map'!$B$2:$B$12,MATCH(C273,'Status Map'!$A$2:$A$12,0)),"UNDEFINED")</f>
        <v/>
      </c>
      <c r="L273" s="64">
        <f>IFERROR(INDEX('Status Map'!$C$2:$C$12,MATCH(C273,'Status Map'!$A$2:$A$12,0)),"UNDEFINED")</f>
        <v/>
      </c>
      <c r="M273" s="68" t="inlineStr">
        <is>
          <t>HEADING ONLY</t>
        </is>
      </c>
      <c r="N273" s="68" t="n"/>
      <c r="O273" s="68" t="n"/>
      <c r="P273" s="64">
        <f>IF(O273&lt;&gt;"",O273,LEFT(D273,2))</f>
        <v/>
      </c>
      <c r="Q273" s="64">
        <f>IF(O273&lt;&gt;"","Standards §6",IF(M273="HEADING ONLY","Derived from heading — PROVISIONAL",IF(M273="TEXT NOT IN REGISTRY","No text to derive from — PROVISIONAL","Derived from registered statement")))</f>
        <v/>
      </c>
      <c r="R273" s="64">
        <f>IF(OR(LEFT(G273,1)="A",L273="COUNTS",ISNUMBER(SEARCH("V1",P273)),ISNUMBER(SEARCH("V2",P273)),ISNUMBER(SEARCH("V5",P273))),"A — 100%","B — sample ≥ 30%")</f>
        <v/>
      </c>
      <c r="S273" s="67" t="n"/>
      <c r="T273" s="67" t="n"/>
      <c r="U273" s="67" t="n"/>
      <c r="V273" s="67" t="n"/>
      <c r="W273" s="67" t="n"/>
      <c r="X273" s="67" t="n"/>
    </row>
    <row r="274" ht="22.35" customHeight="1" s="45">
      <c r="A274" s="65" t="inlineStr">
        <is>
          <t>A18.6</t>
        </is>
      </c>
      <c r="B274" s="66" t="inlineStr">
        <is>
          <t>Doc 18</t>
        </is>
      </c>
      <c r="C274" s="66" t="inlineStr">
        <is>
          <t>PROPOSED</t>
        </is>
      </c>
      <c r="D274" s="66" t="inlineStr">
        <is>
          <t>V7 — Document &amp; design inspection</t>
        </is>
      </c>
      <c r="E274" s="66" t="n"/>
      <c r="F274" s="66" t="inlineStr">
        <is>
          <t>Specification text against implementation description; provenance sections; objective card lines</t>
        </is>
      </c>
      <c r="G274" s="66" t="inlineStr">
        <is>
          <t>B — sample ≥ 30%</t>
        </is>
      </c>
      <c r="H274" s="67" t="n"/>
      <c r="I274" s="67" t="n"/>
      <c r="J274" s="67" t="n"/>
      <c r="K274" s="64">
        <f>IFERROR(INDEX('Status Map'!$B$2:$B$12,MATCH(C274,'Status Map'!$A$2:$A$12,0)),"UNDEFINED")</f>
        <v/>
      </c>
      <c r="L274" s="64">
        <f>IFERROR(INDEX('Status Map'!$C$2:$C$12,MATCH(C274,'Status Map'!$A$2:$A$12,0)),"UNDEFINED")</f>
        <v/>
      </c>
      <c r="M274" s="68" t="inlineStr">
        <is>
          <t>HEADING ONLY</t>
        </is>
      </c>
      <c r="N274" s="68" t="n"/>
      <c r="O274" s="68" t="n"/>
      <c r="P274" s="64">
        <f>IF(O274&lt;&gt;"",O274,LEFT(D274,2))</f>
        <v/>
      </c>
      <c r="Q274" s="64">
        <f>IF(O274&lt;&gt;"","Standards §6",IF(M274="HEADING ONLY","Derived from heading — PROVISIONAL",IF(M274="TEXT NOT IN REGISTRY","No text to derive from — PROVISIONAL","Derived from registered statement")))</f>
        <v/>
      </c>
      <c r="R274" s="64">
        <f>IF(OR(LEFT(G274,1)="A",L274="COUNTS",ISNUMBER(SEARCH("V1",P274)),ISNUMBER(SEARCH("V2",P274)),ISNUMBER(SEARCH("V5",P274))),"A — 100%","B — sample ≥ 30%")</f>
        <v/>
      </c>
      <c r="S274" s="67" t="n"/>
      <c r="T274" s="67" t="n"/>
      <c r="U274" s="67" t="n"/>
      <c r="V274" s="67" t="n"/>
      <c r="W274" s="67" t="n"/>
      <c r="X274" s="67" t="n"/>
    </row>
    <row r="275" ht="22.35" customHeight="1" s="45">
      <c r="A275" s="65" t="inlineStr">
        <is>
          <t>A18.7</t>
        </is>
      </c>
      <c r="B275" s="66" t="inlineStr">
        <is>
          <t>Doc 18</t>
        </is>
      </c>
      <c r="C275" s="66" t="inlineStr">
        <is>
          <t>RULED</t>
        </is>
      </c>
      <c r="D275" s="66" t="inlineStr">
        <is>
          <t>V7 — Document &amp; design inspection</t>
        </is>
      </c>
      <c r="E275" s="66" t="n"/>
      <c r="F275" s="66" t="inlineStr">
        <is>
          <t>Specification text against implementation description; provenance sections; objective card lines</t>
        </is>
      </c>
      <c r="G275" s="66" t="inlineStr">
        <is>
          <t>B — sample ≥ 30%</t>
        </is>
      </c>
      <c r="H275" s="67" t="n"/>
      <c r="I275" s="67" t="n"/>
      <c r="J275" s="67" t="n"/>
      <c r="K275" s="64">
        <f>IFERROR(INDEX('Status Map'!$B$2:$B$12,MATCH(C275,'Status Map'!$A$2:$A$12,0)),"UNDEFINED")</f>
        <v/>
      </c>
      <c r="L275" s="64">
        <f>IFERROR(INDEX('Status Map'!$C$2:$C$12,MATCH(C275,'Status Map'!$A$2:$A$12,0)),"UNDEFINED")</f>
        <v/>
      </c>
      <c r="M275" s="68" t="inlineStr">
        <is>
          <t>HEADING ONLY</t>
        </is>
      </c>
      <c r="N275" s="68" t="n"/>
      <c r="O275" s="68" t="n"/>
      <c r="P275" s="64">
        <f>IF(O275&lt;&gt;"",O275,LEFT(D275,2))</f>
        <v/>
      </c>
      <c r="Q275" s="64">
        <f>IF(O275&lt;&gt;"","Standards §6",IF(M275="HEADING ONLY","Derived from heading — PROVISIONAL",IF(M275="TEXT NOT IN REGISTRY","No text to derive from — PROVISIONAL","Derived from registered statement")))</f>
        <v/>
      </c>
      <c r="R275" s="64">
        <f>IF(OR(LEFT(G275,1)="A",L275="COUNTS",ISNUMBER(SEARCH("V1",P275)),ISNUMBER(SEARCH("V2",P275)),ISNUMBER(SEARCH("V5",P275))),"A — 100%","B — sample ≥ 30%")</f>
        <v/>
      </c>
      <c r="S275" s="67" t="n"/>
      <c r="T275" s="67" t="n"/>
      <c r="U275" s="67" t="n"/>
      <c r="V275" s="67" t="n"/>
      <c r="W275" s="67" t="n"/>
      <c r="X275" s="67" t="n"/>
    </row>
    <row r="276" ht="22.35" customHeight="1" s="45">
      <c r="A276" s="65" t="inlineStr">
        <is>
          <t>A18.8</t>
        </is>
      </c>
      <c r="B276" s="66" t="inlineStr">
        <is>
          <t>Doc 18</t>
        </is>
      </c>
      <c r="C276" s="66" t="inlineStr">
        <is>
          <t>OPEN</t>
        </is>
      </c>
      <c r="D276" s="66" t="inlineStr">
        <is>
          <t>V7 — Document &amp; design inspection</t>
        </is>
      </c>
      <c r="E276" s="66" t="n"/>
      <c r="F276" s="66" t="inlineStr">
        <is>
          <t>Specification text against implementation description; provenance sections; objective card lines</t>
        </is>
      </c>
      <c r="G276" s="66" t="inlineStr">
        <is>
          <t>B — sample ≥ 30%</t>
        </is>
      </c>
      <c r="H276" s="67" t="n"/>
      <c r="I276" s="67" t="n"/>
      <c r="J276" s="67" t="n"/>
      <c r="K276" s="64">
        <f>IFERROR(INDEX('Status Map'!$B$2:$B$12,MATCH(C276,'Status Map'!$A$2:$A$12,0)),"UNDEFINED")</f>
        <v/>
      </c>
      <c r="L276" s="64">
        <f>IFERROR(INDEX('Status Map'!$C$2:$C$12,MATCH(C276,'Status Map'!$A$2:$A$12,0)),"UNDEFINED")</f>
        <v/>
      </c>
      <c r="M276" s="68" t="inlineStr">
        <is>
          <t>HEADING ONLY</t>
        </is>
      </c>
      <c r="N276" s="68" t="n"/>
      <c r="O276" s="68" t="n"/>
      <c r="P276" s="64">
        <f>IF(O276&lt;&gt;"",O276,LEFT(D276,2))</f>
        <v/>
      </c>
      <c r="Q276" s="64">
        <f>IF(O276&lt;&gt;"","Standards §6",IF(M276="HEADING ONLY","Derived from heading — PROVISIONAL",IF(M276="TEXT NOT IN REGISTRY","No text to derive from — PROVISIONAL","Derived from registered statement")))</f>
        <v/>
      </c>
      <c r="R276" s="64">
        <f>IF(OR(LEFT(G276,1)="A",L276="COUNTS",ISNUMBER(SEARCH("V1",P276)),ISNUMBER(SEARCH("V2",P276)),ISNUMBER(SEARCH("V5",P276))),"A — 100%","B — sample ≥ 30%")</f>
        <v/>
      </c>
      <c r="S276" s="67" t="n"/>
      <c r="T276" s="67" t="n"/>
      <c r="U276" s="67" t="n"/>
      <c r="V276" s="67" t="n"/>
      <c r="W276" s="67" t="n"/>
      <c r="X276" s="67" t="n"/>
    </row>
    <row r="277" ht="22.35" customHeight="1" s="45">
      <c r="A277" s="65" t="inlineStr">
        <is>
          <t>ROC-1</t>
        </is>
      </c>
      <c r="B277" s="66" t="inlineStr">
        <is>
          <t>ROC spec</t>
        </is>
      </c>
      <c r="C277" s="66" t="inlineStr">
        <is>
          <t>PROPOSED (pending ratification)</t>
        </is>
      </c>
      <c r="D277" s="66" t="inlineStr">
        <is>
          <t>V7 — Document &amp; design inspection</t>
        </is>
      </c>
      <c r="E277" s="66" t="n"/>
      <c r="F277" s="66" t="inlineStr">
        <is>
          <t>Specification text against implementation description; provenance sections; objective card lines</t>
        </is>
      </c>
      <c r="G277" s="66" t="inlineStr">
        <is>
          <t>A — 100%</t>
        </is>
      </c>
      <c r="H277" s="67" t="n"/>
      <c r="I277" s="67" t="n"/>
      <c r="J277" s="67" t="n"/>
      <c r="K277" s="64">
        <f>IFERROR(INDEX('Status Map'!$B$2:$B$12,MATCH(C277,'Status Map'!$A$2:$A$12,0)),"UNDEFINED")</f>
        <v/>
      </c>
      <c r="L277" s="64">
        <f>IFERROR(INDEX('Status Map'!$C$2:$C$12,MATCH(C277,'Status Map'!$A$2:$A$12,0)),"UNDEFINED")</f>
        <v/>
      </c>
      <c r="M277" s="68" t="inlineStr">
        <is>
          <t>STATEMENT AS REGISTERED</t>
        </is>
      </c>
      <c r="N277" s="68" t="inlineStr">
        <is>
          <t>C-6.6.4</t>
        </is>
      </c>
      <c r="O277" s="68" t="inlineStr">
        <is>
          <t>V7</t>
        </is>
      </c>
      <c r="P277" s="64">
        <f>IF(O277&lt;&gt;"",O277,LEFT(D277,2))</f>
        <v/>
      </c>
      <c r="Q277" s="64">
        <f>IF(O277&lt;&gt;"","Standards §6",IF(M277="HEADING ONLY","Derived from heading — PROVISIONAL",IF(M277="TEXT NOT IN REGISTRY","No text to derive from — PROVISIONAL","Derived from registered statement")))</f>
        <v/>
      </c>
      <c r="R277" s="64">
        <f>IF(OR(LEFT(G277,1)="A",L277="COUNTS",ISNUMBER(SEARCH("V1",P277)),ISNUMBER(SEARCH("V2",P277)),ISNUMBER(SEARCH("V5",P277))),"A — 100%","B — sample ≥ 30%")</f>
        <v/>
      </c>
      <c r="S277" s="67" t="n"/>
      <c r="T277" s="67" t="n"/>
      <c r="U277" s="67" t="n"/>
      <c r="V277" s="67" t="n"/>
      <c r="W277" s="67" t="n"/>
      <c r="X277" s="67" t="n"/>
    </row>
    <row r="278" ht="22.35" customHeight="1" s="45">
      <c r="A278" s="65" t="inlineStr">
        <is>
          <t>ROC-10</t>
        </is>
      </c>
      <c r="B278" s="66" t="inlineStr">
        <is>
          <t>ROC spec</t>
        </is>
      </c>
      <c r="C278" s="66" t="inlineStr">
        <is>
          <t>PROPOSED (pending ratification)</t>
        </is>
      </c>
      <c r="D278" s="66" t="inlineStr">
        <is>
          <t>V7 — Document &amp; design inspection</t>
        </is>
      </c>
      <c r="E278" s="66" t="n"/>
      <c r="F278" s="66" t="inlineStr">
        <is>
          <t>Specification text against implementation description; provenance sections; objective card lines</t>
        </is>
      </c>
      <c r="G278" s="66" t="inlineStr">
        <is>
          <t>A — 100%</t>
        </is>
      </c>
      <c r="H278" s="67" t="n"/>
      <c r="I278" s="67" t="n"/>
      <c r="J278" s="67" t="n"/>
      <c r="K278" s="64">
        <f>IFERROR(INDEX('Status Map'!$B$2:$B$12,MATCH(C278,'Status Map'!$A$2:$A$12,0)),"UNDEFINED")</f>
        <v/>
      </c>
      <c r="L278" s="64">
        <f>IFERROR(INDEX('Status Map'!$C$2:$C$12,MATCH(C278,'Status Map'!$A$2:$A$12,0)),"UNDEFINED")</f>
        <v/>
      </c>
      <c r="M278" s="68" t="inlineStr">
        <is>
          <t>STATEMENT AS REGISTERED</t>
        </is>
      </c>
      <c r="N278" s="68" t="inlineStr">
        <is>
          <t>C-6.6.4</t>
        </is>
      </c>
      <c r="O278" s="68" t="inlineStr">
        <is>
          <t>V7</t>
        </is>
      </c>
      <c r="P278" s="64">
        <f>IF(O278&lt;&gt;"",O278,LEFT(D278,2))</f>
        <v/>
      </c>
      <c r="Q278" s="64">
        <f>IF(O278&lt;&gt;"","Standards §6",IF(M278="HEADING ONLY","Derived from heading — PROVISIONAL",IF(M278="TEXT NOT IN REGISTRY","No text to derive from — PROVISIONAL","Derived from registered statement")))</f>
        <v/>
      </c>
      <c r="R278" s="64">
        <f>IF(OR(LEFT(G278,1)="A",L278="COUNTS",ISNUMBER(SEARCH("V1",P278)),ISNUMBER(SEARCH("V2",P278)),ISNUMBER(SEARCH("V5",P278))),"A — 100%","B — sample ≥ 30%")</f>
        <v/>
      </c>
      <c r="S278" s="67" t="n"/>
      <c r="T278" s="67" t="n"/>
      <c r="U278" s="67" t="n"/>
      <c r="V278" s="67" t="n"/>
      <c r="W278" s="67" t="n"/>
      <c r="X278" s="67" t="n"/>
    </row>
    <row r="279" ht="22.35" customHeight="1" s="45">
      <c r="A279" s="65" t="inlineStr">
        <is>
          <t>ROC-11</t>
        </is>
      </c>
      <c r="B279" s="66" t="inlineStr">
        <is>
          <t>ROC spec</t>
        </is>
      </c>
      <c r="C279" s="66" t="inlineStr">
        <is>
          <t>PROPOSED (pending ratification)</t>
        </is>
      </c>
      <c r="D279" s="66" t="inlineStr">
        <is>
          <t>V3 — Record evidence</t>
        </is>
      </c>
      <c r="E279" s="66" t="n"/>
      <c r="F279" s="66" t="inlineStr">
        <is>
          <t>Ledger rows inspected; hash-chain verifier receipt; refused operations present on identical terms</t>
        </is>
      </c>
      <c r="G279" s="66" t="inlineStr">
        <is>
          <t>A — 100%</t>
        </is>
      </c>
      <c r="H279" s="67" t="n"/>
      <c r="I279" s="67" t="n"/>
      <c r="J279" s="67" t="n"/>
      <c r="K279" s="64">
        <f>IFERROR(INDEX('Status Map'!$B$2:$B$12,MATCH(C279,'Status Map'!$A$2:$A$12,0)),"UNDEFINED")</f>
        <v/>
      </c>
      <c r="L279" s="64">
        <f>IFERROR(INDEX('Status Map'!$C$2:$C$12,MATCH(C279,'Status Map'!$A$2:$A$12,0)),"UNDEFINED")</f>
        <v/>
      </c>
      <c r="M279" s="68" t="inlineStr">
        <is>
          <t>STATEMENT AS REGISTERED</t>
        </is>
      </c>
      <c r="N279" s="68" t="inlineStr">
        <is>
          <t>C-6.6.4</t>
        </is>
      </c>
      <c r="O279" s="68" t="inlineStr">
        <is>
          <t>V7</t>
        </is>
      </c>
      <c r="P279" s="64">
        <f>IF(O279&lt;&gt;"",O279,LEFT(D279,2))</f>
        <v/>
      </c>
      <c r="Q279" s="64">
        <f>IF(O279&lt;&gt;"","Standards §6",IF(M279="HEADING ONLY","Derived from heading — PROVISIONAL",IF(M279="TEXT NOT IN REGISTRY","No text to derive from — PROVISIONAL","Derived from registered statement")))</f>
        <v/>
      </c>
      <c r="R279" s="64">
        <f>IF(OR(LEFT(G279,1)="A",L279="COUNTS",ISNUMBER(SEARCH("V1",P279)),ISNUMBER(SEARCH("V2",P279)),ISNUMBER(SEARCH("V5",P279))),"A — 100%","B — sample ≥ 30%")</f>
        <v/>
      </c>
      <c r="S279" s="67" t="n"/>
      <c r="T279" s="67" t="n"/>
      <c r="U279" s="67" t="n"/>
      <c r="V279" s="67" t="n"/>
      <c r="W279" s="67" t="n"/>
      <c r="X279" s="67" t="n"/>
    </row>
    <row r="280" ht="22.35" customHeight="1" s="45">
      <c r="A280" s="65" t="inlineStr">
        <is>
          <t>ROC-2</t>
        </is>
      </c>
      <c r="B280" s="66" t="inlineStr">
        <is>
          <t>ROC spec</t>
        </is>
      </c>
      <c r="C280" s="66" t="inlineStr">
        <is>
          <t>PROPOSED (pending ratification)</t>
        </is>
      </c>
      <c r="D280" s="66" t="inlineStr">
        <is>
          <t>V4 — Governance-record evidence</t>
        </is>
      </c>
      <c r="E280" s="66" t="n"/>
      <c r="F280" s="66" t="inlineStr">
        <is>
          <t>DECISIONS.md entry; ceremony record with tier, countersign, countdown, apply, re-verify; canon_ref present</t>
        </is>
      </c>
      <c r="G280" s="66" t="inlineStr">
        <is>
          <t>A — 100%</t>
        </is>
      </c>
      <c r="H280" s="67" t="n"/>
      <c r="I280" s="67" t="n"/>
      <c r="J280" s="67" t="n"/>
      <c r="K280" s="64">
        <f>IFERROR(INDEX('Status Map'!$B$2:$B$12,MATCH(C280,'Status Map'!$A$2:$A$12,0)),"UNDEFINED")</f>
        <v/>
      </c>
      <c r="L280" s="64">
        <f>IFERROR(INDEX('Status Map'!$C$2:$C$12,MATCH(C280,'Status Map'!$A$2:$A$12,0)),"UNDEFINED")</f>
        <v/>
      </c>
      <c r="M280" s="68" t="inlineStr">
        <is>
          <t>STATEMENT AS REGISTERED</t>
        </is>
      </c>
      <c r="N280" s="68" t="inlineStr">
        <is>
          <t>C-6.6.4</t>
        </is>
      </c>
      <c r="O280" s="68" t="inlineStr">
        <is>
          <t>V7</t>
        </is>
      </c>
      <c r="P280" s="64">
        <f>IF(O280&lt;&gt;"",O280,LEFT(D280,2))</f>
        <v/>
      </c>
      <c r="Q280" s="64">
        <f>IF(O280&lt;&gt;"","Standards §6",IF(M280="HEADING ONLY","Derived from heading — PROVISIONAL",IF(M280="TEXT NOT IN REGISTRY","No text to derive from — PROVISIONAL","Derived from registered statement")))</f>
        <v/>
      </c>
      <c r="R280" s="64">
        <f>IF(OR(LEFT(G280,1)="A",L280="COUNTS",ISNUMBER(SEARCH("V1",P280)),ISNUMBER(SEARCH("V2",P280)),ISNUMBER(SEARCH("V5",P280))),"A — 100%","B — sample ≥ 30%")</f>
        <v/>
      </c>
      <c r="S280" s="67" t="n"/>
      <c r="T280" s="67" t="n"/>
      <c r="U280" s="67" t="n"/>
      <c r="V280" s="67" t="n"/>
      <c r="W280" s="67" t="n"/>
      <c r="X280" s="67" t="n"/>
    </row>
    <row r="281" ht="22.35" customHeight="1" s="45">
      <c r="A281" s="65" t="inlineStr">
        <is>
          <t>ROC-3</t>
        </is>
      </c>
      <c r="B281" s="66" t="inlineStr">
        <is>
          <t>ROC spec</t>
        </is>
      </c>
      <c r="C281" s="66" t="inlineStr">
        <is>
          <t>PROPOSED (pending ratification)</t>
        </is>
      </c>
      <c r="D281" s="66" t="inlineStr">
        <is>
          <t>V7 — Document &amp; design inspection</t>
        </is>
      </c>
      <c r="E281" s="66" t="n"/>
      <c r="F281" s="66" t="inlineStr">
        <is>
          <t>Specification text against implementation description; provenance sections; objective card lines</t>
        </is>
      </c>
      <c r="G281" s="66" t="inlineStr">
        <is>
          <t>A — 100%</t>
        </is>
      </c>
      <c r="H281" s="67" t="n"/>
      <c r="I281" s="67" t="n"/>
      <c r="J281" s="67" t="n"/>
      <c r="K281" s="64">
        <f>IFERROR(INDEX('Status Map'!$B$2:$B$12,MATCH(C281,'Status Map'!$A$2:$A$12,0)),"UNDEFINED")</f>
        <v/>
      </c>
      <c r="L281" s="64">
        <f>IFERROR(INDEX('Status Map'!$C$2:$C$12,MATCH(C281,'Status Map'!$A$2:$A$12,0)),"UNDEFINED")</f>
        <v/>
      </c>
      <c r="M281" s="68" t="inlineStr">
        <is>
          <t>STATEMENT AS REGISTERED</t>
        </is>
      </c>
      <c r="N281" s="68" t="inlineStr">
        <is>
          <t>C-6.6.4</t>
        </is>
      </c>
      <c r="O281" s="68" t="inlineStr">
        <is>
          <t>V7</t>
        </is>
      </c>
      <c r="P281" s="64">
        <f>IF(O281&lt;&gt;"",O281,LEFT(D281,2))</f>
        <v/>
      </c>
      <c r="Q281" s="64">
        <f>IF(O281&lt;&gt;"","Standards §6",IF(M281="HEADING ONLY","Derived from heading — PROVISIONAL",IF(M281="TEXT NOT IN REGISTRY","No text to derive from — PROVISIONAL","Derived from registered statement")))</f>
        <v/>
      </c>
      <c r="R281" s="64">
        <f>IF(OR(LEFT(G281,1)="A",L281="COUNTS",ISNUMBER(SEARCH("V1",P281)),ISNUMBER(SEARCH("V2",P281)),ISNUMBER(SEARCH("V5",P281))),"A — 100%","B — sample ≥ 30%")</f>
        <v/>
      </c>
      <c r="S281" s="67" t="n"/>
      <c r="T281" s="67" t="n"/>
      <c r="U281" s="67" t="n"/>
      <c r="V281" s="67" t="n"/>
      <c r="W281" s="67" t="n"/>
      <c r="X281" s="67" t="n"/>
    </row>
    <row r="282" ht="22.35" customHeight="1" s="45">
      <c r="A282" s="65" t="inlineStr">
        <is>
          <t>ROC-4</t>
        </is>
      </c>
      <c r="B282" s="66" t="inlineStr">
        <is>
          <t>ROC spec</t>
        </is>
      </c>
      <c r="C282" s="66" t="inlineStr">
        <is>
          <t>PROPOSED (pending ratification)</t>
        </is>
      </c>
      <c r="D282" s="66" t="inlineStr">
        <is>
          <t>V7 — Document &amp; design inspection</t>
        </is>
      </c>
      <c r="E282" s="66" t="n"/>
      <c r="F282" s="66" t="inlineStr">
        <is>
          <t>Specification text against implementation description; provenance sections; objective card lines</t>
        </is>
      </c>
      <c r="G282" s="66" t="inlineStr">
        <is>
          <t>A — 100%</t>
        </is>
      </c>
      <c r="H282" s="67" t="n"/>
      <c r="I282" s="67" t="n"/>
      <c r="J282" s="67" t="n"/>
      <c r="K282" s="64">
        <f>IFERROR(INDEX('Status Map'!$B$2:$B$12,MATCH(C282,'Status Map'!$A$2:$A$12,0)),"UNDEFINED")</f>
        <v/>
      </c>
      <c r="L282" s="64">
        <f>IFERROR(INDEX('Status Map'!$C$2:$C$12,MATCH(C282,'Status Map'!$A$2:$A$12,0)),"UNDEFINED")</f>
        <v/>
      </c>
      <c r="M282" s="68" t="inlineStr">
        <is>
          <t>STATEMENT AS REGISTERED</t>
        </is>
      </c>
      <c r="N282" s="68" t="inlineStr">
        <is>
          <t>C-6.6.4</t>
        </is>
      </c>
      <c r="O282" s="68" t="inlineStr">
        <is>
          <t>V7</t>
        </is>
      </c>
      <c r="P282" s="64">
        <f>IF(O282&lt;&gt;"",O282,LEFT(D282,2))</f>
        <v/>
      </c>
      <c r="Q282" s="64">
        <f>IF(O282&lt;&gt;"","Standards §6",IF(M282="HEADING ONLY","Derived from heading — PROVISIONAL",IF(M282="TEXT NOT IN REGISTRY","No text to derive from — PROVISIONAL","Derived from registered statement")))</f>
        <v/>
      </c>
      <c r="R282" s="64">
        <f>IF(OR(LEFT(G282,1)="A",L282="COUNTS",ISNUMBER(SEARCH("V1",P282)),ISNUMBER(SEARCH("V2",P282)),ISNUMBER(SEARCH("V5",P282))),"A — 100%","B — sample ≥ 30%")</f>
        <v/>
      </c>
      <c r="S282" s="67" t="n"/>
      <c r="T282" s="67" t="n"/>
      <c r="U282" s="67" t="n"/>
      <c r="V282" s="67" t="n"/>
      <c r="W282" s="67" t="n"/>
      <c r="X282" s="67" t="n"/>
    </row>
    <row r="283" ht="22.35" customHeight="1" s="45">
      <c r="A283" s="65" t="inlineStr">
        <is>
          <t>ROC-5</t>
        </is>
      </c>
      <c r="B283" s="66" t="inlineStr">
        <is>
          <t>ROC spec</t>
        </is>
      </c>
      <c r="C283" s="66" t="inlineStr">
        <is>
          <t>PROPOSED (pending ratification)</t>
        </is>
      </c>
      <c r="D283" s="66" t="inlineStr">
        <is>
          <t>V7 — Document &amp; design inspection</t>
        </is>
      </c>
      <c r="E283" s="66" t="n"/>
      <c r="F283" s="66" t="inlineStr">
        <is>
          <t>Specification text against implementation description; provenance sections; objective card lines</t>
        </is>
      </c>
      <c r="G283" s="66" t="inlineStr">
        <is>
          <t>A — 100%</t>
        </is>
      </c>
      <c r="H283" s="67" t="n"/>
      <c r="I283" s="67" t="n"/>
      <c r="J283" s="67" t="n"/>
      <c r="K283" s="64">
        <f>IFERROR(INDEX('Status Map'!$B$2:$B$12,MATCH(C283,'Status Map'!$A$2:$A$12,0)),"UNDEFINED")</f>
        <v/>
      </c>
      <c r="L283" s="64">
        <f>IFERROR(INDEX('Status Map'!$C$2:$C$12,MATCH(C283,'Status Map'!$A$2:$A$12,0)),"UNDEFINED")</f>
        <v/>
      </c>
      <c r="M283" s="68" t="inlineStr">
        <is>
          <t>STATEMENT AS REGISTERED</t>
        </is>
      </c>
      <c r="N283" s="68" t="inlineStr">
        <is>
          <t>C-6.6.4</t>
        </is>
      </c>
      <c r="O283" s="68" t="inlineStr">
        <is>
          <t>V7</t>
        </is>
      </c>
      <c r="P283" s="64">
        <f>IF(O283&lt;&gt;"",O283,LEFT(D283,2))</f>
        <v/>
      </c>
      <c r="Q283" s="64">
        <f>IF(O283&lt;&gt;"","Standards §6",IF(M283="HEADING ONLY","Derived from heading — PROVISIONAL",IF(M283="TEXT NOT IN REGISTRY","No text to derive from — PROVISIONAL","Derived from registered statement")))</f>
        <v/>
      </c>
      <c r="R283" s="64">
        <f>IF(OR(LEFT(G283,1)="A",L283="COUNTS",ISNUMBER(SEARCH("V1",P283)),ISNUMBER(SEARCH("V2",P283)),ISNUMBER(SEARCH("V5",P283))),"A — 100%","B — sample ≥ 30%")</f>
        <v/>
      </c>
      <c r="S283" s="67" t="n"/>
      <c r="T283" s="67" t="n"/>
      <c r="U283" s="67" t="n"/>
      <c r="V283" s="67" t="n"/>
      <c r="W283" s="67" t="n"/>
      <c r="X283" s="67" t="n"/>
    </row>
    <row r="284" ht="22.35" customHeight="1" s="45">
      <c r="A284" s="65" t="inlineStr">
        <is>
          <t>ROC-6</t>
        </is>
      </c>
      <c r="B284" s="66" t="inlineStr">
        <is>
          <t>ROC spec</t>
        </is>
      </c>
      <c r="C284" s="66" t="inlineStr">
        <is>
          <t>PROPOSED (pending ratification)</t>
        </is>
      </c>
      <c r="D284" s="66" t="inlineStr">
        <is>
          <t>V7 — Document &amp; design inspection</t>
        </is>
      </c>
      <c r="E284" s="66" t="n"/>
      <c r="F284" s="66" t="inlineStr">
        <is>
          <t>Specification text against implementation description; provenance sections; objective card lines</t>
        </is>
      </c>
      <c r="G284" s="66" t="inlineStr">
        <is>
          <t>A — 100%</t>
        </is>
      </c>
      <c r="H284" s="67" t="n"/>
      <c r="I284" s="67" t="n"/>
      <c r="J284" s="67" t="n"/>
      <c r="K284" s="64">
        <f>IFERROR(INDEX('Status Map'!$B$2:$B$12,MATCH(C284,'Status Map'!$A$2:$A$12,0)),"UNDEFINED")</f>
        <v/>
      </c>
      <c r="L284" s="64">
        <f>IFERROR(INDEX('Status Map'!$C$2:$C$12,MATCH(C284,'Status Map'!$A$2:$A$12,0)),"UNDEFINED")</f>
        <v/>
      </c>
      <c r="M284" s="68" t="inlineStr">
        <is>
          <t>STATEMENT AS REGISTERED</t>
        </is>
      </c>
      <c r="N284" s="68" t="inlineStr">
        <is>
          <t>C-6.6.4</t>
        </is>
      </c>
      <c r="O284" s="68" t="inlineStr">
        <is>
          <t>V7</t>
        </is>
      </c>
      <c r="P284" s="64">
        <f>IF(O284&lt;&gt;"",O284,LEFT(D284,2))</f>
        <v/>
      </c>
      <c r="Q284" s="64">
        <f>IF(O284&lt;&gt;"","Standards §6",IF(M284="HEADING ONLY","Derived from heading — PROVISIONAL",IF(M284="TEXT NOT IN REGISTRY","No text to derive from — PROVISIONAL","Derived from registered statement")))</f>
        <v/>
      </c>
      <c r="R284" s="64">
        <f>IF(OR(LEFT(G284,1)="A",L284="COUNTS",ISNUMBER(SEARCH("V1",P284)),ISNUMBER(SEARCH("V2",P284)),ISNUMBER(SEARCH("V5",P284))),"A — 100%","B — sample ≥ 30%")</f>
        <v/>
      </c>
      <c r="S284" s="67" t="n"/>
      <c r="T284" s="67" t="n"/>
      <c r="U284" s="67" t="n"/>
      <c r="V284" s="67" t="n"/>
      <c r="W284" s="67" t="n"/>
      <c r="X284" s="67" t="n"/>
    </row>
    <row r="285" ht="22.35" customHeight="1" s="45">
      <c r="A285" s="65" t="inlineStr">
        <is>
          <t>ROC-7</t>
        </is>
      </c>
      <c r="B285" s="66" t="inlineStr">
        <is>
          <t>ROC spec</t>
        </is>
      </c>
      <c r="C285" s="66" t="inlineStr">
        <is>
          <t>PROPOSED (pending ratification)</t>
        </is>
      </c>
      <c r="D285" s="66" t="inlineStr">
        <is>
          <t>V7 — Document &amp; design inspection</t>
        </is>
      </c>
      <c r="E285" s="66" t="n"/>
      <c r="F285" s="66" t="inlineStr">
        <is>
          <t>Specification text against implementation description; provenance sections; objective card lines</t>
        </is>
      </c>
      <c r="G285" s="66" t="inlineStr">
        <is>
          <t>A — 100%</t>
        </is>
      </c>
      <c r="H285" s="67" t="n"/>
      <c r="I285" s="67" t="n"/>
      <c r="J285" s="67" t="n"/>
      <c r="K285" s="64">
        <f>IFERROR(INDEX('Status Map'!$B$2:$B$12,MATCH(C285,'Status Map'!$A$2:$A$12,0)),"UNDEFINED")</f>
        <v/>
      </c>
      <c r="L285" s="64">
        <f>IFERROR(INDEX('Status Map'!$C$2:$C$12,MATCH(C285,'Status Map'!$A$2:$A$12,0)),"UNDEFINED")</f>
        <v/>
      </c>
      <c r="M285" s="68" t="inlineStr">
        <is>
          <t>STATEMENT AS REGISTERED</t>
        </is>
      </c>
      <c r="N285" s="68" t="inlineStr">
        <is>
          <t>C-6.6.4</t>
        </is>
      </c>
      <c r="O285" s="68" t="inlineStr">
        <is>
          <t>V7</t>
        </is>
      </c>
      <c r="P285" s="64">
        <f>IF(O285&lt;&gt;"",O285,LEFT(D285,2))</f>
        <v/>
      </c>
      <c r="Q285" s="64">
        <f>IF(O285&lt;&gt;"","Standards §6",IF(M285="HEADING ONLY","Derived from heading — PROVISIONAL",IF(M285="TEXT NOT IN REGISTRY","No text to derive from — PROVISIONAL","Derived from registered statement")))</f>
        <v/>
      </c>
      <c r="R285" s="64">
        <f>IF(OR(LEFT(G285,1)="A",L285="COUNTS",ISNUMBER(SEARCH("V1",P285)),ISNUMBER(SEARCH("V2",P285)),ISNUMBER(SEARCH("V5",P285))),"A — 100%","B — sample ≥ 30%")</f>
        <v/>
      </c>
      <c r="S285" s="67" t="n"/>
      <c r="T285" s="67" t="n"/>
      <c r="U285" s="67" t="n"/>
      <c r="V285" s="67" t="n"/>
      <c r="W285" s="67" t="n"/>
      <c r="X285" s="67" t="n"/>
    </row>
    <row r="286" ht="22.35" customHeight="1" s="45">
      <c r="A286" s="65" t="inlineStr">
        <is>
          <t>ROC-8</t>
        </is>
      </c>
      <c r="B286" s="66" t="inlineStr">
        <is>
          <t>ROC spec</t>
        </is>
      </c>
      <c r="C286" s="66" t="inlineStr">
        <is>
          <t>PROPOSED (pending ratification)</t>
        </is>
      </c>
      <c r="D286" s="66" t="inlineStr">
        <is>
          <t>V7 — Document &amp; design inspection</t>
        </is>
      </c>
      <c r="E286" s="66" t="n"/>
      <c r="F286" s="66" t="inlineStr">
        <is>
          <t>Specification text against implementation description; provenance sections; objective card lines</t>
        </is>
      </c>
      <c r="G286" s="66" t="inlineStr">
        <is>
          <t>A — 100%</t>
        </is>
      </c>
      <c r="H286" s="67" t="n"/>
      <c r="I286" s="67" t="n"/>
      <c r="J286" s="67" t="n"/>
      <c r="K286" s="64">
        <f>IFERROR(INDEX('Status Map'!$B$2:$B$12,MATCH(C286,'Status Map'!$A$2:$A$12,0)),"UNDEFINED")</f>
        <v/>
      </c>
      <c r="L286" s="64">
        <f>IFERROR(INDEX('Status Map'!$C$2:$C$12,MATCH(C286,'Status Map'!$A$2:$A$12,0)),"UNDEFINED")</f>
        <v/>
      </c>
      <c r="M286" s="68" t="inlineStr">
        <is>
          <t>STATEMENT AS REGISTERED</t>
        </is>
      </c>
      <c r="N286" s="68" t="inlineStr">
        <is>
          <t>C-6.6.4</t>
        </is>
      </c>
      <c r="O286" s="68" t="inlineStr">
        <is>
          <t>V7</t>
        </is>
      </c>
      <c r="P286" s="64">
        <f>IF(O286&lt;&gt;"",O286,LEFT(D286,2))</f>
        <v/>
      </c>
      <c r="Q286" s="64">
        <f>IF(O286&lt;&gt;"","Standards §6",IF(M286="HEADING ONLY","Derived from heading — PROVISIONAL",IF(M286="TEXT NOT IN REGISTRY","No text to derive from — PROVISIONAL","Derived from registered statement")))</f>
        <v/>
      </c>
      <c r="R286" s="64">
        <f>IF(OR(LEFT(G286,1)="A",L286="COUNTS",ISNUMBER(SEARCH("V1",P286)),ISNUMBER(SEARCH("V2",P286)),ISNUMBER(SEARCH("V5",P286))),"A — 100%","B — sample ≥ 30%")</f>
        <v/>
      </c>
      <c r="S286" s="67" t="n"/>
      <c r="T286" s="67" t="n"/>
      <c r="U286" s="67" t="n"/>
      <c r="V286" s="67" t="n"/>
      <c r="W286" s="67" t="n"/>
      <c r="X286" s="67" t="n"/>
    </row>
    <row r="287" ht="22.35" customHeight="1" s="45">
      <c r="A287" s="65" t="inlineStr">
        <is>
          <t>ROC-9</t>
        </is>
      </c>
      <c r="B287" s="66" t="inlineStr">
        <is>
          <t>ROC spec</t>
        </is>
      </c>
      <c r="C287" s="66" t="inlineStr">
        <is>
          <t>PROPOSED (pending ratification)</t>
        </is>
      </c>
      <c r="D287" s="66" t="inlineStr">
        <is>
          <t>V7 — Document &amp; design inspection</t>
        </is>
      </c>
      <c r="E287" s="66" t="n"/>
      <c r="F287" s="66" t="inlineStr">
        <is>
          <t>Specification text against implementation description; provenance sections; objective card lines</t>
        </is>
      </c>
      <c r="G287" s="66" t="inlineStr">
        <is>
          <t>A — 100%</t>
        </is>
      </c>
      <c r="H287" s="67" t="n"/>
      <c r="I287" s="67" t="n"/>
      <c r="J287" s="67" t="n"/>
      <c r="K287" s="64">
        <f>IFERROR(INDEX('Status Map'!$B$2:$B$12,MATCH(C287,'Status Map'!$A$2:$A$12,0)),"UNDEFINED")</f>
        <v/>
      </c>
      <c r="L287" s="64">
        <f>IFERROR(INDEX('Status Map'!$C$2:$C$12,MATCH(C287,'Status Map'!$A$2:$A$12,0)),"UNDEFINED")</f>
        <v/>
      </c>
      <c r="M287" s="68" t="inlineStr">
        <is>
          <t>STATEMENT AS REGISTERED</t>
        </is>
      </c>
      <c r="N287" s="68" t="inlineStr">
        <is>
          <t>C-6.6.4</t>
        </is>
      </c>
      <c r="O287" s="68" t="inlineStr">
        <is>
          <t>V7</t>
        </is>
      </c>
      <c r="P287" s="64">
        <f>IF(O287&lt;&gt;"",O287,LEFT(D287,2))</f>
        <v/>
      </c>
      <c r="Q287" s="64">
        <f>IF(O287&lt;&gt;"","Standards §6",IF(M287="HEADING ONLY","Derived from heading — PROVISIONAL",IF(M287="TEXT NOT IN REGISTRY","No text to derive from — PROVISIONAL","Derived from registered statement")))</f>
        <v/>
      </c>
      <c r="R287" s="64">
        <f>IF(OR(LEFT(G287,1)="A",L287="COUNTS",ISNUMBER(SEARCH("V1",P287)),ISNUMBER(SEARCH("V2",P287)),ISNUMBER(SEARCH("V5",P287))),"A — 100%","B — sample ≥ 30%")</f>
        <v/>
      </c>
      <c r="S287" s="67" t="n"/>
      <c r="T287" s="67" t="n"/>
      <c r="U287" s="67" t="n"/>
      <c r="V287" s="67" t="n"/>
      <c r="W287" s="67" t="n"/>
      <c r="X287" s="67" t="n"/>
    </row>
    <row r="288" ht="32.8" customHeight="1" s="45">
      <c r="A288" s="65" t="inlineStr">
        <is>
          <t>RBM-1</t>
        </is>
      </c>
      <c r="B288" s="66" t="inlineStr">
        <is>
          <t>Rules Service spec</t>
        </is>
      </c>
      <c r="C288" s="66" t="inlineStr">
        <is>
          <t>PROPOSED</t>
        </is>
      </c>
      <c r="D288" s="66" t="inlineStr">
        <is>
          <t>V5 — Failure-injection demonstration</t>
        </is>
      </c>
      <c r="E288" s="66" t="n"/>
      <c r="F288" s="66" t="inlineStr">
        <is>
          <t>Dependency made unreachable or check made to error; observed refusal; no result returned; stale marker where degradation is the ruled posture</t>
        </is>
      </c>
      <c r="G288" s="66" t="inlineStr">
        <is>
          <t>A — 100%</t>
        </is>
      </c>
      <c r="H288" s="67" t="n"/>
      <c r="I288" s="67" t="n"/>
      <c r="J288" s="67" t="n"/>
      <c r="K288" s="64">
        <f>IFERROR(INDEX('Status Map'!$B$2:$B$12,MATCH(C288,'Status Map'!$A$2:$A$12,0)),"UNDEFINED")</f>
        <v/>
      </c>
      <c r="L288" s="64">
        <f>IFERROR(INDEX('Status Map'!$C$2:$C$12,MATCH(C288,'Status Map'!$A$2:$A$12,0)),"UNDEFINED")</f>
        <v/>
      </c>
      <c r="M288" s="68" t="inlineStr">
        <is>
          <t>STATEMENT AS REGISTERED</t>
        </is>
      </c>
      <c r="N288" s="68" t="n"/>
      <c r="O288" s="68" t="n"/>
      <c r="P288" s="64">
        <f>IF(O288&lt;&gt;"",O288,LEFT(D288,2))</f>
        <v/>
      </c>
      <c r="Q288" s="64">
        <f>IF(O288&lt;&gt;"","Standards §6",IF(M288="HEADING ONLY","Derived from heading — PROVISIONAL",IF(M288="TEXT NOT IN REGISTRY","No text to derive from — PROVISIONAL","Derived from registered statement")))</f>
        <v/>
      </c>
      <c r="R288" s="64">
        <f>IF(OR(LEFT(G288,1)="A",L288="COUNTS",ISNUMBER(SEARCH("V1",P288)),ISNUMBER(SEARCH("V2",P288)),ISNUMBER(SEARCH("V5",P288))),"A — 100%","B — sample ≥ 30%")</f>
        <v/>
      </c>
      <c r="S288" s="67" t="n"/>
      <c r="T288" s="67" t="n"/>
      <c r="U288" s="67" t="n"/>
      <c r="V288" s="67" t="n"/>
      <c r="W288" s="67" t="n"/>
      <c r="X288" s="67" t="n"/>
    </row>
    <row r="289" ht="22.35" customHeight="1" s="45">
      <c r="A289" s="65" t="inlineStr">
        <is>
          <t>RBM-2</t>
        </is>
      </c>
      <c r="B289" s="66" t="inlineStr">
        <is>
          <t>Rules Service spec</t>
        </is>
      </c>
      <c r="C289" s="66" t="inlineStr">
        <is>
          <t>PROPOSED</t>
        </is>
      </c>
      <c r="D289" s="66" t="inlineStr">
        <is>
          <t>V7 — Document &amp; design inspection</t>
        </is>
      </c>
      <c r="E289" s="66" t="n"/>
      <c r="F289" s="66" t="inlineStr">
        <is>
          <t>Specification text against implementation description; provenance sections; objective card lines</t>
        </is>
      </c>
      <c r="G289" s="66" t="inlineStr">
        <is>
          <t>A — 100%</t>
        </is>
      </c>
      <c r="H289" s="67" t="n"/>
      <c r="I289" s="67" t="n"/>
      <c r="J289" s="67" t="n"/>
      <c r="K289" s="64">
        <f>IFERROR(INDEX('Status Map'!$B$2:$B$12,MATCH(C289,'Status Map'!$A$2:$A$12,0)),"UNDEFINED")</f>
        <v/>
      </c>
      <c r="L289" s="64">
        <f>IFERROR(INDEX('Status Map'!$C$2:$C$12,MATCH(C289,'Status Map'!$A$2:$A$12,0)),"UNDEFINED")</f>
        <v/>
      </c>
      <c r="M289" s="68" t="inlineStr">
        <is>
          <t>STATEMENT AS REGISTERED</t>
        </is>
      </c>
      <c r="N289" s="68" t="n"/>
      <c r="O289" s="68" t="n"/>
      <c r="P289" s="64">
        <f>IF(O289&lt;&gt;"",O289,LEFT(D289,2))</f>
        <v/>
      </c>
      <c r="Q289" s="64">
        <f>IF(O289&lt;&gt;"","Standards §6",IF(M289="HEADING ONLY","Derived from heading — PROVISIONAL",IF(M289="TEXT NOT IN REGISTRY","No text to derive from — PROVISIONAL","Derived from registered statement")))</f>
        <v/>
      </c>
      <c r="R289" s="64">
        <f>IF(OR(LEFT(G289,1)="A",L289="COUNTS",ISNUMBER(SEARCH("V1",P289)),ISNUMBER(SEARCH("V2",P289)),ISNUMBER(SEARCH("V5",P289))),"A — 100%","B — sample ≥ 30%")</f>
        <v/>
      </c>
      <c r="S289" s="67" t="n"/>
      <c r="T289" s="67" t="n"/>
      <c r="U289" s="67" t="n"/>
      <c r="V289" s="67" t="n"/>
      <c r="W289" s="67" t="n"/>
      <c r="X289" s="67" t="n"/>
    </row>
    <row r="290" ht="32.8" customHeight="1" s="45">
      <c r="A290" s="65" t="inlineStr">
        <is>
          <t>RBM-3</t>
        </is>
      </c>
      <c r="B290" s="66" t="inlineStr">
        <is>
          <t>Rules Service spec</t>
        </is>
      </c>
      <c r="C290" s="66" t="inlineStr">
        <is>
          <t>PROPOSED</t>
        </is>
      </c>
      <c r="D290" s="66" t="inlineStr">
        <is>
          <t>V5 — Failure-injection demonstration</t>
        </is>
      </c>
      <c r="E290" s="66" t="n"/>
      <c r="F290" s="66" t="inlineStr">
        <is>
          <t>Dependency made unreachable or check made to error; observed refusal; no result returned; stale marker where degradation is the ruled posture</t>
        </is>
      </c>
      <c r="G290" s="66" t="inlineStr">
        <is>
          <t>A — 100%</t>
        </is>
      </c>
      <c r="H290" s="67" t="n"/>
      <c r="I290" s="67" t="n"/>
      <c r="J290" s="67" t="n"/>
      <c r="K290" s="64">
        <f>IFERROR(INDEX('Status Map'!$B$2:$B$12,MATCH(C290,'Status Map'!$A$2:$A$12,0)),"UNDEFINED")</f>
        <v/>
      </c>
      <c r="L290" s="64">
        <f>IFERROR(INDEX('Status Map'!$C$2:$C$12,MATCH(C290,'Status Map'!$A$2:$A$12,0)),"UNDEFINED")</f>
        <v/>
      </c>
      <c r="M290" s="68" t="inlineStr">
        <is>
          <t>STATEMENT AS REGISTERED</t>
        </is>
      </c>
      <c r="N290" s="68" t="n"/>
      <c r="O290" s="68" t="n"/>
      <c r="P290" s="64">
        <f>IF(O290&lt;&gt;"",O290,LEFT(D290,2))</f>
        <v/>
      </c>
      <c r="Q290" s="64">
        <f>IF(O290&lt;&gt;"","Standards §6",IF(M290="HEADING ONLY","Derived from heading — PROVISIONAL",IF(M290="TEXT NOT IN REGISTRY","No text to derive from — PROVISIONAL","Derived from registered statement")))</f>
        <v/>
      </c>
      <c r="R290" s="64">
        <f>IF(OR(LEFT(G290,1)="A",L290="COUNTS",ISNUMBER(SEARCH("V1",P290)),ISNUMBER(SEARCH("V2",P290)),ISNUMBER(SEARCH("V5",P290))),"A — 100%","B — sample ≥ 30%")</f>
        <v/>
      </c>
      <c r="S290" s="67" t="n"/>
      <c r="T290" s="67" t="n"/>
      <c r="U290" s="67" t="n"/>
      <c r="V290" s="67" t="n"/>
      <c r="W290" s="67" t="n"/>
      <c r="X290" s="67" t="n"/>
    </row>
    <row r="291" ht="22.35" customHeight="1" s="45">
      <c r="A291" s="65" t="inlineStr">
        <is>
          <t>RBM-4</t>
        </is>
      </c>
      <c r="B291" s="66" t="inlineStr">
        <is>
          <t>Rules Service spec</t>
        </is>
      </c>
      <c r="C291" s="66" t="inlineStr">
        <is>
          <t>PROPOSED</t>
        </is>
      </c>
      <c r="D291" s="66" t="inlineStr">
        <is>
          <t>V7 — Document &amp; design inspection</t>
        </is>
      </c>
      <c r="E291" s="66" t="n"/>
      <c r="F291" s="66" t="inlineStr">
        <is>
          <t>Specification text against implementation description; provenance sections; objective card lines</t>
        </is>
      </c>
      <c r="G291" s="66" t="inlineStr">
        <is>
          <t>A — 100%</t>
        </is>
      </c>
      <c r="H291" s="67" t="n"/>
      <c r="I291" s="67" t="n"/>
      <c r="J291" s="67" t="n"/>
      <c r="K291" s="64">
        <f>IFERROR(INDEX('Status Map'!$B$2:$B$12,MATCH(C291,'Status Map'!$A$2:$A$12,0)),"UNDEFINED")</f>
        <v/>
      </c>
      <c r="L291" s="64">
        <f>IFERROR(INDEX('Status Map'!$C$2:$C$12,MATCH(C291,'Status Map'!$A$2:$A$12,0)),"UNDEFINED")</f>
        <v/>
      </c>
      <c r="M291" s="68" t="inlineStr">
        <is>
          <t>STATEMENT AS REGISTERED</t>
        </is>
      </c>
      <c r="N291" s="68" t="n"/>
      <c r="O291" s="68" t="n"/>
      <c r="P291" s="64">
        <f>IF(O291&lt;&gt;"",O291,LEFT(D291,2))</f>
        <v/>
      </c>
      <c r="Q291" s="64">
        <f>IF(O291&lt;&gt;"","Standards §6",IF(M291="HEADING ONLY","Derived from heading — PROVISIONAL",IF(M291="TEXT NOT IN REGISTRY","No text to derive from — PROVISIONAL","Derived from registered statement")))</f>
        <v/>
      </c>
      <c r="R291" s="64">
        <f>IF(OR(LEFT(G291,1)="A",L291="COUNTS",ISNUMBER(SEARCH("V1",P291)),ISNUMBER(SEARCH("V2",P291)),ISNUMBER(SEARCH("V5",P291))),"A — 100%","B — sample ≥ 30%")</f>
        <v/>
      </c>
      <c r="S291" s="67" t="n"/>
      <c r="T291" s="67" t="n"/>
      <c r="U291" s="67" t="n"/>
      <c r="V291" s="67" t="n"/>
      <c r="W291" s="67" t="n"/>
      <c r="X291" s="67" t="n"/>
    </row>
    <row r="292" ht="22.35" customHeight="1" s="45">
      <c r="A292" s="65" t="inlineStr">
        <is>
          <t>RBM-5</t>
        </is>
      </c>
      <c r="B292" s="66" t="inlineStr">
        <is>
          <t>Rules Service spec</t>
        </is>
      </c>
      <c r="C292" s="66" t="inlineStr">
        <is>
          <t>PROPOSED</t>
        </is>
      </c>
      <c r="D292" s="66" t="inlineStr">
        <is>
          <t>V4 — Governance-record evidence</t>
        </is>
      </c>
      <c r="E292" s="66" t="n"/>
      <c r="F292" s="66" t="inlineStr">
        <is>
          <t>DECISIONS.md entry; ceremony record with tier, countersign, countdown, apply, re-verify; canon_ref present</t>
        </is>
      </c>
      <c r="G292" s="66" t="inlineStr">
        <is>
          <t>A — 100%</t>
        </is>
      </c>
      <c r="H292" s="67" t="n"/>
      <c r="I292" s="67" t="n"/>
      <c r="J292" s="67" t="n"/>
      <c r="K292" s="64">
        <f>IFERROR(INDEX('Status Map'!$B$2:$B$12,MATCH(C292,'Status Map'!$A$2:$A$12,0)),"UNDEFINED")</f>
        <v/>
      </c>
      <c r="L292" s="64">
        <f>IFERROR(INDEX('Status Map'!$C$2:$C$12,MATCH(C292,'Status Map'!$A$2:$A$12,0)),"UNDEFINED")</f>
        <v/>
      </c>
      <c r="M292" s="68" t="inlineStr">
        <is>
          <t>STATEMENT AS REGISTERED</t>
        </is>
      </c>
      <c r="N292" s="68" t="n"/>
      <c r="O292" s="68" t="n"/>
      <c r="P292" s="64">
        <f>IF(O292&lt;&gt;"",O292,LEFT(D292,2))</f>
        <v/>
      </c>
      <c r="Q292" s="64">
        <f>IF(O292&lt;&gt;"","Standards §6",IF(M292="HEADING ONLY","Derived from heading — PROVISIONAL",IF(M292="TEXT NOT IN REGISTRY","No text to derive from — PROVISIONAL","Derived from registered statement")))</f>
        <v/>
      </c>
      <c r="R292" s="64">
        <f>IF(OR(LEFT(G292,1)="A",L292="COUNTS",ISNUMBER(SEARCH("V1",P292)),ISNUMBER(SEARCH("V2",P292)),ISNUMBER(SEARCH("V5",P292))),"A — 100%","B — sample ≥ 30%")</f>
        <v/>
      </c>
      <c r="S292" s="67" t="n"/>
      <c r="T292" s="67" t="n"/>
      <c r="U292" s="67" t="n"/>
      <c r="V292" s="67" t="n"/>
      <c r="W292" s="67" t="n"/>
      <c r="X292" s="67" t="n"/>
    </row>
    <row r="293" ht="32.8" customHeight="1" s="45">
      <c r="A293" s="65" t="inlineStr">
        <is>
          <t>RBM-6</t>
        </is>
      </c>
      <c r="B293" s="66" t="inlineStr">
        <is>
          <t>Rules Service spec</t>
        </is>
      </c>
      <c r="C293" s="66" t="inlineStr">
        <is>
          <t>PROPOSED</t>
        </is>
      </c>
      <c r="D293" s="66" t="inlineStr">
        <is>
          <t>V5 — Failure-injection demonstration</t>
        </is>
      </c>
      <c r="E293" s="66" t="n"/>
      <c r="F293" s="66" t="inlineStr">
        <is>
          <t>Dependency made unreachable or check made to error; observed refusal; no result returned; stale marker where degradation is the ruled posture</t>
        </is>
      </c>
      <c r="G293" s="66" t="inlineStr">
        <is>
          <t>A — 100%</t>
        </is>
      </c>
      <c r="H293" s="67" t="n"/>
      <c r="I293" s="67" t="n"/>
      <c r="J293" s="67" t="n"/>
      <c r="K293" s="64">
        <f>IFERROR(INDEX('Status Map'!$B$2:$B$12,MATCH(C293,'Status Map'!$A$2:$A$12,0)),"UNDEFINED")</f>
        <v/>
      </c>
      <c r="L293" s="64">
        <f>IFERROR(INDEX('Status Map'!$C$2:$C$12,MATCH(C293,'Status Map'!$A$2:$A$12,0)),"UNDEFINED")</f>
        <v/>
      </c>
      <c r="M293" s="68" t="inlineStr">
        <is>
          <t>STATEMENT AS REGISTERED</t>
        </is>
      </c>
      <c r="N293" s="68" t="n"/>
      <c r="O293" s="68" t="n"/>
      <c r="P293" s="64">
        <f>IF(O293&lt;&gt;"",O293,LEFT(D293,2))</f>
        <v/>
      </c>
      <c r="Q293" s="64">
        <f>IF(O293&lt;&gt;"","Standards §6",IF(M293="HEADING ONLY","Derived from heading — PROVISIONAL",IF(M293="TEXT NOT IN REGISTRY","No text to derive from — PROVISIONAL","Derived from registered statement")))</f>
        <v/>
      </c>
      <c r="R293" s="64">
        <f>IF(OR(LEFT(G293,1)="A",L293="COUNTS",ISNUMBER(SEARCH("V1",P293)),ISNUMBER(SEARCH("V2",P293)),ISNUMBER(SEARCH("V5",P293))),"A — 100%","B — sample ≥ 30%")</f>
        <v/>
      </c>
      <c r="S293" s="67" t="n"/>
      <c r="T293" s="67" t="n"/>
      <c r="U293" s="67" t="n"/>
      <c r="V293" s="67" t="n"/>
      <c r="W293" s="67" t="n"/>
      <c r="X293" s="67" t="n"/>
    </row>
    <row r="294" ht="22.35" customHeight="1" s="45">
      <c r="A294" s="65" t="inlineStr">
        <is>
          <t>RBM-7</t>
        </is>
      </c>
      <c r="B294" s="66" t="inlineStr">
        <is>
          <t>Rules Service spec</t>
        </is>
      </c>
      <c r="C294" s="66" t="inlineStr">
        <is>
          <t>PROPOSED</t>
        </is>
      </c>
      <c r="D294" s="66" t="inlineStr">
        <is>
          <t>V4 — Governance-record evidence</t>
        </is>
      </c>
      <c r="E294" s="66" t="n"/>
      <c r="F294" s="66" t="inlineStr">
        <is>
          <t>DECISIONS.md entry; ceremony record with tier, countersign, countdown, apply, re-verify; canon_ref present</t>
        </is>
      </c>
      <c r="G294" s="66" t="inlineStr">
        <is>
          <t>A — 100%</t>
        </is>
      </c>
      <c r="H294" s="67" t="n"/>
      <c r="I294" s="67" t="n"/>
      <c r="J294" s="67" t="n"/>
      <c r="K294" s="64">
        <f>IFERROR(INDEX('Status Map'!$B$2:$B$12,MATCH(C294,'Status Map'!$A$2:$A$12,0)),"UNDEFINED")</f>
        <v/>
      </c>
      <c r="L294" s="64">
        <f>IFERROR(INDEX('Status Map'!$C$2:$C$12,MATCH(C294,'Status Map'!$A$2:$A$12,0)),"UNDEFINED")</f>
        <v/>
      </c>
      <c r="M294" s="68" t="inlineStr">
        <is>
          <t>STATEMENT AS REGISTERED</t>
        </is>
      </c>
      <c r="N294" s="68" t="inlineStr">
        <is>
          <t>C-6.6.1</t>
        </is>
      </c>
      <c r="O294" s="68" t="inlineStr">
        <is>
          <t>V4</t>
        </is>
      </c>
      <c r="P294" s="64">
        <f>IF(O294&lt;&gt;"",O294,LEFT(D294,2))</f>
        <v/>
      </c>
      <c r="Q294" s="64">
        <f>IF(O294&lt;&gt;"","Standards §6",IF(M294="HEADING ONLY","Derived from heading — PROVISIONAL",IF(M294="TEXT NOT IN REGISTRY","No text to derive from — PROVISIONAL","Derived from registered statement")))</f>
        <v/>
      </c>
      <c r="R294" s="64">
        <f>IF(OR(LEFT(G294,1)="A",L294="COUNTS",ISNUMBER(SEARCH("V1",P294)),ISNUMBER(SEARCH("V2",P294)),ISNUMBER(SEARCH("V5",P294))),"A — 100%","B — sample ≥ 30%")</f>
        <v/>
      </c>
      <c r="S294" s="67" t="n"/>
      <c r="T294" s="67" t="n"/>
      <c r="U294" s="67" t="n"/>
      <c r="V294" s="67" t="n"/>
      <c r="W294" s="67" t="n"/>
      <c r="X294" s="67" t="n"/>
    </row>
    <row r="295" ht="22.35" customHeight="1" s="45">
      <c r="A295" s="65" t="inlineStr">
        <is>
          <t>RBM-8</t>
        </is>
      </c>
      <c r="B295" s="66" t="inlineStr">
        <is>
          <t>Rules Service spec</t>
        </is>
      </c>
      <c r="C295" s="66" t="inlineStr">
        <is>
          <t>PROPOSED</t>
        </is>
      </c>
      <c r="D295" s="66" t="inlineStr">
        <is>
          <t>V4 — Governance-record evidence</t>
        </is>
      </c>
      <c r="E295" s="66" t="n"/>
      <c r="F295" s="66" t="inlineStr">
        <is>
          <t>DECISIONS.md entry; ceremony record with tier, countersign, countdown, apply, re-verify; canon_ref present</t>
        </is>
      </c>
      <c r="G295" s="66" t="inlineStr">
        <is>
          <t>A — 100%</t>
        </is>
      </c>
      <c r="H295" s="67" t="n"/>
      <c r="I295" s="67" t="n"/>
      <c r="J295" s="67" t="n"/>
      <c r="K295" s="64">
        <f>IFERROR(INDEX('Status Map'!$B$2:$B$12,MATCH(C295,'Status Map'!$A$2:$A$12,0)),"UNDEFINED")</f>
        <v/>
      </c>
      <c r="L295" s="64">
        <f>IFERROR(INDEX('Status Map'!$C$2:$C$12,MATCH(C295,'Status Map'!$A$2:$A$12,0)),"UNDEFINED")</f>
        <v/>
      </c>
      <c r="M295" s="68" t="inlineStr">
        <is>
          <t>STATEMENT AS REGISTERED</t>
        </is>
      </c>
      <c r="N295" s="68" t="inlineStr">
        <is>
          <t>C-6.6.1, C-6.6.2</t>
        </is>
      </c>
      <c r="O295" s="68" t="inlineStr">
        <is>
          <t>V4 + V5</t>
        </is>
      </c>
      <c r="P295" s="64">
        <f>IF(O295&lt;&gt;"",O295,LEFT(D295,2))</f>
        <v/>
      </c>
      <c r="Q295" s="64">
        <f>IF(O295&lt;&gt;"","Standards §6",IF(M295="HEADING ONLY","Derived from heading — PROVISIONAL",IF(M295="TEXT NOT IN REGISTRY","No text to derive from — PROVISIONAL","Derived from registered statement")))</f>
        <v/>
      </c>
      <c r="R295" s="64">
        <f>IF(OR(LEFT(G295,1)="A",L295="COUNTS",ISNUMBER(SEARCH("V1",P295)),ISNUMBER(SEARCH("V2",P295)),ISNUMBER(SEARCH("V5",P295))),"A — 100%","B — sample ≥ 30%")</f>
        <v/>
      </c>
      <c r="S295" s="67" t="n"/>
      <c r="T295" s="67" t="n"/>
      <c r="U295" s="67" t="n"/>
      <c r="V295" s="67" t="n"/>
      <c r="W295" s="67" t="n"/>
      <c r="X295" s="67" t="n"/>
    </row>
    <row r="296" ht="22.35" customHeight="1" s="45">
      <c r="A296" s="65" t="inlineStr">
        <is>
          <t>RBM-9</t>
        </is>
      </c>
      <c r="B296" s="66" t="inlineStr">
        <is>
          <t>Rules Service spec</t>
        </is>
      </c>
      <c r="C296" s="66" t="inlineStr">
        <is>
          <t>PROPOSED</t>
        </is>
      </c>
      <c r="D296" s="66" t="inlineStr">
        <is>
          <t>V3 — Record evidence</t>
        </is>
      </c>
      <c r="E296" s="66" t="n"/>
      <c r="F296" s="66" t="inlineStr">
        <is>
          <t>Ledger rows inspected; hash-chain verifier receipt; refused operations present on identical terms</t>
        </is>
      </c>
      <c r="G296" s="66" t="inlineStr">
        <is>
          <t>A — 100%</t>
        </is>
      </c>
      <c r="H296" s="67" t="n"/>
      <c r="I296" s="67" t="n"/>
      <c r="J296" s="67" t="n"/>
      <c r="K296" s="64">
        <f>IFERROR(INDEX('Status Map'!$B$2:$B$12,MATCH(C296,'Status Map'!$A$2:$A$12,0)),"UNDEFINED")</f>
        <v/>
      </c>
      <c r="L296" s="64">
        <f>IFERROR(INDEX('Status Map'!$C$2:$C$12,MATCH(C296,'Status Map'!$A$2:$A$12,0)),"UNDEFINED")</f>
        <v/>
      </c>
      <c r="M296" s="68" t="inlineStr">
        <is>
          <t>STATEMENT AS REGISTERED</t>
        </is>
      </c>
      <c r="N296" s="68" t="n"/>
      <c r="O296" s="68" t="n"/>
      <c r="P296" s="64">
        <f>IF(O296&lt;&gt;"",O296,LEFT(D296,2))</f>
        <v/>
      </c>
      <c r="Q296" s="64">
        <f>IF(O296&lt;&gt;"","Standards §6",IF(M296="HEADING ONLY","Derived from heading — PROVISIONAL",IF(M296="TEXT NOT IN REGISTRY","No text to derive from — PROVISIONAL","Derived from registered statement")))</f>
        <v/>
      </c>
      <c r="R296" s="64">
        <f>IF(OR(LEFT(G296,1)="A",L296="COUNTS",ISNUMBER(SEARCH("V1",P296)),ISNUMBER(SEARCH("V2",P296)),ISNUMBER(SEARCH("V5",P296))),"A — 100%","B — sample ≥ 30%")</f>
        <v/>
      </c>
      <c r="S296" s="67" t="n"/>
      <c r="T296" s="67" t="n"/>
      <c r="U296" s="67" t="n"/>
      <c r="V296" s="67" t="n"/>
      <c r="W296" s="67" t="n"/>
      <c r="X296" s="67" t="n"/>
    </row>
    <row r="297" ht="22.35" customHeight="1" s="45">
      <c r="A297" s="65" t="inlineStr">
        <is>
          <t>RBM-10</t>
        </is>
      </c>
      <c r="B297" s="66" t="inlineStr">
        <is>
          <t>Rules Service spec</t>
        </is>
      </c>
      <c r="C297" s="66" t="inlineStr">
        <is>
          <t>PROPOSED</t>
        </is>
      </c>
      <c r="D297" s="66" t="inlineStr">
        <is>
          <t>V3 — Record evidence</t>
        </is>
      </c>
      <c r="E297" s="66" t="n"/>
      <c r="F297" s="66" t="inlineStr">
        <is>
          <t>Ledger rows inspected; hash-chain verifier receipt; refused operations present on identical terms</t>
        </is>
      </c>
      <c r="G297" s="66" t="inlineStr">
        <is>
          <t>A — 100%</t>
        </is>
      </c>
      <c r="H297" s="67" t="n"/>
      <c r="I297" s="67" t="n"/>
      <c r="J297" s="67" t="n"/>
      <c r="K297" s="64">
        <f>IFERROR(INDEX('Status Map'!$B$2:$B$12,MATCH(C297,'Status Map'!$A$2:$A$12,0)),"UNDEFINED")</f>
        <v/>
      </c>
      <c r="L297" s="64">
        <f>IFERROR(INDEX('Status Map'!$C$2:$C$12,MATCH(C297,'Status Map'!$A$2:$A$12,0)),"UNDEFINED")</f>
        <v/>
      </c>
      <c r="M297" s="68" t="inlineStr">
        <is>
          <t>STATEMENT AS REGISTERED</t>
        </is>
      </c>
      <c r="N297" s="68" t="n"/>
      <c r="O297" s="68" t="n"/>
      <c r="P297" s="64">
        <f>IF(O297&lt;&gt;"",O297,LEFT(D297,2))</f>
        <v/>
      </c>
      <c r="Q297" s="64">
        <f>IF(O297&lt;&gt;"","Standards §6",IF(M297="HEADING ONLY","Derived from heading — PROVISIONAL",IF(M297="TEXT NOT IN REGISTRY","No text to derive from — PROVISIONAL","Derived from registered statement")))</f>
        <v/>
      </c>
      <c r="R297" s="64">
        <f>IF(OR(LEFT(G297,1)="A",L297="COUNTS",ISNUMBER(SEARCH("V1",P297)),ISNUMBER(SEARCH("V2",P297)),ISNUMBER(SEARCH("V5",P297))),"A — 100%","B — sample ≥ 30%")</f>
        <v/>
      </c>
      <c r="S297" s="67" t="n"/>
      <c r="T297" s="67" t="n"/>
      <c r="U297" s="67" t="n"/>
      <c r="V297" s="67" t="n"/>
      <c r="W297" s="67" t="n"/>
      <c r="X297" s="67" t="n"/>
    </row>
    <row r="298" ht="22.35" customHeight="1" s="45">
      <c r="A298" s="65" t="inlineStr">
        <is>
          <t>RBM-11</t>
        </is>
      </c>
      <c r="B298" s="66" t="inlineStr">
        <is>
          <t>Rules Service spec</t>
        </is>
      </c>
      <c r="C298" s="66" t="inlineStr">
        <is>
          <t>PROPOSED</t>
        </is>
      </c>
      <c r="D298" s="66" t="inlineStr">
        <is>
          <t>V7 — Document &amp; design inspection</t>
        </is>
      </c>
      <c r="E298" s="66" t="n"/>
      <c r="F298" s="66" t="inlineStr">
        <is>
          <t>Specification text against implementation description; provenance sections; objective card lines</t>
        </is>
      </c>
      <c r="G298" s="66" t="inlineStr">
        <is>
          <t>A — 100%</t>
        </is>
      </c>
      <c r="H298" s="67" t="n"/>
      <c r="I298" s="67" t="n"/>
      <c r="J298" s="67" t="n"/>
      <c r="K298" s="64">
        <f>IFERROR(INDEX('Status Map'!$B$2:$B$12,MATCH(C298,'Status Map'!$A$2:$A$12,0)),"UNDEFINED")</f>
        <v/>
      </c>
      <c r="L298" s="64">
        <f>IFERROR(INDEX('Status Map'!$C$2:$C$12,MATCH(C298,'Status Map'!$A$2:$A$12,0)),"UNDEFINED")</f>
        <v/>
      </c>
      <c r="M298" s="68" t="inlineStr">
        <is>
          <t>STATEMENT AS REGISTERED</t>
        </is>
      </c>
      <c r="N298" s="68" t="n"/>
      <c r="O298" s="68" t="n"/>
      <c r="P298" s="64">
        <f>IF(O298&lt;&gt;"",O298,LEFT(D298,2))</f>
        <v/>
      </c>
      <c r="Q298" s="64">
        <f>IF(O298&lt;&gt;"","Standards §6",IF(M298="HEADING ONLY","Derived from heading — PROVISIONAL",IF(M298="TEXT NOT IN REGISTRY","No text to derive from — PROVISIONAL","Derived from registered statement")))</f>
        <v/>
      </c>
      <c r="R298" s="64">
        <f>IF(OR(LEFT(G298,1)="A",L298="COUNTS",ISNUMBER(SEARCH("V1",P298)),ISNUMBER(SEARCH("V2",P298)),ISNUMBER(SEARCH("V5",P298))),"A — 100%","B — sample ≥ 30%")</f>
        <v/>
      </c>
      <c r="S298" s="67" t="n"/>
      <c r="T298" s="67" t="n"/>
      <c r="U298" s="67" t="n"/>
      <c r="V298" s="67" t="n"/>
      <c r="W298" s="67" t="n"/>
      <c r="X298" s="67" t="n"/>
    </row>
    <row r="299" ht="22.35" customHeight="1" s="45">
      <c r="A299" s="65" t="inlineStr">
        <is>
          <t>RBM-12</t>
        </is>
      </c>
      <c r="B299" s="66" t="inlineStr">
        <is>
          <t>Rules Service spec</t>
        </is>
      </c>
      <c r="C299" s="66" t="inlineStr">
        <is>
          <t>PROPOSED</t>
        </is>
      </c>
      <c r="D299" s="66" t="inlineStr">
        <is>
          <t>V4 — Governance-record evidence</t>
        </is>
      </c>
      <c r="E299" s="66" t="n"/>
      <c r="F299" s="66" t="inlineStr">
        <is>
          <t>DECISIONS.md entry; ceremony record with tier, countersign, countdown, apply, re-verify; canon_ref present</t>
        </is>
      </c>
      <c r="G299" s="66" t="inlineStr">
        <is>
          <t>A — 100%</t>
        </is>
      </c>
      <c r="H299" s="67" t="n"/>
      <c r="I299" s="67" t="n"/>
      <c r="J299" s="67" t="n"/>
      <c r="K299" s="64">
        <f>IFERROR(INDEX('Status Map'!$B$2:$B$12,MATCH(C299,'Status Map'!$A$2:$A$12,0)),"UNDEFINED")</f>
        <v/>
      </c>
      <c r="L299" s="64">
        <f>IFERROR(INDEX('Status Map'!$C$2:$C$12,MATCH(C299,'Status Map'!$A$2:$A$12,0)),"UNDEFINED")</f>
        <v/>
      </c>
      <c r="M299" s="68" t="inlineStr">
        <is>
          <t>STATEMENT AS REGISTERED</t>
        </is>
      </c>
      <c r="N299" s="68" t="n"/>
      <c r="O299" s="68" t="n"/>
      <c r="P299" s="64">
        <f>IF(O299&lt;&gt;"",O299,LEFT(D299,2))</f>
        <v/>
      </c>
      <c r="Q299" s="64">
        <f>IF(O299&lt;&gt;"","Standards §6",IF(M299="HEADING ONLY","Derived from heading — PROVISIONAL",IF(M299="TEXT NOT IN REGISTRY","No text to derive from — PROVISIONAL","Derived from registered statement")))</f>
        <v/>
      </c>
      <c r="R299" s="64">
        <f>IF(OR(LEFT(G299,1)="A",L299="COUNTS",ISNUMBER(SEARCH("V1",P299)),ISNUMBER(SEARCH("V2",P299)),ISNUMBER(SEARCH("V5",P299))),"A — 100%","B — sample ≥ 30%")</f>
        <v/>
      </c>
      <c r="S299" s="67" t="n"/>
      <c r="T299" s="67" t="n"/>
      <c r="U299" s="67" t="n"/>
      <c r="V299" s="67" t="n"/>
      <c r="W299" s="67" t="n"/>
      <c r="X299" s="67" t="n"/>
    </row>
    <row r="300" ht="22.35" customHeight="1" s="45">
      <c r="A300" s="65" t="inlineStr">
        <is>
          <t>RBM-13</t>
        </is>
      </c>
      <c r="B300" s="66" t="inlineStr">
        <is>
          <t>Rules Service spec</t>
        </is>
      </c>
      <c r="C300" s="66" t="inlineStr">
        <is>
          <t>PROPOSED</t>
        </is>
      </c>
      <c r="D300" s="66" t="inlineStr">
        <is>
          <t>V4 — Governance-record evidence</t>
        </is>
      </c>
      <c r="E300" s="66" t="n"/>
      <c r="F300" s="66" t="inlineStr">
        <is>
          <t>DECISIONS.md entry; ceremony record with tier, countersign, countdown, apply, re-verify; canon_ref present</t>
        </is>
      </c>
      <c r="G300" s="66" t="inlineStr">
        <is>
          <t>A — 100%</t>
        </is>
      </c>
      <c r="H300" s="67" t="n"/>
      <c r="I300" s="67" t="n"/>
      <c r="J300" s="67" t="n"/>
      <c r="K300" s="64">
        <f>IFERROR(INDEX('Status Map'!$B$2:$B$12,MATCH(C300,'Status Map'!$A$2:$A$12,0)),"UNDEFINED")</f>
        <v/>
      </c>
      <c r="L300" s="64">
        <f>IFERROR(INDEX('Status Map'!$C$2:$C$12,MATCH(C300,'Status Map'!$A$2:$A$12,0)),"UNDEFINED")</f>
        <v/>
      </c>
      <c r="M300" s="68" t="inlineStr">
        <is>
          <t>STATEMENT AS REGISTERED</t>
        </is>
      </c>
      <c r="N300" s="68" t="n"/>
      <c r="O300" s="68" t="n"/>
      <c r="P300" s="64">
        <f>IF(O300&lt;&gt;"",O300,LEFT(D300,2))</f>
        <v/>
      </c>
      <c r="Q300" s="64">
        <f>IF(O300&lt;&gt;"","Standards §6",IF(M300="HEADING ONLY","Derived from heading — PROVISIONAL",IF(M300="TEXT NOT IN REGISTRY","No text to derive from — PROVISIONAL","Derived from registered statement")))</f>
        <v/>
      </c>
      <c r="R300" s="64">
        <f>IF(OR(LEFT(G300,1)="A",L300="COUNTS",ISNUMBER(SEARCH("V1",P300)),ISNUMBER(SEARCH("V2",P300)),ISNUMBER(SEARCH("V5",P300))),"A — 100%","B — sample ≥ 30%")</f>
        <v/>
      </c>
      <c r="S300" s="67" t="n"/>
      <c r="T300" s="67" t="n"/>
      <c r="U300" s="67" t="n"/>
      <c r="V300" s="67" t="n"/>
      <c r="W300" s="67" t="n"/>
      <c r="X300" s="67" t="n"/>
    </row>
    <row r="301" ht="22.35" customHeight="1" s="45">
      <c r="A301" s="65" t="inlineStr">
        <is>
          <t>RBM-14</t>
        </is>
      </c>
      <c r="B301" s="66" t="inlineStr">
        <is>
          <t>Rules Service spec</t>
        </is>
      </c>
      <c r="C301" s="66" t="inlineStr">
        <is>
          <t>PROPOSED</t>
        </is>
      </c>
      <c r="D301" s="66" t="inlineStr">
        <is>
          <t>V7 — Document &amp; design inspection</t>
        </is>
      </c>
      <c r="E301" s="66" t="n"/>
      <c r="F301" s="66" t="inlineStr">
        <is>
          <t>Specification text against implementation description; provenance sections; objective card lines</t>
        </is>
      </c>
      <c r="G301" s="66" t="inlineStr">
        <is>
          <t>A — 100%</t>
        </is>
      </c>
      <c r="H301" s="67" t="n"/>
      <c r="I301" s="67" t="n"/>
      <c r="J301" s="67" t="n"/>
      <c r="K301" s="64">
        <f>IFERROR(INDEX('Status Map'!$B$2:$B$12,MATCH(C301,'Status Map'!$A$2:$A$12,0)),"UNDEFINED")</f>
        <v/>
      </c>
      <c r="L301" s="64">
        <f>IFERROR(INDEX('Status Map'!$C$2:$C$12,MATCH(C301,'Status Map'!$A$2:$A$12,0)),"UNDEFINED")</f>
        <v/>
      </c>
      <c r="M301" s="68" t="inlineStr">
        <is>
          <t>STATEMENT AS REGISTERED</t>
        </is>
      </c>
      <c r="N301" s="68" t="n"/>
      <c r="O301" s="68" t="n"/>
      <c r="P301" s="64">
        <f>IF(O301&lt;&gt;"",O301,LEFT(D301,2))</f>
        <v/>
      </c>
      <c r="Q301" s="64">
        <f>IF(O301&lt;&gt;"","Standards §6",IF(M301="HEADING ONLY","Derived from heading — PROVISIONAL",IF(M301="TEXT NOT IN REGISTRY","No text to derive from — PROVISIONAL","Derived from registered statement")))</f>
        <v/>
      </c>
      <c r="R301" s="64">
        <f>IF(OR(LEFT(G301,1)="A",L301="COUNTS",ISNUMBER(SEARCH("V1",P301)),ISNUMBER(SEARCH("V2",P301)),ISNUMBER(SEARCH("V5",P301))),"A — 100%","B — sample ≥ 30%")</f>
        <v/>
      </c>
      <c r="S301" s="67" t="n"/>
      <c r="T301" s="67" t="n"/>
      <c r="U301" s="67" t="n"/>
      <c r="V301" s="67" t="n"/>
      <c r="W301" s="67" t="n"/>
      <c r="X301" s="67" t="n"/>
    </row>
    <row r="302" ht="22.35" customHeight="1" s="45">
      <c r="A302" s="65" t="inlineStr">
        <is>
          <t>RBM-15</t>
        </is>
      </c>
      <c r="B302" s="66" t="inlineStr">
        <is>
          <t>Rules Service spec</t>
        </is>
      </c>
      <c r="C302" s="66" t="inlineStr">
        <is>
          <t>PROPOSED</t>
        </is>
      </c>
      <c r="D302" s="66" t="inlineStr">
        <is>
          <t>V4 — Governance-record evidence</t>
        </is>
      </c>
      <c r="E302" s="66" t="n"/>
      <c r="F302" s="66" t="inlineStr">
        <is>
          <t>DECISIONS.md entry; ceremony record with tier, countersign, countdown, apply, re-verify; canon_ref present</t>
        </is>
      </c>
      <c r="G302" s="66" t="inlineStr">
        <is>
          <t>A — 100%</t>
        </is>
      </c>
      <c r="H302" s="67" t="n"/>
      <c r="I302" s="67" t="n"/>
      <c r="J302" s="67" t="n"/>
      <c r="K302" s="64">
        <f>IFERROR(INDEX('Status Map'!$B$2:$B$12,MATCH(C302,'Status Map'!$A$2:$A$12,0)),"UNDEFINED")</f>
        <v/>
      </c>
      <c r="L302" s="64">
        <f>IFERROR(INDEX('Status Map'!$C$2:$C$12,MATCH(C302,'Status Map'!$A$2:$A$12,0)),"UNDEFINED")</f>
        <v/>
      </c>
      <c r="M302" s="68" t="inlineStr">
        <is>
          <t>STATEMENT AS REGISTERED</t>
        </is>
      </c>
      <c r="N302" s="68" t="n"/>
      <c r="O302" s="68" t="n"/>
      <c r="P302" s="64">
        <f>IF(O302&lt;&gt;"",O302,LEFT(D302,2))</f>
        <v/>
      </c>
      <c r="Q302" s="64">
        <f>IF(O302&lt;&gt;"","Standards §6",IF(M302="HEADING ONLY","Derived from heading — PROVISIONAL",IF(M302="TEXT NOT IN REGISTRY","No text to derive from — PROVISIONAL","Derived from registered statement")))</f>
        <v/>
      </c>
      <c r="R302" s="64">
        <f>IF(OR(LEFT(G302,1)="A",L302="COUNTS",ISNUMBER(SEARCH("V1",P302)),ISNUMBER(SEARCH("V2",P302)),ISNUMBER(SEARCH("V5",P302))),"A — 100%","B — sample ≥ 30%")</f>
        <v/>
      </c>
      <c r="S302" s="67" t="n"/>
      <c r="T302" s="67" t="n"/>
      <c r="U302" s="67" t="n"/>
      <c r="V302" s="67" t="n"/>
      <c r="W302" s="67" t="n"/>
      <c r="X302" s="67" t="n"/>
    </row>
    <row r="303" ht="22.35" customHeight="1" s="45">
      <c r="A303" s="65" t="inlineStr">
        <is>
          <t>RBM-16</t>
        </is>
      </c>
      <c r="B303" s="66" t="inlineStr">
        <is>
          <t>Rules Service spec</t>
        </is>
      </c>
      <c r="C303" s="66" t="inlineStr">
        <is>
          <t>PROPOSED</t>
        </is>
      </c>
      <c r="D303" s="66" t="inlineStr">
        <is>
          <t>V7 — Document &amp; design inspection</t>
        </is>
      </c>
      <c r="E303" s="66" t="n"/>
      <c r="F303" s="66" t="inlineStr">
        <is>
          <t>Specification text against implementation description; provenance sections; objective card lines</t>
        </is>
      </c>
      <c r="G303" s="66" t="inlineStr">
        <is>
          <t>A — 100%</t>
        </is>
      </c>
      <c r="H303" s="67" t="n"/>
      <c r="I303" s="67" t="n"/>
      <c r="J303" s="67" t="n"/>
      <c r="K303" s="64">
        <f>IFERROR(INDEX('Status Map'!$B$2:$B$12,MATCH(C303,'Status Map'!$A$2:$A$12,0)),"UNDEFINED")</f>
        <v/>
      </c>
      <c r="L303" s="64">
        <f>IFERROR(INDEX('Status Map'!$C$2:$C$12,MATCH(C303,'Status Map'!$A$2:$A$12,0)),"UNDEFINED")</f>
        <v/>
      </c>
      <c r="M303" s="68" t="inlineStr">
        <is>
          <t>STATEMENT AS REGISTERED</t>
        </is>
      </c>
      <c r="N303" s="68" t="n"/>
      <c r="O303" s="68" t="n"/>
      <c r="P303" s="64">
        <f>IF(O303&lt;&gt;"",O303,LEFT(D303,2))</f>
        <v/>
      </c>
      <c r="Q303" s="64">
        <f>IF(O303&lt;&gt;"","Standards §6",IF(M303="HEADING ONLY","Derived from heading — PROVISIONAL",IF(M303="TEXT NOT IN REGISTRY","No text to derive from — PROVISIONAL","Derived from registered statement")))</f>
        <v/>
      </c>
      <c r="R303" s="64">
        <f>IF(OR(LEFT(G303,1)="A",L303="COUNTS",ISNUMBER(SEARCH("V1",P303)),ISNUMBER(SEARCH("V2",P303)),ISNUMBER(SEARCH("V5",P303))),"A — 100%","B — sample ≥ 30%")</f>
        <v/>
      </c>
      <c r="S303" s="67" t="n"/>
      <c r="T303" s="67" t="n"/>
      <c r="U303" s="67" t="n"/>
      <c r="V303" s="67" t="n"/>
      <c r="W303" s="67" t="n"/>
      <c r="X303" s="67" t="n"/>
    </row>
    <row r="304" ht="22.35" customHeight="1" s="45">
      <c r="A304" s="65" t="inlineStr">
        <is>
          <t>RBM-17</t>
        </is>
      </c>
      <c r="B304" s="66" t="inlineStr">
        <is>
          <t>Rules Service spec</t>
        </is>
      </c>
      <c r="C304" s="66" t="inlineStr">
        <is>
          <t>PROPOSED</t>
        </is>
      </c>
      <c r="D304" s="66" t="inlineStr">
        <is>
          <t>V4 — Governance-record evidence</t>
        </is>
      </c>
      <c r="E304" s="66" t="n"/>
      <c r="F304" s="66" t="inlineStr">
        <is>
          <t>DECISIONS.md entry; ceremony record with tier, countersign, countdown, apply, re-verify; canon_ref present</t>
        </is>
      </c>
      <c r="G304" s="66" t="inlineStr">
        <is>
          <t>A — 100%</t>
        </is>
      </c>
      <c r="H304" s="67" t="n"/>
      <c r="I304" s="67" t="n"/>
      <c r="J304" s="67" t="n"/>
      <c r="K304" s="64">
        <f>IFERROR(INDEX('Status Map'!$B$2:$B$12,MATCH(C304,'Status Map'!$A$2:$A$12,0)),"UNDEFINED")</f>
        <v/>
      </c>
      <c r="L304" s="64">
        <f>IFERROR(INDEX('Status Map'!$C$2:$C$12,MATCH(C304,'Status Map'!$A$2:$A$12,0)),"UNDEFINED")</f>
        <v/>
      </c>
      <c r="M304" s="68" t="inlineStr">
        <is>
          <t>STATEMENT AS REGISTERED</t>
        </is>
      </c>
      <c r="N304" s="68" t="n"/>
      <c r="O304" s="68" t="n"/>
      <c r="P304" s="64">
        <f>IF(O304&lt;&gt;"",O304,LEFT(D304,2))</f>
        <v/>
      </c>
      <c r="Q304" s="64">
        <f>IF(O304&lt;&gt;"","Standards §6",IF(M304="HEADING ONLY","Derived from heading — PROVISIONAL",IF(M304="TEXT NOT IN REGISTRY","No text to derive from — PROVISIONAL","Derived from registered statement")))</f>
        <v/>
      </c>
      <c r="R304" s="64">
        <f>IF(OR(LEFT(G304,1)="A",L304="COUNTS",ISNUMBER(SEARCH("V1",P304)),ISNUMBER(SEARCH("V2",P304)),ISNUMBER(SEARCH("V5",P304))),"A — 100%","B — sample ≥ 30%")</f>
        <v/>
      </c>
      <c r="S304" s="67" t="n"/>
      <c r="T304" s="67" t="n"/>
      <c r="U304" s="67" t="n"/>
      <c r="V304" s="67" t="n"/>
      <c r="W304" s="67" t="n"/>
      <c r="X304" s="67" t="n"/>
    </row>
    <row r="305" ht="22.35" customHeight="1" s="45">
      <c r="A305" s="65" t="inlineStr">
        <is>
          <t>RBM-18</t>
        </is>
      </c>
      <c r="B305" s="66" t="inlineStr">
        <is>
          <t>Rules Service spec</t>
        </is>
      </c>
      <c r="C305" s="66" t="inlineStr">
        <is>
          <t>PROPOSED</t>
        </is>
      </c>
      <c r="D305" s="66" t="inlineStr">
        <is>
          <t>V3 — Record evidence</t>
        </is>
      </c>
      <c r="E305" s="66" t="n"/>
      <c r="F305" s="66" t="inlineStr">
        <is>
          <t>Ledger rows inspected; hash-chain verifier receipt; refused operations present on identical terms</t>
        </is>
      </c>
      <c r="G305" s="66" t="inlineStr">
        <is>
          <t>A — 100%</t>
        </is>
      </c>
      <c r="H305" s="67" t="n"/>
      <c r="I305" s="67" t="n"/>
      <c r="J305" s="67" t="n"/>
      <c r="K305" s="64">
        <f>IFERROR(INDEX('Status Map'!$B$2:$B$12,MATCH(C305,'Status Map'!$A$2:$A$12,0)),"UNDEFINED")</f>
        <v/>
      </c>
      <c r="L305" s="64">
        <f>IFERROR(INDEX('Status Map'!$C$2:$C$12,MATCH(C305,'Status Map'!$A$2:$A$12,0)),"UNDEFINED")</f>
        <v/>
      </c>
      <c r="M305" s="68" t="inlineStr">
        <is>
          <t>STATEMENT AS REGISTERED</t>
        </is>
      </c>
      <c r="N305" s="68" t="n"/>
      <c r="O305" s="68" t="n"/>
      <c r="P305" s="64">
        <f>IF(O305&lt;&gt;"",O305,LEFT(D305,2))</f>
        <v/>
      </c>
      <c r="Q305" s="64">
        <f>IF(O305&lt;&gt;"","Standards §6",IF(M305="HEADING ONLY","Derived from heading — PROVISIONAL",IF(M305="TEXT NOT IN REGISTRY","No text to derive from — PROVISIONAL","Derived from registered statement")))</f>
        <v/>
      </c>
      <c r="R305" s="64">
        <f>IF(OR(LEFT(G305,1)="A",L305="COUNTS",ISNUMBER(SEARCH("V1",P305)),ISNUMBER(SEARCH("V2",P305)),ISNUMBER(SEARCH("V5",P305))),"A — 100%","B — sample ≥ 30%")</f>
        <v/>
      </c>
      <c r="S305" s="67" t="n"/>
      <c r="T305" s="67" t="n"/>
      <c r="U305" s="67" t="n"/>
      <c r="V305" s="67" t="n"/>
      <c r="W305" s="67" t="n"/>
      <c r="X305" s="67" t="n"/>
    </row>
    <row r="306" ht="22.35" customHeight="1" s="45">
      <c r="A306" s="65" t="inlineStr">
        <is>
          <t>RBM-19</t>
        </is>
      </c>
      <c r="B306" s="66" t="inlineStr">
        <is>
          <t>Rules Service spec</t>
        </is>
      </c>
      <c r="C306" s="66" t="inlineStr">
        <is>
          <t>PROPOSED</t>
        </is>
      </c>
      <c r="D306" s="66" t="inlineStr">
        <is>
          <t>V7 — Document &amp; design inspection</t>
        </is>
      </c>
      <c r="E306" s="66" t="n"/>
      <c r="F306" s="66" t="inlineStr">
        <is>
          <t>Specification text against implementation description; provenance sections; objective card lines</t>
        </is>
      </c>
      <c r="G306" s="66" t="inlineStr">
        <is>
          <t>A — 100%</t>
        </is>
      </c>
      <c r="H306" s="67" t="n"/>
      <c r="I306" s="67" t="n"/>
      <c r="J306" s="67" t="n"/>
      <c r="K306" s="64">
        <f>IFERROR(INDEX('Status Map'!$B$2:$B$12,MATCH(C306,'Status Map'!$A$2:$A$12,0)),"UNDEFINED")</f>
        <v/>
      </c>
      <c r="L306" s="64">
        <f>IFERROR(INDEX('Status Map'!$C$2:$C$12,MATCH(C306,'Status Map'!$A$2:$A$12,0)),"UNDEFINED")</f>
        <v/>
      </c>
      <c r="M306" s="68" t="inlineStr">
        <is>
          <t>STATEMENT AS REGISTERED</t>
        </is>
      </c>
      <c r="N306" s="68" t="n"/>
      <c r="O306" s="68" t="n"/>
      <c r="P306" s="64">
        <f>IF(O306&lt;&gt;"",O306,LEFT(D306,2))</f>
        <v/>
      </c>
      <c r="Q306" s="64">
        <f>IF(O306&lt;&gt;"","Standards §6",IF(M306="HEADING ONLY","Derived from heading — PROVISIONAL",IF(M306="TEXT NOT IN REGISTRY","No text to derive from — PROVISIONAL","Derived from registered statement")))</f>
        <v/>
      </c>
      <c r="R306" s="64">
        <f>IF(OR(LEFT(G306,1)="A",L306="COUNTS",ISNUMBER(SEARCH("V1",P306)),ISNUMBER(SEARCH("V2",P306)),ISNUMBER(SEARCH("V5",P306))),"A — 100%","B — sample ≥ 30%")</f>
        <v/>
      </c>
      <c r="S306" s="67" t="n"/>
      <c r="T306" s="67" t="n"/>
      <c r="U306" s="67" t="n"/>
      <c r="V306" s="67" t="n"/>
      <c r="W306" s="67" t="n"/>
      <c r="X306" s="67" t="n"/>
    </row>
    <row r="307" ht="22.35" customHeight="1" s="45">
      <c r="A307" s="65" t="inlineStr">
        <is>
          <t>RBM-20</t>
        </is>
      </c>
      <c r="B307" s="66" t="inlineStr">
        <is>
          <t>Rules Service spec</t>
        </is>
      </c>
      <c r="C307" s="66" t="inlineStr">
        <is>
          <t>PROPOSED</t>
        </is>
      </c>
      <c r="D307" s="66" t="inlineStr">
        <is>
          <t>V7 — Document &amp; design inspection</t>
        </is>
      </c>
      <c r="E307" s="66" t="n"/>
      <c r="F307" s="66" t="inlineStr">
        <is>
          <t>Specification text against implementation description; provenance sections; objective card lines</t>
        </is>
      </c>
      <c r="G307" s="66" t="inlineStr">
        <is>
          <t>A — 100%</t>
        </is>
      </c>
      <c r="H307" s="67" t="n"/>
      <c r="I307" s="67" t="n"/>
      <c r="J307" s="67" t="n"/>
      <c r="K307" s="64">
        <f>IFERROR(INDEX('Status Map'!$B$2:$B$12,MATCH(C307,'Status Map'!$A$2:$A$12,0)),"UNDEFINED")</f>
        <v/>
      </c>
      <c r="L307" s="64">
        <f>IFERROR(INDEX('Status Map'!$C$2:$C$12,MATCH(C307,'Status Map'!$A$2:$A$12,0)),"UNDEFINED")</f>
        <v/>
      </c>
      <c r="M307" s="68" t="inlineStr">
        <is>
          <t>STATEMENT AS REGISTERED</t>
        </is>
      </c>
      <c r="N307" s="68" t="n"/>
      <c r="O307" s="68" t="n"/>
      <c r="P307" s="64">
        <f>IF(O307&lt;&gt;"",O307,LEFT(D307,2))</f>
        <v/>
      </c>
      <c r="Q307" s="64">
        <f>IF(O307&lt;&gt;"","Standards §6",IF(M307="HEADING ONLY","Derived from heading — PROVISIONAL",IF(M307="TEXT NOT IN REGISTRY","No text to derive from — PROVISIONAL","Derived from registered statement")))</f>
        <v/>
      </c>
      <c r="R307" s="64">
        <f>IF(OR(LEFT(G307,1)="A",L307="COUNTS",ISNUMBER(SEARCH("V1",P307)),ISNUMBER(SEARCH("V2",P307)),ISNUMBER(SEARCH("V5",P307))),"A — 100%","B — sample ≥ 30%")</f>
        <v/>
      </c>
      <c r="S307" s="67" t="n"/>
      <c r="T307" s="67" t="n"/>
      <c r="U307" s="67" t="n"/>
      <c r="V307" s="67" t="n"/>
      <c r="W307" s="67" t="n"/>
      <c r="X307" s="67" t="n"/>
    </row>
    <row r="308" ht="22.35" customHeight="1" s="45">
      <c r="A308" s="65" t="inlineStr">
        <is>
          <t>RBM-21</t>
        </is>
      </c>
      <c r="B308" s="66" t="inlineStr">
        <is>
          <t>Rules Service spec</t>
        </is>
      </c>
      <c r="C308" s="66" t="inlineStr">
        <is>
          <t>PROPOSED</t>
        </is>
      </c>
      <c r="D308" s="66" t="inlineStr">
        <is>
          <t>V2 — Structural evidence</t>
        </is>
      </c>
      <c r="E308" s="66" t="inlineStr">
        <is>
          <t>V4</t>
        </is>
      </c>
      <c r="F308" s="66" t="inlineStr">
        <is>
          <t>Negative-scan or AST rule present, named, and green in CI; scan surface stated</t>
        </is>
      </c>
      <c r="G308" s="66" t="inlineStr">
        <is>
          <t>A — 100%</t>
        </is>
      </c>
      <c r="H308" s="67" t="n"/>
      <c r="I308" s="67" t="n"/>
      <c r="J308" s="67" t="n"/>
      <c r="K308" s="64">
        <f>IFERROR(INDEX('Status Map'!$B$2:$B$12,MATCH(C308,'Status Map'!$A$2:$A$12,0)),"UNDEFINED")</f>
        <v/>
      </c>
      <c r="L308" s="64">
        <f>IFERROR(INDEX('Status Map'!$C$2:$C$12,MATCH(C308,'Status Map'!$A$2:$A$12,0)),"UNDEFINED")</f>
        <v/>
      </c>
      <c r="M308" s="68" t="inlineStr">
        <is>
          <t>STATEMENT AS REGISTERED</t>
        </is>
      </c>
      <c r="N308" s="68" t="n"/>
      <c r="O308" s="68" t="n"/>
      <c r="P308" s="64">
        <f>IF(O308&lt;&gt;"",O308,LEFT(D308,2))</f>
        <v/>
      </c>
      <c r="Q308" s="64">
        <f>IF(O308&lt;&gt;"","Standards §6",IF(M308="HEADING ONLY","Derived from heading — PROVISIONAL",IF(M308="TEXT NOT IN REGISTRY","No text to derive from — PROVISIONAL","Derived from registered statement")))</f>
        <v/>
      </c>
      <c r="R308" s="64">
        <f>IF(OR(LEFT(G308,1)="A",L308="COUNTS",ISNUMBER(SEARCH("V1",P308)),ISNUMBER(SEARCH("V2",P308)),ISNUMBER(SEARCH("V5",P308))),"A — 100%","B — sample ≥ 30%")</f>
        <v/>
      </c>
      <c r="S308" s="67" t="n"/>
      <c r="T308" s="67" t="n"/>
      <c r="U308" s="67" t="n"/>
      <c r="V308" s="67" t="n"/>
      <c r="W308" s="67" t="n"/>
      <c r="X308" s="67" t="n"/>
    </row>
    <row r="309" ht="22.35" customHeight="1" s="45">
      <c r="A309" s="65" t="inlineStr">
        <is>
          <t>RBM-22</t>
        </is>
      </c>
      <c r="B309" s="66" t="inlineStr">
        <is>
          <t>Rules Service spec</t>
        </is>
      </c>
      <c r="C309" s="66" t="inlineStr">
        <is>
          <t>PROPOSED</t>
        </is>
      </c>
      <c r="D309" s="66" t="inlineStr">
        <is>
          <t>V7 — Document &amp; design inspection</t>
        </is>
      </c>
      <c r="E309" s="66" t="n"/>
      <c r="F309" s="66" t="inlineStr">
        <is>
          <t>Specification text against implementation description; provenance sections; objective card lines</t>
        </is>
      </c>
      <c r="G309" s="66" t="inlineStr">
        <is>
          <t>A — 100%</t>
        </is>
      </c>
      <c r="H309" s="67" t="n"/>
      <c r="I309" s="67" t="n"/>
      <c r="J309" s="67" t="n"/>
      <c r="K309" s="64">
        <f>IFERROR(INDEX('Status Map'!$B$2:$B$12,MATCH(C309,'Status Map'!$A$2:$A$12,0)),"UNDEFINED")</f>
        <v/>
      </c>
      <c r="L309" s="64">
        <f>IFERROR(INDEX('Status Map'!$C$2:$C$12,MATCH(C309,'Status Map'!$A$2:$A$12,0)),"UNDEFINED")</f>
        <v/>
      </c>
      <c r="M309" s="68" t="inlineStr">
        <is>
          <t>STATEMENT AS REGISTERED</t>
        </is>
      </c>
      <c r="N309" s="68" t="n"/>
      <c r="O309" s="68" t="n"/>
      <c r="P309" s="64">
        <f>IF(O309&lt;&gt;"",O309,LEFT(D309,2))</f>
        <v/>
      </c>
      <c r="Q309" s="64">
        <f>IF(O309&lt;&gt;"","Standards §6",IF(M309="HEADING ONLY","Derived from heading — PROVISIONAL",IF(M309="TEXT NOT IN REGISTRY","No text to derive from — PROVISIONAL","Derived from registered statement")))</f>
        <v/>
      </c>
      <c r="R309" s="64">
        <f>IF(OR(LEFT(G309,1)="A",L309="COUNTS",ISNUMBER(SEARCH("V1",P309)),ISNUMBER(SEARCH("V2",P309)),ISNUMBER(SEARCH("V5",P309))),"A — 100%","B — sample ≥ 30%")</f>
        <v/>
      </c>
      <c r="S309" s="67" t="n"/>
      <c r="T309" s="67" t="n"/>
      <c r="U309" s="67" t="n"/>
      <c r="V309" s="67" t="n"/>
      <c r="W309" s="67" t="n"/>
      <c r="X309" s="67" t="n"/>
    </row>
    <row r="310" ht="22.35" customHeight="1" s="45">
      <c r="A310" s="65" t="inlineStr">
        <is>
          <t>I-1</t>
        </is>
      </c>
      <c r="B310" s="66" t="inlineStr">
        <is>
          <t>Rules Service spec</t>
        </is>
      </c>
      <c r="C310" s="66" t="inlineStr">
        <is>
          <t>PROPOSED</t>
        </is>
      </c>
      <c r="D310" s="66" t="inlineStr">
        <is>
          <t>V4 — Governance-record evidence</t>
        </is>
      </c>
      <c r="E310" s="66" t="n"/>
      <c r="F310" s="66" t="inlineStr">
        <is>
          <t>DECISIONS.md entry; ceremony record with tier, countersign, countdown, apply, re-verify; canon_ref present</t>
        </is>
      </c>
      <c r="G310" s="66" t="inlineStr">
        <is>
          <t>A — 100%</t>
        </is>
      </c>
      <c r="H310" s="67" t="n"/>
      <c r="I310" s="67" t="n"/>
      <c r="J310" s="67" t="n"/>
      <c r="K310" s="64">
        <f>IFERROR(INDEX('Status Map'!$B$2:$B$12,MATCH(C310,'Status Map'!$A$2:$A$12,0)),"UNDEFINED")</f>
        <v/>
      </c>
      <c r="L310" s="64">
        <f>IFERROR(INDEX('Status Map'!$C$2:$C$12,MATCH(C310,'Status Map'!$A$2:$A$12,0)),"UNDEFINED")</f>
        <v/>
      </c>
      <c r="M310" s="68" t="inlineStr">
        <is>
          <t>STATEMENT AS REGISTERED</t>
        </is>
      </c>
      <c r="N310" s="68" t="n"/>
      <c r="O310" s="68" t="n"/>
      <c r="P310" s="64">
        <f>IF(O310&lt;&gt;"",O310,LEFT(D310,2))</f>
        <v/>
      </c>
      <c r="Q310" s="64">
        <f>IF(O310&lt;&gt;"","Standards §6",IF(M310="HEADING ONLY","Derived from heading — PROVISIONAL",IF(M310="TEXT NOT IN REGISTRY","No text to derive from — PROVISIONAL","Derived from registered statement")))</f>
        <v/>
      </c>
      <c r="R310" s="64">
        <f>IF(OR(LEFT(G310,1)="A",L310="COUNTS",ISNUMBER(SEARCH("V1",P310)),ISNUMBER(SEARCH("V2",P310)),ISNUMBER(SEARCH("V5",P310))),"A — 100%","B — sample ≥ 30%")</f>
        <v/>
      </c>
      <c r="S310" s="67" t="n"/>
      <c r="T310" s="67" t="n"/>
      <c r="U310" s="67" t="n"/>
      <c r="V310" s="67" t="n"/>
      <c r="W310" s="67" t="n"/>
      <c r="X310" s="67" t="n"/>
    </row>
    <row r="311" ht="22.35" customHeight="1" s="45">
      <c r="A311" s="65" t="inlineStr">
        <is>
          <t>I-2</t>
        </is>
      </c>
      <c r="B311" s="66" t="inlineStr">
        <is>
          <t>Rules Service spec</t>
        </is>
      </c>
      <c r="C311" s="66" t="inlineStr">
        <is>
          <t>PROPOSED</t>
        </is>
      </c>
      <c r="D311" s="66" t="inlineStr">
        <is>
          <t>V7 — Document &amp; design inspection</t>
        </is>
      </c>
      <c r="E311" s="66" t="n"/>
      <c r="F311" s="66" t="inlineStr">
        <is>
          <t>Specification text against implementation description; provenance sections; objective card lines</t>
        </is>
      </c>
      <c r="G311" s="66" t="inlineStr">
        <is>
          <t>A — 100%</t>
        </is>
      </c>
      <c r="H311" s="67" t="n"/>
      <c r="I311" s="67" t="n"/>
      <c r="J311" s="67" t="n"/>
      <c r="K311" s="64">
        <f>IFERROR(INDEX('Status Map'!$B$2:$B$12,MATCH(C311,'Status Map'!$A$2:$A$12,0)),"UNDEFINED")</f>
        <v/>
      </c>
      <c r="L311" s="64">
        <f>IFERROR(INDEX('Status Map'!$C$2:$C$12,MATCH(C311,'Status Map'!$A$2:$A$12,0)),"UNDEFINED")</f>
        <v/>
      </c>
      <c r="M311" s="68" t="inlineStr">
        <is>
          <t>STATEMENT AS REGISTERED</t>
        </is>
      </c>
      <c r="N311" s="68" t="n"/>
      <c r="O311" s="68" t="n"/>
      <c r="P311" s="64">
        <f>IF(O311&lt;&gt;"",O311,LEFT(D311,2))</f>
        <v/>
      </c>
      <c r="Q311" s="64">
        <f>IF(O311&lt;&gt;"","Standards §6",IF(M311="HEADING ONLY","Derived from heading — PROVISIONAL",IF(M311="TEXT NOT IN REGISTRY","No text to derive from — PROVISIONAL","Derived from registered statement")))</f>
        <v/>
      </c>
      <c r="R311" s="64">
        <f>IF(OR(LEFT(G311,1)="A",L311="COUNTS",ISNUMBER(SEARCH("V1",P311)),ISNUMBER(SEARCH("V2",P311)),ISNUMBER(SEARCH("V5",P311))),"A — 100%","B — sample ≥ 30%")</f>
        <v/>
      </c>
      <c r="S311" s="67" t="n"/>
      <c r="T311" s="67" t="n"/>
      <c r="U311" s="67" t="n"/>
      <c r="V311" s="67" t="n"/>
      <c r="W311" s="67" t="n"/>
      <c r="X311" s="67" t="n"/>
    </row>
    <row r="312" ht="22.35" customHeight="1" s="45">
      <c r="A312" s="65" t="inlineStr">
        <is>
          <t>I-3</t>
        </is>
      </c>
      <c r="B312" s="66" t="inlineStr">
        <is>
          <t>Rules Service spec</t>
        </is>
      </c>
      <c r="C312" s="66" t="inlineStr">
        <is>
          <t>PROPOSED</t>
        </is>
      </c>
      <c r="D312" s="66" t="inlineStr">
        <is>
          <t>V7 — Document &amp; design inspection</t>
        </is>
      </c>
      <c r="E312" s="66" t="n"/>
      <c r="F312" s="66" t="inlineStr">
        <is>
          <t>Specification text against implementation description; provenance sections; objective card lines</t>
        </is>
      </c>
      <c r="G312" s="66" t="inlineStr">
        <is>
          <t>A — 100%</t>
        </is>
      </c>
      <c r="H312" s="67" t="n"/>
      <c r="I312" s="67" t="n"/>
      <c r="J312" s="67" t="n"/>
      <c r="K312" s="64">
        <f>IFERROR(INDEX('Status Map'!$B$2:$B$12,MATCH(C312,'Status Map'!$A$2:$A$12,0)),"UNDEFINED")</f>
        <v/>
      </c>
      <c r="L312" s="64">
        <f>IFERROR(INDEX('Status Map'!$C$2:$C$12,MATCH(C312,'Status Map'!$A$2:$A$12,0)),"UNDEFINED")</f>
        <v/>
      </c>
      <c r="M312" s="68" t="inlineStr">
        <is>
          <t>STATEMENT AS REGISTERED</t>
        </is>
      </c>
      <c r="N312" s="68" t="n"/>
      <c r="O312" s="68" t="n"/>
      <c r="P312" s="64">
        <f>IF(O312&lt;&gt;"",O312,LEFT(D312,2))</f>
        <v/>
      </c>
      <c r="Q312" s="64">
        <f>IF(O312&lt;&gt;"","Standards §6",IF(M312="HEADING ONLY","Derived from heading — PROVISIONAL",IF(M312="TEXT NOT IN REGISTRY","No text to derive from — PROVISIONAL","Derived from registered statement")))</f>
        <v/>
      </c>
      <c r="R312" s="64">
        <f>IF(OR(LEFT(G312,1)="A",L312="COUNTS",ISNUMBER(SEARCH("V1",P312)),ISNUMBER(SEARCH("V2",P312)),ISNUMBER(SEARCH("V5",P312))),"A — 100%","B — sample ≥ 30%")</f>
        <v/>
      </c>
      <c r="S312" s="67" t="n"/>
      <c r="T312" s="67" t="n"/>
      <c r="U312" s="67" t="n"/>
      <c r="V312" s="67" t="n"/>
      <c r="W312" s="67" t="n"/>
      <c r="X312" s="67" t="n"/>
    </row>
    <row r="313" ht="22.35" customHeight="1" s="45">
      <c r="A313" s="65" t="inlineStr">
        <is>
          <t>I-4</t>
        </is>
      </c>
      <c r="B313" s="66" t="inlineStr">
        <is>
          <t>Rules Service spec</t>
        </is>
      </c>
      <c r="C313" s="66" t="inlineStr">
        <is>
          <t>PROPOSED</t>
        </is>
      </c>
      <c r="D313" s="66" t="inlineStr">
        <is>
          <t>V3 — Record evidence</t>
        </is>
      </c>
      <c r="E313" s="66" t="n"/>
      <c r="F313" s="66" t="inlineStr">
        <is>
          <t>Ledger rows inspected; hash-chain verifier receipt; refused operations present on identical terms</t>
        </is>
      </c>
      <c r="G313" s="66" t="inlineStr">
        <is>
          <t>A — 100%</t>
        </is>
      </c>
      <c r="H313" s="67" t="n"/>
      <c r="I313" s="67" t="n"/>
      <c r="J313" s="67" t="n"/>
      <c r="K313" s="64">
        <f>IFERROR(INDEX('Status Map'!$B$2:$B$12,MATCH(C313,'Status Map'!$A$2:$A$12,0)),"UNDEFINED")</f>
        <v/>
      </c>
      <c r="L313" s="64">
        <f>IFERROR(INDEX('Status Map'!$C$2:$C$12,MATCH(C313,'Status Map'!$A$2:$A$12,0)),"UNDEFINED")</f>
        <v/>
      </c>
      <c r="M313" s="68" t="inlineStr">
        <is>
          <t>STATEMENT AS REGISTERED</t>
        </is>
      </c>
      <c r="N313" s="68" t="n"/>
      <c r="O313" s="68" t="n"/>
      <c r="P313" s="64">
        <f>IF(O313&lt;&gt;"",O313,LEFT(D313,2))</f>
        <v/>
      </c>
      <c r="Q313" s="64">
        <f>IF(O313&lt;&gt;"","Standards §6",IF(M313="HEADING ONLY","Derived from heading — PROVISIONAL",IF(M313="TEXT NOT IN REGISTRY","No text to derive from — PROVISIONAL","Derived from registered statement")))</f>
        <v/>
      </c>
      <c r="R313" s="64">
        <f>IF(OR(LEFT(G313,1)="A",L313="COUNTS",ISNUMBER(SEARCH("V1",P313)),ISNUMBER(SEARCH("V2",P313)),ISNUMBER(SEARCH("V5",P313))),"A — 100%","B — sample ≥ 30%")</f>
        <v/>
      </c>
      <c r="S313" s="67" t="n"/>
      <c r="T313" s="67" t="n"/>
      <c r="U313" s="67" t="n"/>
      <c r="V313" s="67" t="n"/>
      <c r="W313" s="67" t="n"/>
      <c r="X313" s="67" t="n"/>
    </row>
    <row r="314" ht="22.35" customHeight="1" s="45">
      <c r="A314" s="65" t="inlineStr">
        <is>
          <t>I-5</t>
        </is>
      </c>
      <c r="B314" s="66" t="inlineStr">
        <is>
          <t>Rules Service spec</t>
        </is>
      </c>
      <c r="C314" s="66" t="inlineStr">
        <is>
          <t>PROPOSED</t>
        </is>
      </c>
      <c r="D314" s="66" t="inlineStr">
        <is>
          <t>V7 — Document &amp; design inspection</t>
        </is>
      </c>
      <c r="E314" s="66" t="n"/>
      <c r="F314" s="66" t="inlineStr">
        <is>
          <t>Specification text against implementation description; provenance sections; objective card lines</t>
        </is>
      </c>
      <c r="G314" s="66" t="inlineStr">
        <is>
          <t>A — 100%</t>
        </is>
      </c>
      <c r="H314" s="67" t="n"/>
      <c r="I314" s="67" t="n"/>
      <c r="J314" s="67" t="n"/>
      <c r="K314" s="64">
        <f>IFERROR(INDEX('Status Map'!$B$2:$B$12,MATCH(C314,'Status Map'!$A$2:$A$12,0)),"UNDEFINED")</f>
        <v/>
      </c>
      <c r="L314" s="64">
        <f>IFERROR(INDEX('Status Map'!$C$2:$C$12,MATCH(C314,'Status Map'!$A$2:$A$12,0)),"UNDEFINED")</f>
        <v/>
      </c>
      <c r="M314" s="68" t="inlineStr">
        <is>
          <t>STATEMENT AS REGISTERED</t>
        </is>
      </c>
      <c r="N314" s="68" t="n"/>
      <c r="O314" s="68" t="n"/>
      <c r="P314" s="64">
        <f>IF(O314&lt;&gt;"",O314,LEFT(D314,2))</f>
        <v/>
      </c>
      <c r="Q314" s="64">
        <f>IF(O314&lt;&gt;"","Standards §6",IF(M314="HEADING ONLY","Derived from heading — PROVISIONAL",IF(M314="TEXT NOT IN REGISTRY","No text to derive from — PROVISIONAL","Derived from registered statement")))</f>
        <v/>
      </c>
      <c r="R314" s="64">
        <f>IF(OR(LEFT(G314,1)="A",L314="COUNTS",ISNUMBER(SEARCH("V1",P314)),ISNUMBER(SEARCH("V2",P314)),ISNUMBER(SEARCH("V5",P314))),"A — 100%","B — sample ≥ 30%")</f>
        <v/>
      </c>
      <c r="S314" s="67" t="n"/>
      <c r="T314" s="67" t="n"/>
      <c r="U314" s="67" t="n"/>
      <c r="V314" s="67" t="n"/>
      <c r="W314" s="67" t="n"/>
      <c r="X314" s="67" t="n"/>
    </row>
    <row r="315" ht="22.35" customHeight="1" s="45">
      <c r="A315" s="65" t="inlineStr">
        <is>
          <t>DAP-1</t>
        </is>
      </c>
      <c r="B315" s="66" t="inlineStr">
        <is>
          <t>DAP Backend spec</t>
        </is>
      </c>
      <c r="C315" s="66" t="inlineStr">
        <is>
          <t>PROPOSED</t>
        </is>
      </c>
      <c r="D315" s="66" t="inlineStr">
        <is>
          <t>V7 — Document &amp; design inspection</t>
        </is>
      </c>
      <c r="E315" s="66" t="n"/>
      <c r="F315" s="66" t="inlineStr">
        <is>
          <t>Specification text against implementation description; provenance sections; objective card lines</t>
        </is>
      </c>
      <c r="G315" s="66" t="inlineStr">
        <is>
          <t>B — sample ≥ 30%</t>
        </is>
      </c>
      <c r="H315" s="67" t="n"/>
      <c r="I315" s="67" t="n"/>
      <c r="J315" s="67" t="n"/>
      <c r="K315" s="64">
        <f>IFERROR(INDEX('Status Map'!$B$2:$B$12,MATCH(C315,'Status Map'!$A$2:$A$12,0)),"UNDEFINED")</f>
        <v/>
      </c>
      <c r="L315" s="64">
        <f>IFERROR(INDEX('Status Map'!$C$2:$C$12,MATCH(C315,'Status Map'!$A$2:$A$12,0)),"UNDEFINED")</f>
        <v/>
      </c>
      <c r="M315" s="68" t="inlineStr">
        <is>
          <t>STATEMENT AS REGISTERED</t>
        </is>
      </c>
      <c r="N315" s="68" t="n"/>
      <c r="O315" s="68" t="n"/>
      <c r="P315" s="64">
        <f>IF(O315&lt;&gt;"",O315,LEFT(D315,2))</f>
        <v/>
      </c>
      <c r="Q315" s="64">
        <f>IF(O315&lt;&gt;"","Standards §6",IF(M315="HEADING ONLY","Derived from heading — PROVISIONAL",IF(M315="TEXT NOT IN REGISTRY","No text to derive from — PROVISIONAL","Derived from registered statement")))</f>
        <v/>
      </c>
      <c r="R315" s="64">
        <f>IF(OR(LEFT(G315,1)="A",L315="COUNTS",ISNUMBER(SEARCH("V1",P315)),ISNUMBER(SEARCH("V2",P315)),ISNUMBER(SEARCH("V5",P315))),"A — 100%","B — sample ≥ 30%")</f>
        <v/>
      </c>
      <c r="S315" s="67" t="n"/>
      <c r="T315" s="67" t="n"/>
      <c r="U315" s="67" t="n"/>
      <c r="V315" s="67" t="n"/>
      <c r="W315" s="67" t="n"/>
      <c r="X315" s="67" t="n"/>
    </row>
    <row r="316" ht="22.35" customHeight="1" s="45">
      <c r="A316" s="65" t="inlineStr">
        <is>
          <t>DAP-2</t>
        </is>
      </c>
      <c r="B316" s="66" t="inlineStr">
        <is>
          <t>DAP Backend spec</t>
        </is>
      </c>
      <c r="C316" s="66" t="inlineStr">
        <is>
          <t>PROPOSED</t>
        </is>
      </c>
      <c r="D316" s="66" t="inlineStr">
        <is>
          <t>V1 — Test evidence</t>
        </is>
      </c>
      <c r="E316" s="66" t="n"/>
      <c r="F316" s="66" t="inlineStr">
        <is>
          <t>Golden-input, byte-identical output; RED-first test ID; ratchet manifest entry</t>
        </is>
      </c>
      <c r="G316" s="66" t="inlineStr">
        <is>
          <t>A — 100%</t>
        </is>
      </c>
      <c r="H316" s="67" t="n"/>
      <c r="I316" s="67" t="n"/>
      <c r="J316" s="67" t="n"/>
      <c r="K316" s="64">
        <f>IFERROR(INDEX('Status Map'!$B$2:$B$12,MATCH(C316,'Status Map'!$A$2:$A$12,0)),"UNDEFINED")</f>
        <v/>
      </c>
      <c r="L316" s="64">
        <f>IFERROR(INDEX('Status Map'!$C$2:$C$12,MATCH(C316,'Status Map'!$A$2:$A$12,0)),"UNDEFINED")</f>
        <v/>
      </c>
      <c r="M316" s="68" t="inlineStr">
        <is>
          <t>STATEMENT AS REGISTERED</t>
        </is>
      </c>
      <c r="N316" s="68" t="n"/>
      <c r="O316" s="68" t="n"/>
      <c r="P316" s="64">
        <f>IF(O316&lt;&gt;"",O316,LEFT(D316,2))</f>
        <v/>
      </c>
      <c r="Q316" s="64">
        <f>IF(O316&lt;&gt;"","Standards §6",IF(M316="HEADING ONLY","Derived from heading — PROVISIONAL",IF(M316="TEXT NOT IN REGISTRY","No text to derive from — PROVISIONAL","Derived from registered statement")))</f>
        <v/>
      </c>
      <c r="R316" s="64">
        <f>IF(OR(LEFT(G316,1)="A",L316="COUNTS",ISNUMBER(SEARCH("V1",P316)),ISNUMBER(SEARCH("V2",P316)),ISNUMBER(SEARCH("V5",P316))),"A — 100%","B — sample ≥ 30%")</f>
        <v/>
      </c>
      <c r="S316" s="67" t="n"/>
      <c r="T316" s="67" t="n"/>
      <c r="U316" s="67" t="n"/>
      <c r="V316" s="67" t="n"/>
      <c r="W316" s="67" t="n"/>
      <c r="X316" s="67" t="n"/>
    </row>
    <row r="317" ht="22.35" customHeight="1" s="45">
      <c r="A317" s="65" t="inlineStr">
        <is>
          <t>DAP-3</t>
        </is>
      </c>
      <c r="B317" s="66" t="inlineStr">
        <is>
          <t>DAP Backend spec</t>
        </is>
      </c>
      <c r="C317" s="66" t="inlineStr">
        <is>
          <t>PROPOSED</t>
        </is>
      </c>
      <c r="D317" s="66" t="inlineStr">
        <is>
          <t>V7 — Document &amp; design inspection</t>
        </is>
      </c>
      <c r="E317" s="66" t="n"/>
      <c r="F317" s="66" t="inlineStr">
        <is>
          <t>Specification text against implementation description; provenance sections; objective card lines</t>
        </is>
      </c>
      <c r="G317" s="66" t="inlineStr">
        <is>
          <t>B — sample ≥ 30%</t>
        </is>
      </c>
      <c r="H317" s="67" t="n"/>
      <c r="I317" s="67" t="n"/>
      <c r="J317" s="67" t="n"/>
      <c r="K317" s="64">
        <f>IFERROR(INDEX('Status Map'!$B$2:$B$12,MATCH(C317,'Status Map'!$A$2:$A$12,0)),"UNDEFINED")</f>
        <v/>
      </c>
      <c r="L317" s="64">
        <f>IFERROR(INDEX('Status Map'!$C$2:$C$12,MATCH(C317,'Status Map'!$A$2:$A$12,0)),"UNDEFINED")</f>
        <v/>
      </c>
      <c r="M317" s="68" t="inlineStr">
        <is>
          <t>STATEMENT AS REGISTERED</t>
        </is>
      </c>
      <c r="N317" s="68" t="n"/>
      <c r="O317" s="68" t="n"/>
      <c r="P317" s="64">
        <f>IF(O317&lt;&gt;"",O317,LEFT(D317,2))</f>
        <v/>
      </c>
      <c r="Q317" s="64">
        <f>IF(O317&lt;&gt;"","Standards §6",IF(M317="HEADING ONLY","Derived from heading — PROVISIONAL",IF(M317="TEXT NOT IN REGISTRY","No text to derive from — PROVISIONAL","Derived from registered statement")))</f>
        <v/>
      </c>
      <c r="R317" s="64">
        <f>IF(OR(LEFT(G317,1)="A",L317="COUNTS",ISNUMBER(SEARCH("V1",P317)),ISNUMBER(SEARCH("V2",P317)),ISNUMBER(SEARCH("V5",P317))),"A — 100%","B — sample ≥ 30%")</f>
        <v/>
      </c>
      <c r="S317" s="67" t="n"/>
      <c r="T317" s="67" t="n"/>
      <c r="U317" s="67" t="n"/>
      <c r="V317" s="67" t="n"/>
      <c r="W317" s="67" t="n"/>
      <c r="X317" s="67" t="n"/>
    </row>
    <row r="318" ht="22.35" customHeight="1" s="45">
      <c r="A318" s="65" t="inlineStr">
        <is>
          <t>DAP-4</t>
        </is>
      </c>
      <c r="B318" s="66" t="inlineStr">
        <is>
          <t>DAP Backend spec</t>
        </is>
      </c>
      <c r="C318" s="66" t="inlineStr">
        <is>
          <t>PROPOSED</t>
        </is>
      </c>
      <c r="D318" s="66" t="inlineStr">
        <is>
          <t>V7 — Document &amp; design inspection</t>
        </is>
      </c>
      <c r="E318" s="66" t="n"/>
      <c r="F318" s="66" t="inlineStr">
        <is>
          <t>Specification text against implementation description; provenance sections; objective card lines</t>
        </is>
      </c>
      <c r="G318" s="66" t="inlineStr">
        <is>
          <t>B — sample ≥ 30%</t>
        </is>
      </c>
      <c r="H318" s="67" t="n"/>
      <c r="I318" s="67" t="n"/>
      <c r="J318" s="67" t="n"/>
      <c r="K318" s="64">
        <f>IFERROR(INDEX('Status Map'!$B$2:$B$12,MATCH(C318,'Status Map'!$A$2:$A$12,0)),"UNDEFINED")</f>
        <v/>
      </c>
      <c r="L318" s="64">
        <f>IFERROR(INDEX('Status Map'!$C$2:$C$12,MATCH(C318,'Status Map'!$A$2:$A$12,0)),"UNDEFINED")</f>
        <v/>
      </c>
      <c r="M318" s="68" t="inlineStr">
        <is>
          <t>STATEMENT AS REGISTERED</t>
        </is>
      </c>
      <c r="N318" s="68" t="n"/>
      <c r="O318" s="68" t="n"/>
      <c r="P318" s="64">
        <f>IF(O318&lt;&gt;"",O318,LEFT(D318,2))</f>
        <v/>
      </c>
      <c r="Q318" s="64">
        <f>IF(O318&lt;&gt;"","Standards §6",IF(M318="HEADING ONLY","Derived from heading — PROVISIONAL",IF(M318="TEXT NOT IN REGISTRY","No text to derive from — PROVISIONAL","Derived from registered statement")))</f>
        <v/>
      </c>
      <c r="R318" s="64">
        <f>IF(OR(LEFT(G318,1)="A",L318="COUNTS",ISNUMBER(SEARCH("V1",P318)),ISNUMBER(SEARCH("V2",P318)),ISNUMBER(SEARCH("V5",P318))),"A — 100%","B — sample ≥ 30%")</f>
        <v/>
      </c>
      <c r="S318" s="67" t="n"/>
      <c r="T318" s="67" t="n"/>
      <c r="U318" s="67" t="n"/>
      <c r="V318" s="67" t="n"/>
      <c r="W318" s="67" t="n"/>
      <c r="X318" s="67" t="n"/>
    </row>
    <row r="319" ht="22.35" customHeight="1" s="45">
      <c r="A319" s="65" t="inlineStr">
        <is>
          <t>DAP-5</t>
        </is>
      </c>
      <c r="B319" s="66" t="inlineStr">
        <is>
          <t>DAP Backend spec</t>
        </is>
      </c>
      <c r="C319" s="66" t="inlineStr">
        <is>
          <t>PROPOSED</t>
        </is>
      </c>
      <c r="D319" s="66" t="inlineStr">
        <is>
          <t>V7 — Document &amp; design inspection</t>
        </is>
      </c>
      <c r="E319" s="66" t="n"/>
      <c r="F319" s="66" t="inlineStr">
        <is>
          <t>Specification text against implementation description; provenance sections; objective card lines</t>
        </is>
      </c>
      <c r="G319" s="66" t="inlineStr">
        <is>
          <t>B — sample ≥ 30%</t>
        </is>
      </c>
      <c r="H319" s="67" t="n"/>
      <c r="I319" s="67" t="n"/>
      <c r="J319" s="67" t="n"/>
      <c r="K319" s="64">
        <f>IFERROR(INDEX('Status Map'!$B$2:$B$12,MATCH(C319,'Status Map'!$A$2:$A$12,0)),"UNDEFINED")</f>
        <v/>
      </c>
      <c r="L319" s="64">
        <f>IFERROR(INDEX('Status Map'!$C$2:$C$12,MATCH(C319,'Status Map'!$A$2:$A$12,0)),"UNDEFINED")</f>
        <v/>
      </c>
      <c r="M319" s="68" t="inlineStr">
        <is>
          <t>STATEMENT AS REGISTERED</t>
        </is>
      </c>
      <c r="N319" s="68" t="n"/>
      <c r="O319" s="68" t="n"/>
      <c r="P319" s="64">
        <f>IF(O319&lt;&gt;"",O319,LEFT(D319,2))</f>
        <v/>
      </c>
      <c r="Q319" s="64">
        <f>IF(O319&lt;&gt;"","Standards §6",IF(M319="HEADING ONLY","Derived from heading — PROVISIONAL",IF(M319="TEXT NOT IN REGISTRY","No text to derive from — PROVISIONAL","Derived from registered statement")))</f>
        <v/>
      </c>
      <c r="R319" s="64">
        <f>IF(OR(LEFT(G319,1)="A",L319="COUNTS",ISNUMBER(SEARCH("V1",P319)),ISNUMBER(SEARCH("V2",P319)),ISNUMBER(SEARCH("V5",P319))),"A — 100%","B — sample ≥ 30%")</f>
        <v/>
      </c>
      <c r="S319" s="67" t="n"/>
      <c r="T319" s="67" t="n"/>
      <c r="U319" s="67" t="n"/>
      <c r="V319" s="67" t="n"/>
      <c r="W319" s="67" t="n"/>
      <c r="X319" s="67" t="n"/>
    </row>
    <row r="320" ht="22.35" customHeight="1" s="45">
      <c r="A320" s="65" t="inlineStr">
        <is>
          <t>DAP-6</t>
        </is>
      </c>
      <c r="B320" s="66" t="inlineStr">
        <is>
          <t>DAP Backend spec</t>
        </is>
      </c>
      <c r="C320" s="66" t="inlineStr">
        <is>
          <t>PROPOSED</t>
        </is>
      </c>
      <c r="D320" s="66" t="inlineStr">
        <is>
          <t>V7 — Document &amp; design inspection</t>
        </is>
      </c>
      <c r="E320" s="66" t="n"/>
      <c r="F320" s="66" t="inlineStr">
        <is>
          <t>Specification text against implementation description; provenance sections; objective card lines</t>
        </is>
      </c>
      <c r="G320" s="66" t="inlineStr">
        <is>
          <t>B — sample ≥ 30%</t>
        </is>
      </c>
      <c r="H320" s="67" t="n"/>
      <c r="I320" s="67" t="n"/>
      <c r="J320" s="67" t="n"/>
      <c r="K320" s="64">
        <f>IFERROR(INDEX('Status Map'!$B$2:$B$12,MATCH(C320,'Status Map'!$A$2:$A$12,0)),"UNDEFINED")</f>
        <v/>
      </c>
      <c r="L320" s="64">
        <f>IFERROR(INDEX('Status Map'!$C$2:$C$12,MATCH(C320,'Status Map'!$A$2:$A$12,0)),"UNDEFINED")</f>
        <v/>
      </c>
      <c r="M320" s="68" t="inlineStr">
        <is>
          <t>STATEMENT AS REGISTERED</t>
        </is>
      </c>
      <c r="N320" s="68" t="inlineStr">
        <is>
          <t>C-6.7.1, C-6.13.6</t>
        </is>
      </c>
      <c r="O320" s="68" t="inlineStr">
        <is>
          <t>V2 + V7</t>
        </is>
      </c>
      <c r="P320" s="64">
        <f>IF(O320&lt;&gt;"",O320,LEFT(D320,2))</f>
        <v/>
      </c>
      <c r="Q320" s="64">
        <f>IF(O320&lt;&gt;"","Standards §6",IF(M320="HEADING ONLY","Derived from heading — PROVISIONAL",IF(M320="TEXT NOT IN REGISTRY","No text to derive from — PROVISIONAL","Derived from registered statement")))</f>
        <v/>
      </c>
      <c r="R320" s="64">
        <f>IF(OR(LEFT(G320,1)="A",L320="COUNTS",ISNUMBER(SEARCH("V1",P320)),ISNUMBER(SEARCH("V2",P320)),ISNUMBER(SEARCH("V5",P320))),"A — 100%","B — sample ≥ 30%")</f>
        <v/>
      </c>
      <c r="S320" s="67" t="n"/>
      <c r="T320" s="67" t="n"/>
      <c r="U320" s="67" t="n"/>
      <c r="V320" s="67" t="n"/>
      <c r="W320" s="67" t="n"/>
      <c r="X320" s="67" t="n"/>
    </row>
    <row r="321" ht="22.35" customHeight="1" s="45">
      <c r="A321" s="65" t="inlineStr">
        <is>
          <t>DAP-7</t>
        </is>
      </c>
      <c r="B321" s="66" t="inlineStr">
        <is>
          <t>DAP Backend spec</t>
        </is>
      </c>
      <c r="C321" s="66" t="inlineStr">
        <is>
          <t>PROPOSED</t>
        </is>
      </c>
      <c r="D321" s="66" t="inlineStr">
        <is>
          <t>V7 — Document &amp; design inspection</t>
        </is>
      </c>
      <c r="E321" s="66" t="n"/>
      <c r="F321" s="66" t="inlineStr">
        <is>
          <t>Specification text against implementation description; provenance sections; objective card lines</t>
        </is>
      </c>
      <c r="G321" s="66" t="inlineStr">
        <is>
          <t>B — sample ≥ 30%</t>
        </is>
      </c>
      <c r="H321" s="67" t="n"/>
      <c r="I321" s="67" t="n"/>
      <c r="J321" s="67" t="n"/>
      <c r="K321" s="64">
        <f>IFERROR(INDEX('Status Map'!$B$2:$B$12,MATCH(C321,'Status Map'!$A$2:$A$12,0)),"UNDEFINED")</f>
        <v/>
      </c>
      <c r="L321" s="64">
        <f>IFERROR(INDEX('Status Map'!$C$2:$C$12,MATCH(C321,'Status Map'!$A$2:$A$12,0)),"UNDEFINED")</f>
        <v/>
      </c>
      <c r="M321" s="68" t="inlineStr">
        <is>
          <t>STATEMENT AS REGISTERED</t>
        </is>
      </c>
      <c r="N321" s="68" t="inlineStr">
        <is>
          <t>C-6.3.2, C-6.3.3, C-6.7.1</t>
        </is>
      </c>
      <c r="O321" s="68" t="inlineStr">
        <is>
          <t>V1 + V2 + V5 + V7</t>
        </is>
      </c>
      <c r="P321" s="64">
        <f>IF(O321&lt;&gt;"",O321,LEFT(D321,2))</f>
        <v/>
      </c>
      <c r="Q321" s="64">
        <f>IF(O321&lt;&gt;"","Standards §6",IF(M321="HEADING ONLY","Derived from heading — PROVISIONAL",IF(M321="TEXT NOT IN REGISTRY","No text to derive from — PROVISIONAL","Derived from registered statement")))</f>
        <v/>
      </c>
      <c r="R321" s="64">
        <f>IF(OR(LEFT(G321,1)="A",L321="COUNTS",ISNUMBER(SEARCH("V1",P321)),ISNUMBER(SEARCH("V2",P321)),ISNUMBER(SEARCH("V5",P321))),"A — 100%","B — sample ≥ 30%")</f>
        <v/>
      </c>
      <c r="S321" s="67" t="n"/>
      <c r="T321" s="67" t="n"/>
      <c r="U321" s="67" t="n"/>
      <c r="V321" s="67" t="n"/>
      <c r="W321" s="67" t="n"/>
      <c r="X321" s="67" t="n"/>
    </row>
    <row r="322" ht="22.35" customHeight="1" s="45">
      <c r="A322" s="65" t="inlineStr">
        <is>
          <t>DAP-8</t>
        </is>
      </c>
      <c r="B322" s="66" t="inlineStr">
        <is>
          <t>DAP Backend spec</t>
        </is>
      </c>
      <c r="C322" s="66" t="inlineStr">
        <is>
          <t>PROPOSED</t>
        </is>
      </c>
      <c r="D322" s="66" t="inlineStr">
        <is>
          <t>V3 — Record evidence</t>
        </is>
      </c>
      <c r="E322" s="66" t="n"/>
      <c r="F322" s="66" t="inlineStr">
        <is>
          <t>Ledger rows inspected; hash-chain verifier receipt; refused operations present on identical terms</t>
        </is>
      </c>
      <c r="G322" s="66" t="inlineStr">
        <is>
          <t>B — sample ≥ 30%</t>
        </is>
      </c>
      <c r="H322" s="67" t="n"/>
      <c r="I322" s="67" t="n"/>
      <c r="J322" s="67" t="n"/>
      <c r="K322" s="64">
        <f>IFERROR(INDEX('Status Map'!$B$2:$B$12,MATCH(C322,'Status Map'!$A$2:$A$12,0)),"UNDEFINED")</f>
        <v/>
      </c>
      <c r="L322" s="64">
        <f>IFERROR(INDEX('Status Map'!$C$2:$C$12,MATCH(C322,'Status Map'!$A$2:$A$12,0)),"UNDEFINED")</f>
        <v/>
      </c>
      <c r="M322" s="68" t="inlineStr">
        <is>
          <t>STATEMENT AS REGISTERED</t>
        </is>
      </c>
      <c r="N322" s="68" t="inlineStr">
        <is>
          <t>C-6.7.1</t>
        </is>
      </c>
      <c r="O322" s="68" t="inlineStr">
        <is>
          <t>V2 + V7</t>
        </is>
      </c>
      <c r="P322" s="64">
        <f>IF(O322&lt;&gt;"",O322,LEFT(D322,2))</f>
        <v/>
      </c>
      <c r="Q322" s="64">
        <f>IF(O322&lt;&gt;"","Standards §6",IF(M322="HEADING ONLY","Derived from heading — PROVISIONAL",IF(M322="TEXT NOT IN REGISTRY","No text to derive from — PROVISIONAL","Derived from registered statement")))</f>
        <v/>
      </c>
      <c r="R322" s="64">
        <f>IF(OR(LEFT(G322,1)="A",L322="COUNTS",ISNUMBER(SEARCH("V1",P322)),ISNUMBER(SEARCH("V2",P322)),ISNUMBER(SEARCH("V5",P322))),"A — 100%","B — sample ≥ 30%")</f>
        <v/>
      </c>
      <c r="S322" s="67" t="n"/>
      <c r="T322" s="67" t="n"/>
      <c r="U322" s="67" t="n"/>
      <c r="V322" s="67" t="n"/>
      <c r="W322" s="67" t="n"/>
      <c r="X322" s="67" t="n"/>
    </row>
    <row r="323" ht="22.35" customHeight="1" s="45">
      <c r="A323" s="65" t="inlineStr">
        <is>
          <t>DAP-9</t>
        </is>
      </c>
      <c r="B323" s="66" t="inlineStr">
        <is>
          <t>DAP Backend spec</t>
        </is>
      </c>
      <c r="C323" s="66" t="inlineStr">
        <is>
          <t>PROPOSED</t>
        </is>
      </c>
      <c r="D323" s="66" t="inlineStr">
        <is>
          <t>V7 — Document &amp; design inspection</t>
        </is>
      </c>
      <c r="E323" s="66" t="n"/>
      <c r="F323" s="66" t="inlineStr">
        <is>
          <t>Specification text against implementation description; provenance sections; objective card lines</t>
        </is>
      </c>
      <c r="G323" s="66" t="inlineStr">
        <is>
          <t>B — sample ≥ 30%</t>
        </is>
      </c>
      <c r="H323" s="67" t="n"/>
      <c r="I323" s="67" t="n"/>
      <c r="J323" s="67" t="n"/>
      <c r="K323" s="64">
        <f>IFERROR(INDEX('Status Map'!$B$2:$B$12,MATCH(C323,'Status Map'!$A$2:$A$12,0)),"UNDEFINED")</f>
        <v/>
      </c>
      <c r="L323" s="64">
        <f>IFERROR(INDEX('Status Map'!$C$2:$C$12,MATCH(C323,'Status Map'!$A$2:$A$12,0)),"UNDEFINED")</f>
        <v/>
      </c>
      <c r="M323" s="68" t="inlineStr">
        <is>
          <t>STATEMENT AS REGISTERED</t>
        </is>
      </c>
      <c r="N323" s="68" t="inlineStr">
        <is>
          <t>C-6.7.1</t>
        </is>
      </c>
      <c r="O323" s="68" t="inlineStr">
        <is>
          <t>V2 + V7</t>
        </is>
      </c>
      <c r="P323" s="64">
        <f>IF(O323&lt;&gt;"",O323,LEFT(D323,2))</f>
        <v/>
      </c>
      <c r="Q323" s="64">
        <f>IF(O323&lt;&gt;"","Standards §6",IF(M323="HEADING ONLY","Derived from heading — PROVISIONAL",IF(M323="TEXT NOT IN REGISTRY","No text to derive from — PROVISIONAL","Derived from registered statement")))</f>
        <v/>
      </c>
      <c r="R323" s="64">
        <f>IF(OR(LEFT(G323,1)="A",L323="COUNTS",ISNUMBER(SEARCH("V1",P323)),ISNUMBER(SEARCH("V2",P323)),ISNUMBER(SEARCH("V5",P323))),"A — 100%","B — sample ≥ 30%")</f>
        <v/>
      </c>
      <c r="S323" s="67" t="n"/>
      <c r="T323" s="67" t="n"/>
      <c r="U323" s="67" t="n"/>
      <c r="V323" s="67" t="n"/>
      <c r="W323" s="67" t="n"/>
      <c r="X323" s="67" t="n"/>
    </row>
    <row r="324" ht="22.35" customHeight="1" s="45">
      <c r="A324" s="65" t="inlineStr">
        <is>
          <t>DAP-10</t>
        </is>
      </c>
      <c r="B324" s="66" t="inlineStr">
        <is>
          <t>DAP Backend spec</t>
        </is>
      </c>
      <c r="C324" s="66" t="inlineStr">
        <is>
          <t>PROPOSED</t>
        </is>
      </c>
      <c r="D324" s="66" t="inlineStr">
        <is>
          <t>V1 — Test evidence</t>
        </is>
      </c>
      <c r="E324" s="66" t="n"/>
      <c r="F324" s="66" t="inlineStr">
        <is>
          <t>Golden-input, byte-identical output; RED-first test ID; ratchet manifest entry</t>
        </is>
      </c>
      <c r="G324" s="66" t="inlineStr">
        <is>
          <t>A — 100%</t>
        </is>
      </c>
      <c r="H324" s="67" t="n"/>
      <c r="I324" s="67" t="n"/>
      <c r="J324" s="67" t="n"/>
      <c r="K324" s="64">
        <f>IFERROR(INDEX('Status Map'!$B$2:$B$12,MATCH(C324,'Status Map'!$A$2:$A$12,0)),"UNDEFINED")</f>
        <v/>
      </c>
      <c r="L324" s="64">
        <f>IFERROR(INDEX('Status Map'!$C$2:$C$12,MATCH(C324,'Status Map'!$A$2:$A$12,0)),"UNDEFINED")</f>
        <v/>
      </c>
      <c r="M324" s="68" t="inlineStr">
        <is>
          <t>STATEMENT AS REGISTERED</t>
        </is>
      </c>
      <c r="N324" s="68" t="inlineStr">
        <is>
          <t>C-6.7.1</t>
        </is>
      </c>
      <c r="O324" s="68" t="inlineStr">
        <is>
          <t>V2 + V7</t>
        </is>
      </c>
      <c r="P324" s="64">
        <f>IF(O324&lt;&gt;"",O324,LEFT(D324,2))</f>
        <v/>
      </c>
      <c r="Q324" s="64">
        <f>IF(O324&lt;&gt;"","Standards §6",IF(M324="HEADING ONLY","Derived from heading — PROVISIONAL",IF(M324="TEXT NOT IN REGISTRY","No text to derive from — PROVISIONAL","Derived from registered statement")))</f>
        <v/>
      </c>
      <c r="R324" s="64">
        <f>IF(OR(LEFT(G324,1)="A",L324="COUNTS",ISNUMBER(SEARCH("V1",P324)),ISNUMBER(SEARCH("V2",P324)),ISNUMBER(SEARCH("V5",P324))),"A — 100%","B — sample ≥ 30%")</f>
        <v/>
      </c>
      <c r="S324" s="67" t="n"/>
      <c r="T324" s="67" t="n"/>
      <c r="U324" s="67" t="n"/>
      <c r="V324" s="67" t="n"/>
      <c r="W324" s="67" t="n"/>
      <c r="X324" s="67" t="n"/>
    </row>
    <row r="325" ht="22.35" customHeight="1" s="45">
      <c r="A325" s="65" t="inlineStr">
        <is>
          <t>DAP-11</t>
        </is>
      </c>
      <c r="B325" s="66" t="inlineStr">
        <is>
          <t>DAP Backend spec</t>
        </is>
      </c>
      <c r="C325" s="66" t="inlineStr">
        <is>
          <t>PROPOSED</t>
        </is>
      </c>
      <c r="D325" s="66" t="inlineStr">
        <is>
          <t>V7 — Document &amp; design inspection</t>
        </is>
      </c>
      <c r="E325" s="66" t="n"/>
      <c r="F325" s="66" t="inlineStr">
        <is>
          <t>Specification text against implementation description; provenance sections; objective card lines</t>
        </is>
      </c>
      <c r="G325" s="66" t="inlineStr">
        <is>
          <t>B — sample ≥ 30%</t>
        </is>
      </c>
      <c r="H325" s="67" t="n"/>
      <c r="I325" s="67" t="n"/>
      <c r="J325" s="67" t="n"/>
      <c r="K325" s="64">
        <f>IFERROR(INDEX('Status Map'!$B$2:$B$12,MATCH(C325,'Status Map'!$A$2:$A$12,0)),"UNDEFINED")</f>
        <v/>
      </c>
      <c r="L325" s="64">
        <f>IFERROR(INDEX('Status Map'!$C$2:$C$12,MATCH(C325,'Status Map'!$A$2:$A$12,0)),"UNDEFINED")</f>
        <v/>
      </c>
      <c r="M325" s="68" t="inlineStr">
        <is>
          <t>STATEMENT AS REGISTERED</t>
        </is>
      </c>
      <c r="N325" s="68" t="inlineStr">
        <is>
          <t>C-6.7.1, C-6.7.5, C-6.13.7</t>
        </is>
      </c>
      <c r="O325" s="68" t="inlineStr">
        <is>
          <t>V2 + V3 + V5 + V6 + V7</t>
        </is>
      </c>
      <c r="P325" s="64">
        <f>IF(O325&lt;&gt;"",O325,LEFT(D325,2))</f>
        <v/>
      </c>
      <c r="Q325" s="64">
        <f>IF(O325&lt;&gt;"","Standards §6",IF(M325="HEADING ONLY","Derived from heading — PROVISIONAL",IF(M325="TEXT NOT IN REGISTRY","No text to derive from — PROVISIONAL","Derived from registered statement")))</f>
        <v/>
      </c>
      <c r="R325" s="64">
        <f>IF(OR(LEFT(G325,1)="A",L325="COUNTS",ISNUMBER(SEARCH("V1",P325)),ISNUMBER(SEARCH("V2",P325)),ISNUMBER(SEARCH("V5",P325))),"A — 100%","B — sample ≥ 30%")</f>
        <v/>
      </c>
      <c r="S325" s="67" t="n"/>
      <c r="T325" s="67" t="n"/>
      <c r="U325" s="67" t="n"/>
      <c r="V325" s="67" t="n"/>
      <c r="W325" s="67" t="n"/>
      <c r="X325" s="67" t="n"/>
    </row>
    <row r="326" ht="22.35" customHeight="1" s="45">
      <c r="A326" s="65" t="inlineStr">
        <is>
          <t>DAP-12</t>
        </is>
      </c>
      <c r="B326" s="66" t="inlineStr">
        <is>
          <t>DAP Backend spec</t>
        </is>
      </c>
      <c r="C326" s="66" t="inlineStr">
        <is>
          <t>PROPOSED</t>
        </is>
      </c>
      <c r="D326" s="66" t="inlineStr">
        <is>
          <t>V7 — Document &amp; design inspection</t>
        </is>
      </c>
      <c r="E326" s="66" t="n"/>
      <c r="F326" s="66" t="inlineStr">
        <is>
          <t>Specification text against implementation description; provenance sections; objective card lines</t>
        </is>
      </c>
      <c r="G326" s="66" t="inlineStr">
        <is>
          <t>B — sample ≥ 30%</t>
        </is>
      </c>
      <c r="H326" s="67" t="n"/>
      <c r="I326" s="67" t="n"/>
      <c r="J326" s="67" t="n"/>
      <c r="K326" s="64">
        <f>IFERROR(INDEX('Status Map'!$B$2:$B$12,MATCH(C326,'Status Map'!$A$2:$A$12,0)),"UNDEFINED")</f>
        <v/>
      </c>
      <c r="L326" s="64">
        <f>IFERROR(INDEX('Status Map'!$C$2:$C$12,MATCH(C326,'Status Map'!$A$2:$A$12,0)),"UNDEFINED")</f>
        <v/>
      </c>
      <c r="M326" s="68" t="inlineStr">
        <is>
          <t>STATEMENT AS REGISTERED</t>
        </is>
      </c>
      <c r="N326" s="68" t="n"/>
      <c r="O326" s="68" t="n"/>
      <c r="P326" s="64">
        <f>IF(O326&lt;&gt;"",O326,LEFT(D326,2))</f>
        <v/>
      </c>
      <c r="Q326" s="64">
        <f>IF(O326&lt;&gt;"","Standards §6",IF(M326="HEADING ONLY","Derived from heading — PROVISIONAL",IF(M326="TEXT NOT IN REGISTRY","No text to derive from — PROVISIONAL","Derived from registered statement")))</f>
        <v/>
      </c>
      <c r="R326" s="64">
        <f>IF(OR(LEFT(G326,1)="A",L326="COUNTS",ISNUMBER(SEARCH("V1",P326)),ISNUMBER(SEARCH("V2",P326)),ISNUMBER(SEARCH("V5",P326))),"A — 100%","B — sample ≥ 30%")</f>
        <v/>
      </c>
      <c r="S326" s="67" t="n"/>
      <c r="T326" s="67" t="n"/>
      <c r="U326" s="67" t="n"/>
      <c r="V326" s="67" t="n"/>
      <c r="W326" s="67" t="n"/>
      <c r="X326" s="67" t="n"/>
    </row>
    <row r="327" ht="22.35" customHeight="1" s="45">
      <c r="A327" s="65" t="inlineStr">
        <is>
          <t>DAP-13</t>
        </is>
      </c>
      <c r="B327" s="66" t="inlineStr">
        <is>
          <t>DAP Backend spec</t>
        </is>
      </c>
      <c r="C327" s="66" t="inlineStr">
        <is>
          <t>PROPOSED</t>
        </is>
      </c>
      <c r="D327" s="66" t="inlineStr">
        <is>
          <t>V7 — Document &amp; design inspection</t>
        </is>
      </c>
      <c r="E327" s="66" t="n"/>
      <c r="F327" s="66" t="inlineStr">
        <is>
          <t>Specification text against implementation description; provenance sections; objective card lines</t>
        </is>
      </c>
      <c r="G327" s="66" t="inlineStr">
        <is>
          <t>B — sample ≥ 30%</t>
        </is>
      </c>
      <c r="H327" s="67" t="n"/>
      <c r="I327" s="67" t="n"/>
      <c r="J327" s="67" t="n"/>
      <c r="K327" s="64">
        <f>IFERROR(INDEX('Status Map'!$B$2:$B$12,MATCH(C327,'Status Map'!$A$2:$A$12,0)),"UNDEFINED")</f>
        <v/>
      </c>
      <c r="L327" s="64">
        <f>IFERROR(INDEX('Status Map'!$C$2:$C$12,MATCH(C327,'Status Map'!$A$2:$A$12,0)),"UNDEFINED")</f>
        <v/>
      </c>
      <c r="M327" s="68" t="inlineStr">
        <is>
          <t>STATEMENT AS REGISTERED</t>
        </is>
      </c>
      <c r="N327" s="68" t="n"/>
      <c r="O327" s="68" t="n"/>
      <c r="P327" s="64">
        <f>IF(O327&lt;&gt;"",O327,LEFT(D327,2))</f>
        <v/>
      </c>
      <c r="Q327" s="64">
        <f>IF(O327&lt;&gt;"","Standards §6",IF(M327="HEADING ONLY","Derived from heading — PROVISIONAL",IF(M327="TEXT NOT IN REGISTRY","No text to derive from — PROVISIONAL","Derived from registered statement")))</f>
        <v/>
      </c>
      <c r="R327" s="64">
        <f>IF(OR(LEFT(G327,1)="A",L327="COUNTS",ISNUMBER(SEARCH("V1",P327)),ISNUMBER(SEARCH("V2",P327)),ISNUMBER(SEARCH("V5",P327))),"A — 100%","B — sample ≥ 30%")</f>
        <v/>
      </c>
      <c r="S327" s="67" t="n"/>
      <c r="T327" s="67" t="n"/>
      <c r="U327" s="67" t="n"/>
      <c r="V327" s="67" t="n"/>
      <c r="W327" s="67" t="n"/>
      <c r="X327" s="67" t="n"/>
    </row>
    <row r="328" ht="22.35" customHeight="1" s="45">
      <c r="A328" s="65" t="inlineStr">
        <is>
          <t>DAP-14</t>
        </is>
      </c>
      <c r="B328" s="66" t="inlineStr">
        <is>
          <t>DAP Backend spec</t>
        </is>
      </c>
      <c r="C328" s="66" t="inlineStr">
        <is>
          <t>PROPOSED</t>
        </is>
      </c>
      <c r="D328" s="66" t="inlineStr">
        <is>
          <t>V7 — Document &amp; design inspection</t>
        </is>
      </c>
      <c r="E328" s="66" t="n"/>
      <c r="F328" s="66" t="inlineStr">
        <is>
          <t>Specification text against implementation description; provenance sections; objective card lines</t>
        </is>
      </c>
      <c r="G328" s="66" t="inlineStr">
        <is>
          <t>B — sample ≥ 30%</t>
        </is>
      </c>
      <c r="H328" s="67" t="n"/>
      <c r="I328" s="67" t="n"/>
      <c r="J328" s="67" t="n"/>
      <c r="K328" s="64">
        <f>IFERROR(INDEX('Status Map'!$B$2:$B$12,MATCH(C328,'Status Map'!$A$2:$A$12,0)),"UNDEFINED")</f>
        <v/>
      </c>
      <c r="L328" s="64">
        <f>IFERROR(INDEX('Status Map'!$C$2:$C$12,MATCH(C328,'Status Map'!$A$2:$A$12,0)),"UNDEFINED")</f>
        <v/>
      </c>
      <c r="M328" s="68" t="inlineStr">
        <is>
          <t>STATEMENT AS REGISTERED</t>
        </is>
      </c>
      <c r="N328" s="68" t="inlineStr">
        <is>
          <t>C-6.7.2, C-6.13.1</t>
        </is>
      </c>
      <c r="O328" s="68" t="inlineStr">
        <is>
          <t>V5 + V6</t>
        </is>
      </c>
      <c r="P328" s="64">
        <f>IF(O328&lt;&gt;"",O328,LEFT(D328,2))</f>
        <v/>
      </c>
      <c r="Q328" s="64">
        <f>IF(O328&lt;&gt;"","Standards §6",IF(M328="HEADING ONLY","Derived from heading — PROVISIONAL",IF(M328="TEXT NOT IN REGISTRY","No text to derive from — PROVISIONAL","Derived from registered statement")))</f>
        <v/>
      </c>
      <c r="R328" s="64">
        <f>IF(OR(LEFT(G328,1)="A",L328="COUNTS",ISNUMBER(SEARCH("V1",P328)),ISNUMBER(SEARCH("V2",P328)),ISNUMBER(SEARCH("V5",P328))),"A — 100%","B — sample ≥ 30%")</f>
        <v/>
      </c>
      <c r="S328" s="67" t="n"/>
      <c r="T328" s="67" t="n"/>
      <c r="U328" s="67" t="n"/>
      <c r="V328" s="67" t="n"/>
      <c r="W328" s="67" t="n"/>
      <c r="X328" s="67" t="n"/>
    </row>
    <row r="329" ht="22.35" customHeight="1" s="45">
      <c r="A329" s="65" t="inlineStr">
        <is>
          <t>DAP-15</t>
        </is>
      </c>
      <c r="B329" s="66" t="inlineStr">
        <is>
          <t>DAP Backend spec</t>
        </is>
      </c>
      <c r="C329" s="66" t="inlineStr">
        <is>
          <t>PROPOSED</t>
        </is>
      </c>
      <c r="D329" s="66" t="inlineStr">
        <is>
          <t>V3 — Record evidence</t>
        </is>
      </c>
      <c r="E329" s="66" t="n"/>
      <c r="F329" s="66" t="inlineStr">
        <is>
          <t>Ledger rows inspected; hash-chain verifier receipt; refused operations present on identical terms</t>
        </is>
      </c>
      <c r="G329" s="66" t="inlineStr">
        <is>
          <t>B — sample ≥ 30%</t>
        </is>
      </c>
      <c r="H329" s="67" t="n"/>
      <c r="I329" s="67" t="n"/>
      <c r="J329" s="67" t="n"/>
      <c r="K329" s="64">
        <f>IFERROR(INDEX('Status Map'!$B$2:$B$12,MATCH(C329,'Status Map'!$A$2:$A$12,0)),"UNDEFINED")</f>
        <v/>
      </c>
      <c r="L329" s="64">
        <f>IFERROR(INDEX('Status Map'!$C$2:$C$12,MATCH(C329,'Status Map'!$A$2:$A$12,0)),"UNDEFINED")</f>
        <v/>
      </c>
      <c r="M329" s="68" t="inlineStr">
        <is>
          <t>STATEMENT AS REGISTERED</t>
        </is>
      </c>
      <c r="N329" s="68" t="inlineStr">
        <is>
          <t>C-6.5.3, C-6.7.3, C-6.7.4, C-6.13.2</t>
        </is>
      </c>
      <c r="O329" s="68" t="inlineStr">
        <is>
          <t>V1 + V3 + V6</t>
        </is>
      </c>
      <c r="P329" s="64">
        <f>IF(O329&lt;&gt;"",O329,LEFT(D329,2))</f>
        <v/>
      </c>
      <c r="Q329" s="64">
        <f>IF(O329&lt;&gt;"","Standards §6",IF(M329="HEADING ONLY","Derived from heading — PROVISIONAL",IF(M329="TEXT NOT IN REGISTRY","No text to derive from — PROVISIONAL","Derived from registered statement")))</f>
        <v/>
      </c>
      <c r="R329" s="64">
        <f>IF(OR(LEFT(G329,1)="A",L329="COUNTS",ISNUMBER(SEARCH("V1",P329)),ISNUMBER(SEARCH("V2",P329)),ISNUMBER(SEARCH("V5",P329))),"A — 100%","B — sample ≥ 30%")</f>
        <v/>
      </c>
      <c r="S329" s="67" t="n"/>
      <c r="T329" s="67" t="n"/>
      <c r="U329" s="67" t="n"/>
      <c r="V329" s="67" t="n"/>
      <c r="W329" s="67" t="n"/>
      <c r="X329" s="67" t="n"/>
    </row>
    <row r="330" ht="22.35" customHeight="1" s="45">
      <c r="A330" s="65" t="inlineStr">
        <is>
          <t>DAP-16</t>
        </is>
      </c>
      <c r="B330" s="66" t="inlineStr">
        <is>
          <t>DAP Backend spec</t>
        </is>
      </c>
      <c r="C330" s="66" t="inlineStr">
        <is>
          <t>PROPOSED</t>
        </is>
      </c>
      <c r="D330" s="66" t="inlineStr">
        <is>
          <t>V7 — Document &amp; design inspection</t>
        </is>
      </c>
      <c r="E330" s="66" t="n"/>
      <c r="F330" s="66" t="inlineStr">
        <is>
          <t>Specification text against implementation description; provenance sections; objective card lines</t>
        </is>
      </c>
      <c r="G330" s="66" t="inlineStr">
        <is>
          <t>B — sample ≥ 30%</t>
        </is>
      </c>
      <c r="H330" s="67" t="n"/>
      <c r="I330" s="67" t="n"/>
      <c r="J330" s="67" t="n"/>
      <c r="K330" s="64">
        <f>IFERROR(INDEX('Status Map'!$B$2:$B$12,MATCH(C330,'Status Map'!$A$2:$A$12,0)),"UNDEFINED")</f>
        <v/>
      </c>
      <c r="L330" s="64">
        <f>IFERROR(INDEX('Status Map'!$C$2:$C$12,MATCH(C330,'Status Map'!$A$2:$A$12,0)),"UNDEFINED")</f>
        <v/>
      </c>
      <c r="M330" s="68" t="inlineStr">
        <is>
          <t>STATEMENT AS REGISTERED</t>
        </is>
      </c>
      <c r="N330" s="68" t="n"/>
      <c r="O330" s="68" t="n"/>
      <c r="P330" s="64">
        <f>IF(O330&lt;&gt;"",O330,LEFT(D330,2))</f>
        <v/>
      </c>
      <c r="Q330" s="64">
        <f>IF(O330&lt;&gt;"","Standards §6",IF(M330="HEADING ONLY","Derived from heading — PROVISIONAL",IF(M330="TEXT NOT IN REGISTRY","No text to derive from — PROVISIONAL","Derived from registered statement")))</f>
        <v/>
      </c>
      <c r="R330" s="64">
        <f>IF(OR(LEFT(G330,1)="A",L330="COUNTS",ISNUMBER(SEARCH("V1",P330)),ISNUMBER(SEARCH("V2",P330)),ISNUMBER(SEARCH("V5",P330))),"A — 100%","B — sample ≥ 30%")</f>
        <v/>
      </c>
      <c r="S330" s="67" t="n"/>
      <c r="T330" s="67" t="n"/>
      <c r="U330" s="67" t="n"/>
      <c r="V330" s="67" t="n"/>
      <c r="W330" s="67" t="n"/>
      <c r="X330" s="67" t="n"/>
    </row>
    <row r="331" ht="22.35" customHeight="1" s="45">
      <c r="A331" s="65" t="inlineStr">
        <is>
          <t>DAP-17</t>
        </is>
      </c>
      <c r="B331" s="66" t="inlineStr">
        <is>
          <t>DAP Backend spec</t>
        </is>
      </c>
      <c r="C331" s="66" t="inlineStr">
        <is>
          <t>PROPOSED</t>
        </is>
      </c>
      <c r="D331" s="66" t="inlineStr">
        <is>
          <t>V7 — Document &amp; design inspection</t>
        </is>
      </c>
      <c r="E331" s="66" t="n"/>
      <c r="F331" s="66" t="inlineStr">
        <is>
          <t>Specification text against implementation description; provenance sections; objective card lines</t>
        </is>
      </c>
      <c r="G331" s="66" t="inlineStr">
        <is>
          <t>B — sample ≥ 30%</t>
        </is>
      </c>
      <c r="H331" s="67" t="n"/>
      <c r="I331" s="67" t="n"/>
      <c r="J331" s="67" t="n"/>
      <c r="K331" s="64">
        <f>IFERROR(INDEX('Status Map'!$B$2:$B$12,MATCH(C331,'Status Map'!$A$2:$A$12,0)),"UNDEFINED")</f>
        <v/>
      </c>
      <c r="L331" s="64">
        <f>IFERROR(INDEX('Status Map'!$C$2:$C$12,MATCH(C331,'Status Map'!$A$2:$A$12,0)),"UNDEFINED")</f>
        <v/>
      </c>
      <c r="M331" s="68" t="inlineStr">
        <is>
          <t>STATEMENT AS REGISTERED</t>
        </is>
      </c>
      <c r="N331" s="68" t="n"/>
      <c r="O331" s="68" t="n"/>
      <c r="P331" s="64">
        <f>IF(O331&lt;&gt;"",O331,LEFT(D331,2))</f>
        <v/>
      </c>
      <c r="Q331" s="64">
        <f>IF(O331&lt;&gt;"","Standards §6",IF(M331="HEADING ONLY","Derived from heading — PROVISIONAL",IF(M331="TEXT NOT IN REGISTRY","No text to derive from — PROVISIONAL","Derived from registered statement")))</f>
        <v/>
      </c>
      <c r="R331" s="64">
        <f>IF(OR(LEFT(G331,1)="A",L331="COUNTS",ISNUMBER(SEARCH("V1",P331)),ISNUMBER(SEARCH("V2",P331)),ISNUMBER(SEARCH("V5",P331))),"A — 100%","B — sample ≥ 30%")</f>
        <v/>
      </c>
      <c r="S331" s="67" t="n"/>
      <c r="T331" s="67" t="n"/>
      <c r="U331" s="67" t="n"/>
      <c r="V331" s="67" t="n"/>
      <c r="W331" s="67" t="n"/>
      <c r="X331" s="67" t="n"/>
    </row>
    <row r="332" ht="22.35" customHeight="1" s="45">
      <c r="A332" s="65" t="inlineStr">
        <is>
          <t>DAP-18</t>
        </is>
      </c>
      <c r="B332" s="66" t="inlineStr">
        <is>
          <t>DAP Backend spec</t>
        </is>
      </c>
      <c r="C332" s="66" t="inlineStr">
        <is>
          <t>PROPOSED</t>
        </is>
      </c>
      <c r="D332" s="66" t="inlineStr">
        <is>
          <t>V7 — Document &amp; design inspection</t>
        </is>
      </c>
      <c r="E332" s="66" t="n"/>
      <c r="F332" s="66" t="inlineStr">
        <is>
          <t>Specification text against implementation description; provenance sections; objective card lines</t>
        </is>
      </c>
      <c r="G332" s="66" t="inlineStr">
        <is>
          <t>B — sample ≥ 30%</t>
        </is>
      </c>
      <c r="H332" s="67" t="n"/>
      <c r="I332" s="67" t="n"/>
      <c r="J332" s="67" t="n"/>
      <c r="K332" s="64">
        <f>IFERROR(INDEX('Status Map'!$B$2:$B$12,MATCH(C332,'Status Map'!$A$2:$A$12,0)),"UNDEFINED")</f>
        <v/>
      </c>
      <c r="L332" s="64">
        <f>IFERROR(INDEX('Status Map'!$C$2:$C$12,MATCH(C332,'Status Map'!$A$2:$A$12,0)),"UNDEFINED")</f>
        <v/>
      </c>
      <c r="M332" s="68" t="inlineStr">
        <is>
          <t>STATEMENT AS REGISTERED</t>
        </is>
      </c>
      <c r="N332" s="68" t="n"/>
      <c r="O332" s="68" t="n"/>
      <c r="P332" s="64">
        <f>IF(O332&lt;&gt;"",O332,LEFT(D332,2))</f>
        <v/>
      </c>
      <c r="Q332" s="64">
        <f>IF(O332&lt;&gt;"","Standards §6",IF(M332="HEADING ONLY","Derived from heading — PROVISIONAL",IF(M332="TEXT NOT IN REGISTRY","No text to derive from — PROVISIONAL","Derived from registered statement")))</f>
        <v/>
      </c>
      <c r="R332" s="64">
        <f>IF(OR(LEFT(G332,1)="A",L332="COUNTS",ISNUMBER(SEARCH("V1",P332)),ISNUMBER(SEARCH("V2",P332)),ISNUMBER(SEARCH("V5",P332))),"A — 100%","B — sample ≥ 30%")</f>
        <v/>
      </c>
      <c r="S332" s="67" t="n"/>
      <c r="T332" s="67" t="n"/>
      <c r="U332" s="67" t="n"/>
      <c r="V332" s="67" t="n"/>
      <c r="W332" s="67" t="n"/>
      <c r="X332" s="67" t="n"/>
    </row>
    <row r="333" ht="22.35" customHeight="1" s="45">
      <c r="A333" s="65" t="inlineStr">
        <is>
          <t>DAP-19</t>
        </is>
      </c>
      <c r="B333" s="66" t="inlineStr">
        <is>
          <t>DAP Backend spec</t>
        </is>
      </c>
      <c r="C333" s="66" t="inlineStr">
        <is>
          <t>PROPOSED</t>
        </is>
      </c>
      <c r="D333" s="66" t="inlineStr">
        <is>
          <t>V7 — Document &amp; design inspection</t>
        </is>
      </c>
      <c r="E333" s="66" t="n"/>
      <c r="F333" s="66" t="inlineStr">
        <is>
          <t>Specification text against implementation description; provenance sections; objective card lines</t>
        </is>
      </c>
      <c r="G333" s="66" t="inlineStr">
        <is>
          <t>B — sample ≥ 30%</t>
        </is>
      </c>
      <c r="H333" s="67" t="n"/>
      <c r="I333" s="67" t="n"/>
      <c r="J333" s="67" t="n"/>
      <c r="K333" s="64">
        <f>IFERROR(INDEX('Status Map'!$B$2:$B$12,MATCH(C333,'Status Map'!$A$2:$A$12,0)),"UNDEFINED")</f>
        <v/>
      </c>
      <c r="L333" s="64">
        <f>IFERROR(INDEX('Status Map'!$C$2:$C$12,MATCH(C333,'Status Map'!$A$2:$A$12,0)),"UNDEFINED")</f>
        <v/>
      </c>
      <c r="M333" s="68" t="inlineStr">
        <is>
          <t>STATEMENT AS REGISTERED</t>
        </is>
      </c>
      <c r="N333" s="68" t="n"/>
      <c r="O333" s="68" t="n"/>
      <c r="P333" s="64">
        <f>IF(O333&lt;&gt;"",O333,LEFT(D333,2))</f>
        <v/>
      </c>
      <c r="Q333" s="64">
        <f>IF(O333&lt;&gt;"","Standards §6",IF(M333="HEADING ONLY","Derived from heading — PROVISIONAL",IF(M333="TEXT NOT IN REGISTRY","No text to derive from — PROVISIONAL","Derived from registered statement")))</f>
        <v/>
      </c>
      <c r="R333" s="64">
        <f>IF(OR(LEFT(G333,1)="A",L333="COUNTS",ISNUMBER(SEARCH("V1",P333)),ISNUMBER(SEARCH("V2",P333)),ISNUMBER(SEARCH("V5",P333))),"A — 100%","B — sample ≥ 30%")</f>
        <v/>
      </c>
      <c r="S333" s="67" t="n"/>
      <c r="T333" s="67" t="n"/>
      <c r="U333" s="67" t="n"/>
      <c r="V333" s="67" t="n"/>
      <c r="W333" s="67" t="n"/>
      <c r="X333" s="67" t="n"/>
    </row>
    <row r="334" ht="22.35" customHeight="1" s="45">
      <c r="A334" s="65" t="inlineStr">
        <is>
          <t>DAP-20</t>
        </is>
      </c>
      <c r="B334" s="66" t="inlineStr">
        <is>
          <t>DAP Backend spec</t>
        </is>
      </c>
      <c r="C334" s="66" t="inlineStr">
        <is>
          <t>PROPOSED</t>
        </is>
      </c>
      <c r="D334" s="66" t="inlineStr">
        <is>
          <t>V7 — Document &amp; design inspection</t>
        </is>
      </c>
      <c r="E334" s="66" t="n"/>
      <c r="F334" s="66" t="inlineStr">
        <is>
          <t>Specification text against implementation description; provenance sections; objective card lines</t>
        </is>
      </c>
      <c r="G334" s="66" t="inlineStr">
        <is>
          <t>B — sample ≥ 30%</t>
        </is>
      </c>
      <c r="H334" s="67" t="n"/>
      <c r="I334" s="67" t="n"/>
      <c r="J334" s="67" t="n"/>
      <c r="K334" s="64">
        <f>IFERROR(INDEX('Status Map'!$B$2:$B$12,MATCH(C334,'Status Map'!$A$2:$A$12,0)),"UNDEFINED")</f>
        <v/>
      </c>
      <c r="L334" s="64">
        <f>IFERROR(INDEX('Status Map'!$C$2:$C$12,MATCH(C334,'Status Map'!$A$2:$A$12,0)),"UNDEFINED")</f>
        <v/>
      </c>
      <c r="M334" s="68" t="inlineStr">
        <is>
          <t>STATEMENT AS REGISTERED</t>
        </is>
      </c>
      <c r="N334" s="68" t="inlineStr">
        <is>
          <t>C-6.13.3</t>
        </is>
      </c>
      <c r="O334" s="68" t="inlineStr">
        <is>
          <t>V2</t>
        </is>
      </c>
      <c r="P334" s="64">
        <f>IF(O334&lt;&gt;"",O334,LEFT(D334,2))</f>
        <v/>
      </c>
      <c r="Q334" s="64">
        <f>IF(O334&lt;&gt;"","Standards §6",IF(M334="HEADING ONLY","Derived from heading — PROVISIONAL",IF(M334="TEXT NOT IN REGISTRY","No text to derive from — PROVISIONAL","Derived from registered statement")))</f>
        <v/>
      </c>
      <c r="R334" s="64">
        <f>IF(OR(LEFT(G334,1)="A",L334="COUNTS",ISNUMBER(SEARCH("V1",P334)),ISNUMBER(SEARCH("V2",P334)),ISNUMBER(SEARCH("V5",P334))),"A — 100%","B — sample ≥ 30%")</f>
        <v/>
      </c>
      <c r="S334" s="67" t="n"/>
      <c r="T334" s="67" t="n"/>
      <c r="U334" s="67" t="n"/>
      <c r="V334" s="67" t="n"/>
      <c r="W334" s="67" t="n"/>
      <c r="X334" s="67" t="n"/>
    </row>
    <row r="335" ht="22.35" customHeight="1" s="45">
      <c r="A335" s="65" t="inlineStr">
        <is>
          <t>DAP-21</t>
        </is>
      </c>
      <c r="B335" s="66" t="inlineStr">
        <is>
          <t>DAP Backend spec</t>
        </is>
      </c>
      <c r="C335" s="66" t="inlineStr">
        <is>
          <t>PROPOSED</t>
        </is>
      </c>
      <c r="D335" s="66" t="inlineStr">
        <is>
          <t>V3 — Record evidence</t>
        </is>
      </c>
      <c r="E335" s="66" t="n"/>
      <c r="F335" s="66" t="inlineStr">
        <is>
          <t>Ledger rows inspected; hash-chain verifier receipt; refused operations present on identical terms</t>
        </is>
      </c>
      <c r="G335" s="66" t="inlineStr">
        <is>
          <t>B — sample ≥ 30%</t>
        </is>
      </c>
      <c r="H335" s="67" t="n"/>
      <c r="I335" s="67" t="n"/>
      <c r="J335" s="67" t="n"/>
      <c r="K335" s="64">
        <f>IFERROR(INDEX('Status Map'!$B$2:$B$12,MATCH(C335,'Status Map'!$A$2:$A$12,0)),"UNDEFINED")</f>
        <v/>
      </c>
      <c r="L335" s="64">
        <f>IFERROR(INDEX('Status Map'!$C$2:$C$12,MATCH(C335,'Status Map'!$A$2:$A$12,0)),"UNDEFINED")</f>
        <v/>
      </c>
      <c r="M335" s="68" t="inlineStr">
        <is>
          <t>STATEMENT AS REGISTERED</t>
        </is>
      </c>
      <c r="N335" s="68" t="inlineStr">
        <is>
          <t>C-6.5.4, C-6.7.13</t>
        </is>
      </c>
      <c r="O335" s="68" t="inlineStr">
        <is>
          <t>V3 + V5</t>
        </is>
      </c>
      <c r="P335" s="64">
        <f>IF(O335&lt;&gt;"",O335,LEFT(D335,2))</f>
        <v/>
      </c>
      <c r="Q335" s="64">
        <f>IF(O335&lt;&gt;"","Standards §6",IF(M335="HEADING ONLY","Derived from heading — PROVISIONAL",IF(M335="TEXT NOT IN REGISTRY","No text to derive from — PROVISIONAL","Derived from registered statement")))</f>
        <v/>
      </c>
      <c r="R335" s="64">
        <f>IF(OR(LEFT(G335,1)="A",L335="COUNTS",ISNUMBER(SEARCH("V1",P335)),ISNUMBER(SEARCH("V2",P335)),ISNUMBER(SEARCH("V5",P335))),"A — 100%","B — sample ≥ 30%")</f>
        <v/>
      </c>
      <c r="S335" s="67" t="n"/>
      <c r="T335" s="67" t="n"/>
      <c r="U335" s="67" t="n"/>
      <c r="V335" s="67" t="n"/>
      <c r="W335" s="67" t="n"/>
      <c r="X335" s="67" t="n"/>
    </row>
    <row r="336" ht="22.35" customHeight="1" s="45">
      <c r="A336" s="65" t="inlineStr">
        <is>
          <t>DAP-22</t>
        </is>
      </c>
      <c r="B336" s="66" t="inlineStr">
        <is>
          <t>DAP Backend spec</t>
        </is>
      </c>
      <c r="C336" s="66" t="inlineStr">
        <is>
          <t>PROPOSED</t>
        </is>
      </c>
      <c r="D336" s="66" t="inlineStr">
        <is>
          <t>V7 — Document &amp; design inspection</t>
        </is>
      </c>
      <c r="E336" s="66" t="n"/>
      <c r="F336" s="66" t="inlineStr">
        <is>
          <t>Specification text against implementation description; provenance sections; objective card lines</t>
        </is>
      </c>
      <c r="G336" s="66" t="inlineStr">
        <is>
          <t>B — sample ≥ 30%</t>
        </is>
      </c>
      <c r="H336" s="67" t="n"/>
      <c r="I336" s="67" t="n"/>
      <c r="J336" s="67" t="n"/>
      <c r="K336" s="64">
        <f>IFERROR(INDEX('Status Map'!$B$2:$B$12,MATCH(C336,'Status Map'!$A$2:$A$12,0)),"UNDEFINED")</f>
        <v/>
      </c>
      <c r="L336" s="64">
        <f>IFERROR(INDEX('Status Map'!$C$2:$C$12,MATCH(C336,'Status Map'!$A$2:$A$12,0)),"UNDEFINED")</f>
        <v/>
      </c>
      <c r="M336" s="68" t="inlineStr">
        <is>
          <t>STATEMENT AS REGISTERED</t>
        </is>
      </c>
      <c r="N336" s="68" t="n"/>
      <c r="O336" s="68" t="n"/>
      <c r="P336" s="64">
        <f>IF(O336&lt;&gt;"",O336,LEFT(D336,2))</f>
        <v/>
      </c>
      <c r="Q336" s="64">
        <f>IF(O336&lt;&gt;"","Standards §6",IF(M336="HEADING ONLY","Derived from heading — PROVISIONAL",IF(M336="TEXT NOT IN REGISTRY","No text to derive from — PROVISIONAL","Derived from registered statement")))</f>
        <v/>
      </c>
      <c r="R336" s="64">
        <f>IF(OR(LEFT(G336,1)="A",L336="COUNTS",ISNUMBER(SEARCH("V1",P336)),ISNUMBER(SEARCH("V2",P336)),ISNUMBER(SEARCH("V5",P336))),"A — 100%","B — sample ≥ 30%")</f>
        <v/>
      </c>
      <c r="S336" s="67" t="n"/>
      <c r="T336" s="67" t="n"/>
      <c r="U336" s="67" t="n"/>
      <c r="V336" s="67" t="n"/>
      <c r="W336" s="67" t="n"/>
      <c r="X336" s="67" t="n"/>
    </row>
    <row r="337" ht="22.35" customHeight="1" s="45">
      <c r="A337" s="65" t="inlineStr">
        <is>
          <t>DAP-23</t>
        </is>
      </c>
      <c r="B337" s="66" t="inlineStr">
        <is>
          <t>DAP Backend spec</t>
        </is>
      </c>
      <c r="C337" s="66" t="inlineStr">
        <is>
          <t>PROPOSED</t>
        </is>
      </c>
      <c r="D337" s="66" t="inlineStr">
        <is>
          <t>V7 — Document &amp; design inspection</t>
        </is>
      </c>
      <c r="E337" s="66" t="n"/>
      <c r="F337" s="66" t="inlineStr">
        <is>
          <t>Specification text against implementation description; provenance sections; objective card lines</t>
        </is>
      </c>
      <c r="G337" s="66" t="inlineStr">
        <is>
          <t>B — sample ≥ 30%</t>
        </is>
      </c>
      <c r="H337" s="67" t="n"/>
      <c r="I337" s="67" t="n"/>
      <c r="J337" s="67" t="n"/>
      <c r="K337" s="64">
        <f>IFERROR(INDEX('Status Map'!$B$2:$B$12,MATCH(C337,'Status Map'!$A$2:$A$12,0)),"UNDEFINED")</f>
        <v/>
      </c>
      <c r="L337" s="64">
        <f>IFERROR(INDEX('Status Map'!$C$2:$C$12,MATCH(C337,'Status Map'!$A$2:$A$12,0)),"UNDEFINED")</f>
        <v/>
      </c>
      <c r="M337" s="68" t="inlineStr">
        <is>
          <t>STATEMENT AS REGISTERED</t>
        </is>
      </c>
      <c r="N337" s="68" t="n"/>
      <c r="O337" s="68" t="n"/>
      <c r="P337" s="64">
        <f>IF(O337&lt;&gt;"",O337,LEFT(D337,2))</f>
        <v/>
      </c>
      <c r="Q337" s="64">
        <f>IF(O337&lt;&gt;"","Standards §6",IF(M337="HEADING ONLY","Derived from heading — PROVISIONAL",IF(M337="TEXT NOT IN REGISTRY","No text to derive from — PROVISIONAL","Derived from registered statement")))</f>
        <v/>
      </c>
      <c r="R337" s="64">
        <f>IF(OR(LEFT(G337,1)="A",L337="COUNTS",ISNUMBER(SEARCH("V1",P337)),ISNUMBER(SEARCH("V2",P337)),ISNUMBER(SEARCH("V5",P337))),"A — 100%","B — sample ≥ 30%")</f>
        <v/>
      </c>
      <c r="S337" s="67" t="n"/>
      <c r="T337" s="67" t="n"/>
      <c r="U337" s="67" t="n"/>
      <c r="V337" s="67" t="n"/>
      <c r="W337" s="67" t="n"/>
      <c r="X337" s="67" t="n"/>
    </row>
    <row r="338" ht="22.35" customHeight="1" s="45">
      <c r="A338" s="65" t="inlineStr">
        <is>
          <t>DAP-24</t>
        </is>
      </c>
      <c r="B338" s="66" t="inlineStr">
        <is>
          <t>DAP Backend spec</t>
        </is>
      </c>
      <c r="C338" s="66" t="inlineStr">
        <is>
          <t>PROPOSED</t>
        </is>
      </c>
      <c r="D338" s="66" t="inlineStr">
        <is>
          <t>V7 — Document &amp; design inspection</t>
        </is>
      </c>
      <c r="E338" s="66" t="n"/>
      <c r="F338" s="66" t="inlineStr">
        <is>
          <t>Specification text against implementation description; provenance sections; objective card lines</t>
        </is>
      </c>
      <c r="G338" s="66" t="inlineStr">
        <is>
          <t>B — sample ≥ 30%</t>
        </is>
      </c>
      <c r="H338" s="67" t="n"/>
      <c r="I338" s="67" t="n"/>
      <c r="J338" s="67" t="n"/>
      <c r="K338" s="64">
        <f>IFERROR(INDEX('Status Map'!$B$2:$B$12,MATCH(C338,'Status Map'!$A$2:$A$12,0)),"UNDEFINED")</f>
        <v/>
      </c>
      <c r="L338" s="64">
        <f>IFERROR(INDEX('Status Map'!$C$2:$C$12,MATCH(C338,'Status Map'!$A$2:$A$12,0)),"UNDEFINED")</f>
        <v/>
      </c>
      <c r="M338" s="68" t="inlineStr">
        <is>
          <t>STATEMENT AS REGISTERED</t>
        </is>
      </c>
      <c r="N338" s="68" t="n"/>
      <c r="O338" s="68" t="n"/>
      <c r="P338" s="64">
        <f>IF(O338&lt;&gt;"",O338,LEFT(D338,2))</f>
        <v/>
      </c>
      <c r="Q338" s="64">
        <f>IF(O338&lt;&gt;"","Standards §6",IF(M338="HEADING ONLY","Derived from heading — PROVISIONAL",IF(M338="TEXT NOT IN REGISTRY","No text to derive from — PROVISIONAL","Derived from registered statement")))</f>
        <v/>
      </c>
      <c r="R338" s="64">
        <f>IF(OR(LEFT(G338,1)="A",L338="COUNTS",ISNUMBER(SEARCH("V1",P338)),ISNUMBER(SEARCH("V2",P338)),ISNUMBER(SEARCH("V5",P338))),"A — 100%","B — sample ≥ 30%")</f>
        <v/>
      </c>
      <c r="S338" s="67" t="n"/>
      <c r="T338" s="67" t="n"/>
      <c r="U338" s="67" t="n"/>
      <c r="V338" s="67" t="n"/>
      <c r="W338" s="67" t="n"/>
      <c r="X338" s="67" t="n"/>
    </row>
    <row r="339" ht="22.35" customHeight="1" s="45">
      <c r="A339" s="65" t="inlineStr">
        <is>
          <t>DAP-25</t>
        </is>
      </c>
      <c r="B339" s="66" t="inlineStr">
        <is>
          <t>DAP Backend spec</t>
        </is>
      </c>
      <c r="C339" s="66" t="inlineStr">
        <is>
          <t>PROPOSED</t>
        </is>
      </c>
      <c r="D339" s="66" t="inlineStr">
        <is>
          <t>V7 — Document &amp; design inspection</t>
        </is>
      </c>
      <c r="E339" s="66" t="n"/>
      <c r="F339" s="66" t="inlineStr">
        <is>
          <t>Specification text against implementation description; provenance sections; objective card lines</t>
        </is>
      </c>
      <c r="G339" s="66" t="inlineStr">
        <is>
          <t>B — sample ≥ 30%</t>
        </is>
      </c>
      <c r="H339" s="67" t="n"/>
      <c r="I339" s="67" t="n"/>
      <c r="J339" s="67" t="n"/>
      <c r="K339" s="64">
        <f>IFERROR(INDEX('Status Map'!$B$2:$B$12,MATCH(C339,'Status Map'!$A$2:$A$12,0)),"UNDEFINED")</f>
        <v/>
      </c>
      <c r="L339" s="64">
        <f>IFERROR(INDEX('Status Map'!$C$2:$C$12,MATCH(C339,'Status Map'!$A$2:$A$12,0)),"UNDEFINED")</f>
        <v/>
      </c>
      <c r="M339" s="68" t="inlineStr">
        <is>
          <t>STATEMENT AS REGISTERED</t>
        </is>
      </c>
      <c r="N339" s="68" t="n"/>
      <c r="O339" s="68" t="n"/>
      <c r="P339" s="64">
        <f>IF(O339&lt;&gt;"",O339,LEFT(D339,2))</f>
        <v/>
      </c>
      <c r="Q339" s="64">
        <f>IF(O339&lt;&gt;"","Standards §6",IF(M339="HEADING ONLY","Derived from heading — PROVISIONAL",IF(M339="TEXT NOT IN REGISTRY","No text to derive from — PROVISIONAL","Derived from registered statement")))</f>
        <v/>
      </c>
      <c r="R339" s="64">
        <f>IF(OR(LEFT(G339,1)="A",L339="COUNTS",ISNUMBER(SEARCH("V1",P339)),ISNUMBER(SEARCH("V2",P339)),ISNUMBER(SEARCH("V5",P339))),"A — 100%","B — sample ≥ 30%")</f>
        <v/>
      </c>
      <c r="S339" s="67" t="n"/>
      <c r="T339" s="67" t="n"/>
      <c r="U339" s="67" t="n"/>
      <c r="V339" s="67" t="n"/>
      <c r="W339" s="67" t="n"/>
      <c r="X339" s="67" t="n"/>
    </row>
    <row r="340" ht="22.35" customHeight="1" s="45">
      <c r="A340" s="65" t="inlineStr">
        <is>
          <t>DAP-26</t>
        </is>
      </c>
      <c r="B340" s="66" t="inlineStr">
        <is>
          <t>DAP Backend spec</t>
        </is>
      </c>
      <c r="C340" s="66" t="inlineStr">
        <is>
          <t>PROPOSED</t>
        </is>
      </c>
      <c r="D340" s="66" t="inlineStr">
        <is>
          <t>V3 — Record evidence</t>
        </is>
      </c>
      <c r="E340" s="66" t="n"/>
      <c r="F340" s="66" t="inlineStr">
        <is>
          <t>Ledger rows inspected; hash-chain verifier receipt; refused operations present on identical terms</t>
        </is>
      </c>
      <c r="G340" s="66" t="inlineStr">
        <is>
          <t>B — sample ≥ 30%</t>
        </is>
      </c>
      <c r="H340" s="67" t="n"/>
      <c r="I340" s="67" t="n"/>
      <c r="J340" s="67" t="n"/>
      <c r="K340" s="64">
        <f>IFERROR(INDEX('Status Map'!$B$2:$B$12,MATCH(C340,'Status Map'!$A$2:$A$12,0)),"UNDEFINED")</f>
        <v/>
      </c>
      <c r="L340" s="64">
        <f>IFERROR(INDEX('Status Map'!$C$2:$C$12,MATCH(C340,'Status Map'!$A$2:$A$12,0)),"UNDEFINED")</f>
        <v/>
      </c>
      <c r="M340" s="68" t="inlineStr">
        <is>
          <t>STATEMENT AS REGISTERED</t>
        </is>
      </c>
      <c r="N340" s="68" t="n"/>
      <c r="O340" s="68" t="n"/>
      <c r="P340" s="64">
        <f>IF(O340&lt;&gt;"",O340,LEFT(D340,2))</f>
        <v/>
      </c>
      <c r="Q340" s="64">
        <f>IF(O340&lt;&gt;"","Standards §6",IF(M340="HEADING ONLY","Derived from heading — PROVISIONAL",IF(M340="TEXT NOT IN REGISTRY","No text to derive from — PROVISIONAL","Derived from registered statement")))</f>
        <v/>
      </c>
      <c r="R340" s="64">
        <f>IF(OR(LEFT(G340,1)="A",L340="COUNTS",ISNUMBER(SEARCH("V1",P340)),ISNUMBER(SEARCH("V2",P340)),ISNUMBER(SEARCH("V5",P340))),"A — 100%","B — sample ≥ 30%")</f>
        <v/>
      </c>
      <c r="S340" s="67" t="n"/>
      <c r="T340" s="67" t="n"/>
      <c r="U340" s="67" t="n"/>
      <c r="V340" s="67" t="n"/>
      <c r="W340" s="67" t="n"/>
      <c r="X340" s="67" t="n"/>
    </row>
    <row r="341" ht="22.35" customHeight="1" s="45">
      <c r="A341" s="65" t="inlineStr">
        <is>
          <t>DAP-27</t>
        </is>
      </c>
      <c r="B341" s="66" t="inlineStr">
        <is>
          <t>DAP Backend spec</t>
        </is>
      </c>
      <c r="C341" s="66" t="inlineStr">
        <is>
          <t>PROPOSED</t>
        </is>
      </c>
      <c r="D341" s="66" t="inlineStr">
        <is>
          <t>V3 — Record evidence</t>
        </is>
      </c>
      <c r="E341" s="66" t="n"/>
      <c r="F341" s="66" t="inlineStr">
        <is>
          <t>Ledger rows inspected; hash-chain verifier receipt; refused operations present on identical terms</t>
        </is>
      </c>
      <c r="G341" s="66" t="inlineStr">
        <is>
          <t>B — sample ≥ 30%</t>
        </is>
      </c>
      <c r="H341" s="67" t="n"/>
      <c r="I341" s="67" t="n"/>
      <c r="J341" s="67" t="n"/>
      <c r="K341" s="64">
        <f>IFERROR(INDEX('Status Map'!$B$2:$B$12,MATCH(C341,'Status Map'!$A$2:$A$12,0)),"UNDEFINED")</f>
        <v/>
      </c>
      <c r="L341" s="64">
        <f>IFERROR(INDEX('Status Map'!$C$2:$C$12,MATCH(C341,'Status Map'!$A$2:$A$12,0)),"UNDEFINED")</f>
        <v/>
      </c>
      <c r="M341" s="68" t="inlineStr">
        <is>
          <t>STATEMENT AS REGISTERED</t>
        </is>
      </c>
      <c r="N341" s="68" t="n"/>
      <c r="O341" s="68" t="n"/>
      <c r="P341" s="64">
        <f>IF(O341&lt;&gt;"",O341,LEFT(D341,2))</f>
        <v/>
      </c>
      <c r="Q341" s="64">
        <f>IF(O341&lt;&gt;"","Standards §6",IF(M341="HEADING ONLY","Derived from heading — PROVISIONAL",IF(M341="TEXT NOT IN REGISTRY","No text to derive from — PROVISIONAL","Derived from registered statement")))</f>
        <v/>
      </c>
      <c r="R341" s="64">
        <f>IF(OR(LEFT(G341,1)="A",L341="COUNTS",ISNUMBER(SEARCH("V1",P341)),ISNUMBER(SEARCH("V2",P341)),ISNUMBER(SEARCH("V5",P341))),"A — 100%","B — sample ≥ 30%")</f>
        <v/>
      </c>
      <c r="S341" s="67" t="n"/>
      <c r="T341" s="67" t="n"/>
      <c r="U341" s="67" t="n"/>
      <c r="V341" s="67" t="n"/>
      <c r="W341" s="67" t="n"/>
      <c r="X341" s="67" t="n"/>
    </row>
    <row r="342" ht="32.8" customHeight="1" s="45">
      <c r="A342" s="65" t="inlineStr">
        <is>
          <t>DAP-28</t>
        </is>
      </c>
      <c r="B342" s="66" t="inlineStr">
        <is>
          <t>DAP Backend spec</t>
        </is>
      </c>
      <c r="C342" s="66" t="inlineStr">
        <is>
          <t>PROPOSED</t>
        </is>
      </c>
      <c r="D342" s="66" t="inlineStr">
        <is>
          <t>V5 — Failure-injection demonstration</t>
        </is>
      </c>
      <c r="E342" s="66" t="n"/>
      <c r="F342" s="66" t="inlineStr">
        <is>
          <t>Dependency made unreachable or check made to error; observed refusal; no result returned; stale marker where degradation is the ruled posture</t>
        </is>
      </c>
      <c r="G342" s="66" t="inlineStr">
        <is>
          <t>A — 100%</t>
        </is>
      </c>
      <c r="H342" s="67" t="n"/>
      <c r="I342" s="67" t="n"/>
      <c r="J342" s="67" t="n"/>
      <c r="K342" s="64">
        <f>IFERROR(INDEX('Status Map'!$B$2:$B$12,MATCH(C342,'Status Map'!$A$2:$A$12,0)),"UNDEFINED")</f>
        <v/>
      </c>
      <c r="L342" s="64">
        <f>IFERROR(INDEX('Status Map'!$C$2:$C$12,MATCH(C342,'Status Map'!$A$2:$A$12,0)),"UNDEFINED")</f>
        <v/>
      </c>
      <c r="M342" s="68" t="inlineStr">
        <is>
          <t>STATEMENT AS REGISTERED</t>
        </is>
      </c>
      <c r="N342" s="68" t="n"/>
      <c r="O342" s="68" t="n"/>
      <c r="P342" s="64">
        <f>IF(O342&lt;&gt;"",O342,LEFT(D342,2))</f>
        <v/>
      </c>
      <c r="Q342" s="64">
        <f>IF(O342&lt;&gt;"","Standards §6",IF(M342="HEADING ONLY","Derived from heading — PROVISIONAL",IF(M342="TEXT NOT IN REGISTRY","No text to derive from — PROVISIONAL","Derived from registered statement")))</f>
        <v/>
      </c>
      <c r="R342" s="64">
        <f>IF(OR(LEFT(G342,1)="A",L342="COUNTS",ISNUMBER(SEARCH("V1",P342)),ISNUMBER(SEARCH("V2",P342)),ISNUMBER(SEARCH("V5",P342))),"A — 100%","B — sample ≥ 30%")</f>
        <v/>
      </c>
      <c r="S342" s="67" t="n"/>
      <c r="T342" s="67" t="n"/>
      <c r="U342" s="67" t="n"/>
      <c r="V342" s="67" t="n"/>
      <c r="W342" s="67" t="n"/>
      <c r="X342" s="67" t="n"/>
    </row>
    <row r="343" ht="32.8" customHeight="1" s="45">
      <c r="A343" s="65" t="inlineStr">
        <is>
          <t>DAP-29</t>
        </is>
      </c>
      <c r="B343" s="66" t="inlineStr">
        <is>
          <t>DAP Backend spec</t>
        </is>
      </c>
      <c r="C343" s="66" t="inlineStr">
        <is>
          <t>PROPOSED</t>
        </is>
      </c>
      <c r="D343" s="66" t="inlineStr">
        <is>
          <t>V5 — Failure-injection demonstration</t>
        </is>
      </c>
      <c r="E343" s="66" t="inlineStr">
        <is>
          <t>V3</t>
        </is>
      </c>
      <c r="F343" s="66" t="inlineStr">
        <is>
          <t>Dependency made unreachable or check made to error; observed refusal; no result returned; stale marker where degradation is the ruled posture</t>
        </is>
      </c>
      <c r="G343" s="66" t="inlineStr">
        <is>
          <t>A — 100%</t>
        </is>
      </c>
      <c r="H343" s="67" t="n"/>
      <c r="I343" s="67" t="n"/>
      <c r="J343" s="67" t="n"/>
      <c r="K343" s="64">
        <f>IFERROR(INDEX('Status Map'!$B$2:$B$12,MATCH(C343,'Status Map'!$A$2:$A$12,0)),"UNDEFINED")</f>
        <v/>
      </c>
      <c r="L343" s="64">
        <f>IFERROR(INDEX('Status Map'!$C$2:$C$12,MATCH(C343,'Status Map'!$A$2:$A$12,0)),"UNDEFINED")</f>
        <v/>
      </c>
      <c r="M343" s="68" t="inlineStr">
        <is>
          <t>STATEMENT AS REGISTERED</t>
        </is>
      </c>
      <c r="N343" s="68" t="inlineStr">
        <is>
          <t>C-6.5.4</t>
        </is>
      </c>
      <c r="O343" s="68" t="inlineStr">
        <is>
          <t>V3 + V5</t>
        </is>
      </c>
      <c r="P343" s="64">
        <f>IF(O343&lt;&gt;"",O343,LEFT(D343,2))</f>
        <v/>
      </c>
      <c r="Q343" s="64">
        <f>IF(O343&lt;&gt;"","Standards §6",IF(M343="HEADING ONLY","Derived from heading — PROVISIONAL",IF(M343="TEXT NOT IN REGISTRY","No text to derive from — PROVISIONAL","Derived from registered statement")))</f>
        <v/>
      </c>
      <c r="R343" s="64">
        <f>IF(OR(LEFT(G343,1)="A",L343="COUNTS",ISNUMBER(SEARCH("V1",P343)),ISNUMBER(SEARCH("V2",P343)),ISNUMBER(SEARCH("V5",P343))),"A — 100%","B — sample ≥ 30%")</f>
        <v/>
      </c>
      <c r="S343" s="67" t="n"/>
      <c r="T343" s="67" t="n"/>
      <c r="U343" s="67" t="n"/>
      <c r="V343" s="67" t="n"/>
      <c r="W343" s="67" t="n"/>
      <c r="X343" s="67" t="n"/>
    </row>
    <row r="344" ht="32.8" customHeight="1" s="45">
      <c r="A344" s="65" t="inlineStr">
        <is>
          <t>DAP-30</t>
        </is>
      </c>
      <c r="B344" s="66" t="inlineStr">
        <is>
          <t>DAP Backend spec</t>
        </is>
      </c>
      <c r="C344" s="66" t="inlineStr">
        <is>
          <t>PROPOSED</t>
        </is>
      </c>
      <c r="D344" s="66" t="inlineStr">
        <is>
          <t>V5 — Failure-injection demonstration</t>
        </is>
      </c>
      <c r="E344" s="66" t="n"/>
      <c r="F344" s="66" t="inlineStr">
        <is>
          <t>Dependency made unreachable or check made to error; observed refusal; no result returned; stale marker where degradation is the ruled posture</t>
        </is>
      </c>
      <c r="G344" s="66" t="inlineStr">
        <is>
          <t>A — 100%</t>
        </is>
      </c>
      <c r="H344" s="67" t="n"/>
      <c r="I344" s="67" t="n"/>
      <c r="J344" s="67" t="n"/>
      <c r="K344" s="64">
        <f>IFERROR(INDEX('Status Map'!$B$2:$B$12,MATCH(C344,'Status Map'!$A$2:$A$12,0)),"UNDEFINED")</f>
        <v/>
      </c>
      <c r="L344" s="64">
        <f>IFERROR(INDEX('Status Map'!$C$2:$C$12,MATCH(C344,'Status Map'!$A$2:$A$12,0)),"UNDEFINED")</f>
        <v/>
      </c>
      <c r="M344" s="68" t="inlineStr">
        <is>
          <t>STATEMENT AS REGISTERED</t>
        </is>
      </c>
      <c r="N344" s="68" t="n"/>
      <c r="O344" s="68" t="n"/>
      <c r="P344" s="64">
        <f>IF(O344&lt;&gt;"",O344,LEFT(D344,2))</f>
        <v/>
      </c>
      <c r="Q344" s="64">
        <f>IF(O344&lt;&gt;"","Standards §6",IF(M344="HEADING ONLY","Derived from heading — PROVISIONAL",IF(M344="TEXT NOT IN REGISTRY","No text to derive from — PROVISIONAL","Derived from registered statement")))</f>
        <v/>
      </c>
      <c r="R344" s="64">
        <f>IF(OR(LEFT(G344,1)="A",L344="COUNTS",ISNUMBER(SEARCH("V1",P344)),ISNUMBER(SEARCH("V2",P344)),ISNUMBER(SEARCH("V5",P344))),"A — 100%","B — sample ≥ 30%")</f>
        <v/>
      </c>
      <c r="S344" s="67" t="n"/>
      <c r="T344" s="67" t="n"/>
      <c r="U344" s="67" t="n"/>
      <c r="V344" s="67" t="n"/>
      <c r="W344" s="67" t="n"/>
      <c r="X344" s="67" t="n"/>
    </row>
    <row r="345" ht="22.35" customHeight="1" s="45">
      <c r="A345" s="65" t="inlineStr">
        <is>
          <t>A5.15</t>
        </is>
      </c>
      <c r="B345" s="66" t="inlineStr">
        <is>
          <t>Amendment T-1/W-1</t>
        </is>
      </c>
      <c r="C345" s="66" t="inlineStr">
        <is>
          <t>PROPOSED</t>
        </is>
      </c>
      <c r="D345" s="66" t="inlineStr">
        <is>
          <t>V1 — Test evidence</t>
        </is>
      </c>
      <c r="E345" s="66" t="n"/>
      <c r="F345" s="66" t="inlineStr">
        <is>
          <t>Golden-input, byte-identical output; RED-first test ID; ratchet manifest entry</t>
        </is>
      </c>
      <c r="G345" s="66" t="inlineStr">
        <is>
          <t>A — 100%</t>
        </is>
      </c>
      <c r="H345" s="67" t="n"/>
      <c r="I345" s="67" t="n"/>
      <c r="J345" s="67" t="n"/>
      <c r="K345" s="64">
        <f>IFERROR(INDEX('Status Map'!$B$2:$B$12,MATCH(C345,'Status Map'!$A$2:$A$12,0)),"UNDEFINED")</f>
        <v/>
      </c>
      <c r="L345" s="64">
        <f>IFERROR(INDEX('Status Map'!$C$2:$C$12,MATCH(C345,'Status Map'!$A$2:$A$12,0)),"UNDEFINED")</f>
        <v/>
      </c>
      <c r="M345" s="68" t="inlineStr">
        <is>
          <t>STATEMENT AS REGISTERED</t>
        </is>
      </c>
      <c r="N345" s="68" t="n"/>
      <c r="O345" s="68" t="n"/>
      <c r="P345" s="64">
        <f>IF(O345&lt;&gt;"",O345,LEFT(D345,2))</f>
        <v/>
      </c>
      <c r="Q345" s="64">
        <f>IF(O345&lt;&gt;"","Standards §6",IF(M345="HEADING ONLY","Derived from heading — PROVISIONAL",IF(M345="TEXT NOT IN REGISTRY","No text to derive from — PROVISIONAL","Derived from registered statement")))</f>
        <v/>
      </c>
      <c r="R345" s="64">
        <f>IF(OR(LEFT(G345,1)="A",L345="COUNTS",ISNUMBER(SEARCH("V1",P345)),ISNUMBER(SEARCH("V2",P345)),ISNUMBER(SEARCH("V5",P345))),"A — 100%","B — sample ≥ 30%")</f>
        <v/>
      </c>
      <c r="S345" s="67" t="n"/>
      <c r="T345" s="67" t="n"/>
      <c r="U345" s="67" t="n"/>
      <c r="V345" s="67" t="n"/>
      <c r="W345" s="67" t="n"/>
      <c r="X345" s="67" t="n"/>
    </row>
    <row r="346" ht="22.35" customHeight="1" s="45">
      <c r="A346" s="65" t="inlineStr">
        <is>
          <t>A5.16</t>
        </is>
      </c>
      <c r="B346" s="66" t="inlineStr">
        <is>
          <t>Amendment W-2</t>
        </is>
      </c>
      <c r="C346" s="66" t="inlineStr">
        <is>
          <t>PROPOSED</t>
        </is>
      </c>
      <c r="D346" s="66" t="inlineStr">
        <is>
          <t>V7 — Document &amp; design inspection</t>
        </is>
      </c>
      <c r="E346" s="66" t="n"/>
      <c r="F346" s="66" t="inlineStr">
        <is>
          <t>Specification text against implementation description; provenance sections; objective card lines</t>
        </is>
      </c>
      <c r="G346" s="66" t="inlineStr">
        <is>
          <t>B — sample ≥ 30%</t>
        </is>
      </c>
      <c r="H346" s="67" t="n"/>
      <c r="I346" s="67" t="n"/>
      <c r="J346" s="67" t="n"/>
      <c r="K346" s="64">
        <f>IFERROR(INDEX('Status Map'!$B$2:$B$12,MATCH(C346,'Status Map'!$A$2:$A$12,0)),"UNDEFINED")</f>
        <v/>
      </c>
      <c r="L346" s="64">
        <f>IFERROR(INDEX('Status Map'!$C$2:$C$12,MATCH(C346,'Status Map'!$A$2:$A$12,0)),"UNDEFINED")</f>
        <v/>
      </c>
      <c r="M346" s="68" t="inlineStr">
        <is>
          <t>STATEMENT AS REGISTERED</t>
        </is>
      </c>
      <c r="N346" s="68" t="n"/>
      <c r="O346" s="68" t="n"/>
      <c r="P346" s="64">
        <f>IF(O346&lt;&gt;"",O346,LEFT(D346,2))</f>
        <v/>
      </c>
      <c r="Q346" s="64">
        <f>IF(O346&lt;&gt;"","Standards §6",IF(M346="HEADING ONLY","Derived from heading — PROVISIONAL",IF(M346="TEXT NOT IN REGISTRY","No text to derive from — PROVISIONAL","Derived from registered statement")))</f>
        <v/>
      </c>
      <c r="R346" s="64">
        <f>IF(OR(LEFT(G346,1)="A",L346="COUNTS",ISNUMBER(SEARCH("V1",P346)),ISNUMBER(SEARCH("V2",P346)),ISNUMBER(SEARCH("V5",P346))),"A — 100%","B — sample ≥ 30%")</f>
        <v/>
      </c>
      <c r="S346" s="67" t="n"/>
      <c r="T346" s="67" t="n"/>
      <c r="U346" s="67" t="n"/>
      <c r="V346" s="67" t="n"/>
      <c r="W346" s="67" t="n"/>
      <c r="X346" s="67" t="n"/>
    </row>
    <row r="347" ht="22.35" customHeight="1" s="45">
      <c r="A347" s="65" t="inlineStr">
        <is>
          <t>A5.17</t>
        </is>
      </c>
      <c r="B347" s="66" t="inlineStr">
        <is>
          <t>Amendment W-3</t>
        </is>
      </c>
      <c r="C347" s="66" t="inlineStr">
        <is>
          <t>PROPOSED</t>
        </is>
      </c>
      <c r="D347" s="66" t="inlineStr">
        <is>
          <t>V7 — Document &amp; design inspection</t>
        </is>
      </c>
      <c r="E347" s="66" t="n"/>
      <c r="F347" s="66" t="inlineStr">
        <is>
          <t>Specification text against implementation description; provenance sections; objective card lines</t>
        </is>
      </c>
      <c r="G347" s="66" t="inlineStr">
        <is>
          <t>B — sample ≥ 30%</t>
        </is>
      </c>
      <c r="H347" s="67" t="n"/>
      <c r="I347" s="67" t="n"/>
      <c r="J347" s="67" t="n"/>
      <c r="K347" s="64">
        <f>IFERROR(INDEX('Status Map'!$B$2:$B$12,MATCH(C347,'Status Map'!$A$2:$A$12,0)),"UNDEFINED")</f>
        <v/>
      </c>
      <c r="L347" s="64">
        <f>IFERROR(INDEX('Status Map'!$C$2:$C$12,MATCH(C347,'Status Map'!$A$2:$A$12,0)),"UNDEFINED")</f>
        <v/>
      </c>
      <c r="M347" s="68" t="inlineStr">
        <is>
          <t>STATEMENT AS REGISTERED</t>
        </is>
      </c>
      <c r="N347" s="68" t="n"/>
      <c r="O347" s="68" t="n"/>
      <c r="P347" s="64">
        <f>IF(O347&lt;&gt;"",O347,LEFT(D347,2))</f>
        <v/>
      </c>
      <c r="Q347" s="64">
        <f>IF(O347&lt;&gt;"","Standards §6",IF(M347="HEADING ONLY","Derived from heading — PROVISIONAL",IF(M347="TEXT NOT IN REGISTRY","No text to derive from — PROVISIONAL","Derived from registered statement")))</f>
        <v/>
      </c>
      <c r="R347" s="64">
        <f>IF(OR(LEFT(G347,1)="A",L347="COUNTS",ISNUMBER(SEARCH("V1",P347)),ISNUMBER(SEARCH("V2",P347)),ISNUMBER(SEARCH("V5",P347))),"A — 100%","B — sample ≥ 30%")</f>
        <v/>
      </c>
      <c r="S347" s="67" t="n"/>
      <c r="T347" s="67" t="n"/>
      <c r="U347" s="67" t="n"/>
      <c r="V347" s="67" t="n"/>
      <c r="W347" s="67" t="n"/>
      <c r="X347" s="67" t="n"/>
    </row>
    <row r="348" ht="22.35" customHeight="1" s="45">
      <c r="A348" s="65" t="inlineStr">
        <is>
          <t>A5.18</t>
        </is>
      </c>
      <c r="B348" s="66" t="inlineStr">
        <is>
          <t>Amendment W-4</t>
        </is>
      </c>
      <c r="C348" s="66" t="inlineStr">
        <is>
          <t>PROPOSED</t>
        </is>
      </c>
      <c r="D348" s="66" t="inlineStr">
        <is>
          <t>V1 — Test evidence</t>
        </is>
      </c>
      <c r="E348" s="66" t="n"/>
      <c r="F348" s="66" t="inlineStr">
        <is>
          <t>Golden-input, byte-identical output; RED-first test ID; ratchet manifest entry</t>
        </is>
      </c>
      <c r="G348" s="66" t="inlineStr">
        <is>
          <t>A — 100%</t>
        </is>
      </c>
      <c r="H348" s="67" t="n"/>
      <c r="I348" s="67" t="n"/>
      <c r="J348" s="67" t="n"/>
      <c r="K348" s="64">
        <f>IFERROR(INDEX('Status Map'!$B$2:$B$12,MATCH(C348,'Status Map'!$A$2:$A$12,0)),"UNDEFINED")</f>
        <v/>
      </c>
      <c r="L348" s="64">
        <f>IFERROR(INDEX('Status Map'!$C$2:$C$12,MATCH(C348,'Status Map'!$A$2:$A$12,0)),"UNDEFINED")</f>
        <v/>
      </c>
      <c r="M348" s="68" t="inlineStr">
        <is>
          <t>STATEMENT AS REGISTERED</t>
        </is>
      </c>
      <c r="N348" s="68" t="n"/>
      <c r="O348" s="68" t="n"/>
      <c r="P348" s="64">
        <f>IF(O348&lt;&gt;"",O348,LEFT(D348,2))</f>
        <v/>
      </c>
      <c r="Q348" s="64">
        <f>IF(O348&lt;&gt;"","Standards §6",IF(M348="HEADING ONLY","Derived from heading — PROVISIONAL",IF(M348="TEXT NOT IN REGISTRY","No text to derive from — PROVISIONAL","Derived from registered statement")))</f>
        <v/>
      </c>
      <c r="R348" s="64">
        <f>IF(OR(LEFT(G348,1)="A",L348="COUNTS",ISNUMBER(SEARCH("V1",P348)),ISNUMBER(SEARCH("V2",P348)),ISNUMBER(SEARCH("V5",P348))),"A — 100%","B — sample ≥ 30%")</f>
        <v/>
      </c>
      <c r="S348" s="67" t="n"/>
      <c r="T348" s="67" t="n"/>
      <c r="U348" s="67" t="n"/>
      <c r="V348" s="67" t="n"/>
      <c r="W348" s="67" t="n"/>
      <c r="X348" s="67" t="n"/>
    </row>
    <row r="349" ht="22.35" customHeight="1" s="45">
      <c r="A349" s="65" t="inlineStr">
        <is>
          <t>DAP-31</t>
        </is>
      </c>
      <c r="B349" s="66" t="inlineStr">
        <is>
          <t>Amendment T-1</t>
        </is>
      </c>
      <c r="C349" s="66" t="inlineStr">
        <is>
          <t>PROPOSED</t>
        </is>
      </c>
      <c r="D349" s="66" t="inlineStr">
        <is>
          <t>V1 — Test evidence</t>
        </is>
      </c>
      <c r="E349" s="66" t="n"/>
      <c r="F349" s="66" t="inlineStr">
        <is>
          <t>Golden-input, byte-identical output; RED-first test ID; ratchet manifest entry</t>
        </is>
      </c>
      <c r="G349" s="66" t="inlineStr">
        <is>
          <t>A — 100%</t>
        </is>
      </c>
      <c r="H349" s="67" t="n"/>
      <c r="I349" s="67" t="n"/>
      <c r="J349" s="67" t="n"/>
      <c r="K349" s="64">
        <f>IFERROR(INDEX('Status Map'!$B$2:$B$12,MATCH(C349,'Status Map'!$A$2:$A$12,0)),"UNDEFINED")</f>
        <v/>
      </c>
      <c r="L349" s="64">
        <f>IFERROR(INDEX('Status Map'!$C$2:$C$12,MATCH(C349,'Status Map'!$A$2:$A$12,0)),"UNDEFINED")</f>
        <v/>
      </c>
      <c r="M349" s="68" t="inlineStr">
        <is>
          <t>STATEMENT AS REGISTERED</t>
        </is>
      </c>
      <c r="N349" s="68" t="inlineStr">
        <is>
          <t>C-6.7.8, C-6.7.8, C-6.9.3</t>
        </is>
      </c>
      <c r="O349" s="68" t="inlineStr">
        <is>
          <t>V1 + V4 + V5</t>
        </is>
      </c>
      <c r="P349" s="64">
        <f>IF(O349&lt;&gt;"",O349,LEFT(D349,2))</f>
        <v/>
      </c>
      <c r="Q349" s="64">
        <f>IF(O349&lt;&gt;"","Standards §6",IF(M349="HEADING ONLY","Derived from heading — PROVISIONAL",IF(M349="TEXT NOT IN REGISTRY","No text to derive from — PROVISIONAL","Derived from registered statement")))</f>
        <v/>
      </c>
      <c r="R349" s="64">
        <f>IF(OR(LEFT(G349,1)="A",L349="COUNTS",ISNUMBER(SEARCH("V1",P349)),ISNUMBER(SEARCH("V2",P349)),ISNUMBER(SEARCH("V5",P349))),"A — 100%","B — sample ≥ 30%")</f>
        <v/>
      </c>
      <c r="S349" s="67" t="n"/>
      <c r="T349" s="67" t="n"/>
      <c r="U349" s="67" t="n"/>
      <c r="V349" s="67" t="n"/>
      <c r="W349" s="67" t="n"/>
      <c r="X349" s="67" t="n"/>
    </row>
    <row r="350" ht="22.35" customHeight="1" s="45">
      <c r="A350" s="65" t="inlineStr">
        <is>
          <t>DAP-32</t>
        </is>
      </c>
      <c r="B350" s="66" t="inlineStr">
        <is>
          <t>Amendment T-2</t>
        </is>
      </c>
      <c r="C350" s="66" t="inlineStr">
        <is>
          <t>PROPOSED</t>
        </is>
      </c>
      <c r="D350" s="66" t="inlineStr">
        <is>
          <t>V1 — Test evidence</t>
        </is>
      </c>
      <c r="E350" s="66" t="n"/>
      <c r="F350" s="66" t="inlineStr">
        <is>
          <t>Golden-input, byte-identical output; RED-first test ID; ratchet manifest entry</t>
        </is>
      </c>
      <c r="G350" s="66" t="inlineStr">
        <is>
          <t>A — 100%</t>
        </is>
      </c>
      <c r="H350" s="67" t="n"/>
      <c r="I350" s="67" t="n"/>
      <c r="J350" s="67" t="n"/>
      <c r="K350" s="64">
        <f>IFERROR(INDEX('Status Map'!$B$2:$B$12,MATCH(C350,'Status Map'!$A$2:$A$12,0)),"UNDEFINED")</f>
        <v/>
      </c>
      <c r="L350" s="64">
        <f>IFERROR(INDEX('Status Map'!$C$2:$C$12,MATCH(C350,'Status Map'!$A$2:$A$12,0)),"UNDEFINED")</f>
        <v/>
      </c>
      <c r="M350" s="68" t="inlineStr">
        <is>
          <t>STATEMENT AS REGISTERED</t>
        </is>
      </c>
      <c r="N350" s="68" t="inlineStr">
        <is>
          <t>C-6.7.9, C-6.7.9</t>
        </is>
      </c>
      <c r="O350" s="68" t="inlineStr">
        <is>
          <t>V5</t>
        </is>
      </c>
      <c r="P350" s="64">
        <f>IF(O350&lt;&gt;"",O350,LEFT(D350,2))</f>
        <v/>
      </c>
      <c r="Q350" s="64">
        <f>IF(O350&lt;&gt;"","Standards §6",IF(M350="HEADING ONLY","Derived from heading — PROVISIONAL",IF(M350="TEXT NOT IN REGISTRY","No text to derive from — PROVISIONAL","Derived from registered statement")))</f>
        <v/>
      </c>
      <c r="R350" s="64">
        <f>IF(OR(LEFT(G350,1)="A",L350="COUNTS",ISNUMBER(SEARCH("V1",P350)),ISNUMBER(SEARCH("V2",P350)),ISNUMBER(SEARCH("V5",P350))),"A — 100%","B — sample ≥ 30%")</f>
        <v/>
      </c>
      <c r="S350" s="67" t="n"/>
      <c r="T350" s="67" t="n"/>
      <c r="U350" s="67" t="n"/>
      <c r="V350" s="67" t="n"/>
      <c r="W350" s="67" t="n"/>
      <c r="X350" s="67" t="n"/>
    </row>
    <row r="351" ht="22.35" customHeight="1" s="45">
      <c r="A351" s="65" t="inlineStr">
        <is>
          <t>DAP-33</t>
        </is>
      </c>
      <c r="B351" s="66" t="inlineStr">
        <is>
          <t>Amendment W-1</t>
        </is>
      </c>
      <c r="C351" s="66" t="inlineStr">
        <is>
          <t>PROPOSED</t>
        </is>
      </c>
      <c r="D351" s="66" t="inlineStr">
        <is>
          <t>V7 — Document &amp; design inspection</t>
        </is>
      </c>
      <c r="E351" s="66" t="n"/>
      <c r="F351" s="66" t="inlineStr">
        <is>
          <t>Specification text against implementation description; provenance sections; objective card lines</t>
        </is>
      </c>
      <c r="G351" s="66" t="inlineStr">
        <is>
          <t>B — sample ≥ 30%</t>
        </is>
      </c>
      <c r="H351" s="67" t="n"/>
      <c r="I351" s="67" t="n"/>
      <c r="J351" s="67" t="n"/>
      <c r="K351" s="64">
        <f>IFERROR(INDEX('Status Map'!$B$2:$B$12,MATCH(C351,'Status Map'!$A$2:$A$12,0)),"UNDEFINED")</f>
        <v/>
      </c>
      <c r="L351" s="64">
        <f>IFERROR(INDEX('Status Map'!$C$2:$C$12,MATCH(C351,'Status Map'!$A$2:$A$12,0)),"UNDEFINED")</f>
        <v/>
      </c>
      <c r="M351" s="68" t="inlineStr">
        <is>
          <t>STATEMENT AS REGISTERED</t>
        </is>
      </c>
      <c r="N351" s="68" t="n"/>
      <c r="O351" s="68" t="n"/>
      <c r="P351" s="64">
        <f>IF(O351&lt;&gt;"",O351,LEFT(D351,2))</f>
        <v/>
      </c>
      <c r="Q351" s="64">
        <f>IF(O351&lt;&gt;"","Standards §6",IF(M351="HEADING ONLY","Derived from heading — PROVISIONAL",IF(M351="TEXT NOT IN REGISTRY","No text to derive from — PROVISIONAL","Derived from registered statement")))</f>
        <v/>
      </c>
      <c r="R351" s="64">
        <f>IF(OR(LEFT(G351,1)="A",L351="COUNTS",ISNUMBER(SEARCH("V1",P351)),ISNUMBER(SEARCH("V2",P351)),ISNUMBER(SEARCH("V5",P351))),"A — 100%","B — sample ≥ 30%")</f>
        <v/>
      </c>
      <c r="S351" s="67" t="n"/>
      <c r="T351" s="67" t="n"/>
      <c r="U351" s="67" t="n"/>
      <c r="V351" s="67" t="n"/>
      <c r="W351" s="67" t="n"/>
      <c r="X351" s="67" t="n"/>
    </row>
    <row r="352" ht="22.35" customHeight="1" s="45">
      <c r="A352" s="65" t="inlineStr">
        <is>
          <t>DAP-34</t>
        </is>
      </c>
      <c r="B352" s="66" t="inlineStr">
        <is>
          <t>Amendment W-4</t>
        </is>
      </c>
      <c r="C352" s="66" t="inlineStr">
        <is>
          <t>PROPOSED</t>
        </is>
      </c>
      <c r="D352" s="66" t="inlineStr">
        <is>
          <t>V1 — Test evidence</t>
        </is>
      </c>
      <c r="E352" s="66" t="inlineStr">
        <is>
          <t>V3</t>
        </is>
      </c>
      <c r="F352" s="66" t="inlineStr">
        <is>
          <t>Golden-input, byte-identical output; RED-first test ID; ratchet manifest entry</t>
        </is>
      </c>
      <c r="G352" s="66" t="inlineStr">
        <is>
          <t>A — 100%</t>
        </is>
      </c>
      <c r="H352" s="67" t="n"/>
      <c r="I352" s="67" t="n"/>
      <c r="J352" s="67" t="n"/>
      <c r="K352" s="64">
        <f>IFERROR(INDEX('Status Map'!$B$2:$B$12,MATCH(C352,'Status Map'!$A$2:$A$12,0)),"UNDEFINED")</f>
        <v/>
      </c>
      <c r="L352" s="64">
        <f>IFERROR(INDEX('Status Map'!$C$2:$C$12,MATCH(C352,'Status Map'!$A$2:$A$12,0)),"UNDEFINED")</f>
        <v/>
      </c>
      <c r="M352" s="68" t="inlineStr">
        <is>
          <t>STATEMENT AS REGISTERED</t>
        </is>
      </c>
      <c r="N352" s="68" t="inlineStr">
        <is>
          <t>C-6.14.4</t>
        </is>
      </c>
      <c r="O352" s="68" t="inlineStr">
        <is>
          <t>V1</t>
        </is>
      </c>
      <c r="P352" s="64">
        <f>IF(O352&lt;&gt;"",O352,LEFT(D352,2))</f>
        <v/>
      </c>
      <c r="Q352" s="64">
        <f>IF(O352&lt;&gt;"","Standards §6",IF(M352="HEADING ONLY","Derived from heading — PROVISIONAL",IF(M352="TEXT NOT IN REGISTRY","No text to derive from — PROVISIONAL","Derived from registered statement")))</f>
        <v/>
      </c>
      <c r="R352" s="64">
        <f>IF(OR(LEFT(G352,1)="A",L352="COUNTS",ISNUMBER(SEARCH("V1",P352)),ISNUMBER(SEARCH("V2",P352)),ISNUMBER(SEARCH("V5",P352))),"A — 100%","B — sample ≥ 30%")</f>
        <v/>
      </c>
      <c r="S352" s="67" t="n"/>
      <c r="T352" s="67" t="n"/>
      <c r="U352" s="67" t="n"/>
      <c r="V352" s="67" t="n"/>
      <c r="W352" s="67" t="n"/>
      <c r="X352" s="67" t="n"/>
    </row>
    <row r="353" ht="22.35" customHeight="1" s="45">
      <c r="A353" s="65" t="inlineStr">
        <is>
          <t>DAP-35</t>
        </is>
      </c>
      <c r="B353" s="66" t="inlineStr">
        <is>
          <t>Amendment W-7</t>
        </is>
      </c>
      <c r="C353" s="66" t="inlineStr">
        <is>
          <t>PROPOSED</t>
        </is>
      </c>
      <c r="D353" s="66" t="inlineStr">
        <is>
          <t>V7 — Document &amp; design inspection</t>
        </is>
      </c>
      <c r="E353" s="66" t="n"/>
      <c r="F353" s="66" t="inlineStr">
        <is>
          <t>Specification text against implementation description; provenance sections; objective card lines</t>
        </is>
      </c>
      <c r="G353" s="66" t="inlineStr">
        <is>
          <t>B — sample ≥ 30%</t>
        </is>
      </c>
      <c r="H353" s="67" t="n"/>
      <c r="I353" s="67" t="n"/>
      <c r="J353" s="67" t="n"/>
      <c r="K353" s="64">
        <f>IFERROR(INDEX('Status Map'!$B$2:$B$12,MATCH(C353,'Status Map'!$A$2:$A$12,0)),"UNDEFINED")</f>
        <v/>
      </c>
      <c r="L353" s="64">
        <f>IFERROR(INDEX('Status Map'!$C$2:$C$12,MATCH(C353,'Status Map'!$A$2:$A$12,0)),"UNDEFINED")</f>
        <v/>
      </c>
      <c r="M353" s="68" t="inlineStr">
        <is>
          <t>STATEMENT AS REGISTERED</t>
        </is>
      </c>
      <c r="N353" s="68" t="inlineStr">
        <is>
          <t>C-6.7.6, C-6.7.7</t>
        </is>
      </c>
      <c r="O353" s="68" t="inlineStr">
        <is>
          <t>V1 + V5 + V6</t>
        </is>
      </c>
      <c r="P353" s="64">
        <f>IF(O353&lt;&gt;"",O353,LEFT(D353,2))</f>
        <v/>
      </c>
      <c r="Q353" s="64">
        <f>IF(O353&lt;&gt;"","Standards §6",IF(M353="HEADING ONLY","Derived from heading — PROVISIONAL",IF(M353="TEXT NOT IN REGISTRY","No text to derive from — PROVISIONAL","Derived from registered statement")))</f>
        <v/>
      </c>
      <c r="R353" s="64">
        <f>IF(OR(LEFT(G353,1)="A",L353="COUNTS",ISNUMBER(SEARCH("V1",P353)),ISNUMBER(SEARCH("V2",P353)),ISNUMBER(SEARCH("V5",P353))),"A — 100%","B — sample ≥ 30%")</f>
        <v/>
      </c>
      <c r="S353" s="67" t="n"/>
      <c r="T353" s="67" t="n"/>
      <c r="U353" s="67" t="n"/>
      <c r="V353" s="67" t="n"/>
      <c r="W353" s="67" t="n"/>
      <c r="X353" s="67" t="n"/>
    </row>
    <row r="354" ht="22.35" customHeight="1" s="45">
      <c r="A354" s="65" t="inlineStr">
        <is>
          <t>DAP-36</t>
        </is>
      </c>
      <c r="B354" s="66" t="inlineStr">
        <is>
          <t>Amendment W-8</t>
        </is>
      </c>
      <c r="C354" s="66" t="inlineStr">
        <is>
          <t>PROPOSED</t>
        </is>
      </c>
      <c r="D354" s="66" t="inlineStr">
        <is>
          <t>V7 — Document &amp; design inspection</t>
        </is>
      </c>
      <c r="E354" s="66" t="n"/>
      <c r="F354" s="66" t="inlineStr">
        <is>
          <t>Specification text against implementation description; provenance sections; objective card lines</t>
        </is>
      </c>
      <c r="G354" s="66" t="inlineStr">
        <is>
          <t>B — sample ≥ 30%</t>
        </is>
      </c>
      <c r="H354" s="67" t="n"/>
      <c r="I354" s="67" t="n"/>
      <c r="J354" s="67" t="n"/>
      <c r="K354" s="64">
        <f>IFERROR(INDEX('Status Map'!$B$2:$B$12,MATCH(C354,'Status Map'!$A$2:$A$12,0)),"UNDEFINED")</f>
        <v/>
      </c>
      <c r="L354" s="64">
        <f>IFERROR(INDEX('Status Map'!$C$2:$C$12,MATCH(C354,'Status Map'!$A$2:$A$12,0)),"UNDEFINED")</f>
        <v/>
      </c>
      <c r="M354" s="68" t="inlineStr">
        <is>
          <t>STATEMENT AS REGISTERED</t>
        </is>
      </c>
      <c r="N354" s="68" t="inlineStr">
        <is>
          <t>C-6.7.10</t>
        </is>
      </c>
      <c r="O354" s="68" t="inlineStr">
        <is>
          <t>V1</t>
        </is>
      </c>
      <c r="P354" s="64">
        <f>IF(O354&lt;&gt;"",O354,LEFT(D354,2))</f>
        <v/>
      </c>
      <c r="Q354" s="64">
        <f>IF(O354&lt;&gt;"","Standards §6",IF(M354="HEADING ONLY","Derived from heading — PROVISIONAL",IF(M354="TEXT NOT IN REGISTRY","No text to derive from — PROVISIONAL","Derived from registered statement")))</f>
        <v/>
      </c>
      <c r="R354" s="64">
        <f>IF(OR(LEFT(G354,1)="A",L354="COUNTS",ISNUMBER(SEARCH("V1",P354)),ISNUMBER(SEARCH("V2",P354)),ISNUMBER(SEARCH("V5",P354))),"A — 100%","B — sample ≥ 30%")</f>
        <v/>
      </c>
      <c r="S354" s="67" t="n"/>
      <c r="T354" s="67" t="n"/>
      <c r="U354" s="67" t="n"/>
      <c r="V354" s="67" t="n"/>
      <c r="W354" s="67" t="n"/>
      <c r="X354" s="67" t="n"/>
    </row>
    <row r="355" ht="22.35" customHeight="1" s="45">
      <c r="A355" s="65" t="inlineStr">
        <is>
          <t>BR-1.1</t>
        </is>
      </c>
      <c r="B355" s="66" t="inlineStr">
        <is>
          <t>Governance Architecture</t>
        </is>
      </c>
      <c r="C355" s="66" t="inlineStr">
        <is>
          <t>PROPOSED</t>
        </is>
      </c>
      <c r="D355" s="66" t="inlineStr">
        <is>
          <t>V2 — Structural evidence</t>
        </is>
      </c>
      <c r="E355" s="66" t="n"/>
      <c r="F355" s="66" t="inlineStr">
        <is>
          <t>Negative-scan or AST rule present, named, and green in CI; scan surface stated</t>
        </is>
      </c>
      <c r="G355" s="66" t="inlineStr">
        <is>
          <t>A — 100%</t>
        </is>
      </c>
      <c r="H355" s="67" t="n"/>
      <c r="I355" s="67" t="n"/>
      <c r="J355" s="67" t="n"/>
      <c r="K355" s="64">
        <f>IFERROR(INDEX('Status Map'!$B$2:$B$12,MATCH(C355,'Status Map'!$A$2:$A$12,0)),"UNDEFINED")</f>
        <v/>
      </c>
      <c r="L355" s="64">
        <f>IFERROR(INDEX('Status Map'!$C$2:$C$12,MATCH(C355,'Status Map'!$A$2:$A$12,0)),"UNDEFINED")</f>
        <v/>
      </c>
      <c r="M355" s="68" t="inlineStr">
        <is>
          <t>STATEMENT AS REGISTERED</t>
        </is>
      </c>
      <c r="N355" s="68" t="n"/>
      <c r="O355" s="68" t="n"/>
      <c r="P355" s="64">
        <f>IF(O355&lt;&gt;"",O355,LEFT(D355,2))</f>
        <v/>
      </c>
      <c r="Q355" s="64">
        <f>IF(O355&lt;&gt;"","Standards §6",IF(M355="HEADING ONLY","Derived from heading — PROVISIONAL",IF(M355="TEXT NOT IN REGISTRY","No text to derive from — PROVISIONAL","Derived from registered statement")))</f>
        <v/>
      </c>
      <c r="R355" s="64">
        <f>IF(OR(LEFT(G355,1)="A",L355="COUNTS",ISNUMBER(SEARCH("V1",P355)),ISNUMBER(SEARCH("V2",P355)),ISNUMBER(SEARCH("V5",P355))),"A — 100%","B — sample ≥ 30%")</f>
        <v/>
      </c>
      <c r="S355" s="67" t="n"/>
      <c r="T355" s="67" t="n"/>
      <c r="U355" s="67" t="n"/>
      <c r="V355" s="67" t="n"/>
      <c r="W355" s="67" t="n"/>
      <c r="X355" s="67" t="n"/>
    </row>
    <row r="356" ht="22.35" customHeight="1" s="45">
      <c r="A356" s="65" t="inlineStr">
        <is>
          <t>BR-1.2</t>
        </is>
      </c>
      <c r="B356" s="66" t="inlineStr">
        <is>
          <t>Governance Architecture</t>
        </is>
      </c>
      <c r="C356" s="66" t="inlineStr">
        <is>
          <t>PROPOSED</t>
        </is>
      </c>
      <c r="D356" s="66" t="inlineStr">
        <is>
          <t>V7 — Document &amp; design inspection</t>
        </is>
      </c>
      <c r="E356" s="66" t="n"/>
      <c r="F356" s="66" t="inlineStr">
        <is>
          <t>Specification text against implementation description; provenance sections; objective card lines</t>
        </is>
      </c>
      <c r="G356" s="66" t="inlineStr">
        <is>
          <t>A — 100%</t>
        </is>
      </c>
      <c r="H356" s="67" t="n"/>
      <c r="I356" s="67" t="n"/>
      <c r="J356" s="67" t="n"/>
      <c r="K356" s="64">
        <f>IFERROR(INDEX('Status Map'!$B$2:$B$12,MATCH(C356,'Status Map'!$A$2:$A$12,0)),"UNDEFINED")</f>
        <v/>
      </c>
      <c r="L356" s="64">
        <f>IFERROR(INDEX('Status Map'!$C$2:$C$12,MATCH(C356,'Status Map'!$A$2:$A$12,0)),"UNDEFINED")</f>
        <v/>
      </c>
      <c r="M356" s="68" t="inlineStr">
        <is>
          <t>STATEMENT AS REGISTERED</t>
        </is>
      </c>
      <c r="N356" s="68" t="n"/>
      <c r="O356" s="68" t="n"/>
      <c r="P356" s="64">
        <f>IF(O356&lt;&gt;"",O356,LEFT(D356,2))</f>
        <v/>
      </c>
      <c r="Q356" s="64">
        <f>IF(O356&lt;&gt;"","Standards §6",IF(M356="HEADING ONLY","Derived from heading — PROVISIONAL",IF(M356="TEXT NOT IN REGISTRY","No text to derive from — PROVISIONAL","Derived from registered statement")))</f>
        <v/>
      </c>
      <c r="R356" s="64">
        <f>IF(OR(LEFT(G356,1)="A",L356="COUNTS",ISNUMBER(SEARCH("V1",P356)),ISNUMBER(SEARCH("V2",P356)),ISNUMBER(SEARCH("V5",P356))),"A — 100%","B — sample ≥ 30%")</f>
        <v/>
      </c>
      <c r="S356" s="67" t="n"/>
      <c r="T356" s="67" t="n"/>
      <c r="U356" s="67" t="n"/>
      <c r="V356" s="67" t="n"/>
      <c r="W356" s="67" t="n"/>
      <c r="X356" s="67" t="n"/>
    </row>
    <row r="357" ht="22.35" customHeight="1" s="45">
      <c r="A357" s="65" t="inlineStr">
        <is>
          <t>BR-1.3</t>
        </is>
      </c>
      <c r="B357" s="66" t="inlineStr">
        <is>
          <t>Governance Architecture</t>
        </is>
      </c>
      <c r="C357" s="66" t="inlineStr">
        <is>
          <t>PROPOSED</t>
        </is>
      </c>
      <c r="D357" s="66" t="inlineStr">
        <is>
          <t>V3 — Record evidence</t>
        </is>
      </c>
      <c r="E357" s="66" t="n"/>
      <c r="F357" s="66" t="inlineStr">
        <is>
          <t>Ledger rows inspected; hash-chain verifier receipt; refused operations present on identical terms</t>
        </is>
      </c>
      <c r="G357" s="66" t="inlineStr">
        <is>
          <t>A — 100%</t>
        </is>
      </c>
      <c r="H357" s="67" t="n"/>
      <c r="I357" s="67" t="n"/>
      <c r="J357" s="67" t="n"/>
      <c r="K357" s="64">
        <f>IFERROR(INDEX('Status Map'!$B$2:$B$12,MATCH(C357,'Status Map'!$A$2:$A$12,0)),"UNDEFINED")</f>
        <v/>
      </c>
      <c r="L357" s="64">
        <f>IFERROR(INDEX('Status Map'!$C$2:$C$12,MATCH(C357,'Status Map'!$A$2:$A$12,0)),"UNDEFINED")</f>
        <v/>
      </c>
      <c r="M357" s="68" t="inlineStr">
        <is>
          <t>STATEMENT AS REGISTERED</t>
        </is>
      </c>
      <c r="N357" s="68" t="n"/>
      <c r="O357" s="68" t="n"/>
      <c r="P357" s="64">
        <f>IF(O357&lt;&gt;"",O357,LEFT(D357,2))</f>
        <v/>
      </c>
      <c r="Q357" s="64">
        <f>IF(O357&lt;&gt;"","Standards §6",IF(M357="HEADING ONLY","Derived from heading — PROVISIONAL",IF(M357="TEXT NOT IN REGISTRY","No text to derive from — PROVISIONAL","Derived from registered statement")))</f>
        <v/>
      </c>
      <c r="R357" s="64">
        <f>IF(OR(LEFT(G357,1)="A",L357="COUNTS",ISNUMBER(SEARCH("V1",P357)),ISNUMBER(SEARCH("V2",P357)),ISNUMBER(SEARCH("V5",P357))),"A — 100%","B — sample ≥ 30%")</f>
        <v/>
      </c>
      <c r="S357" s="67" t="n"/>
      <c r="T357" s="67" t="n"/>
      <c r="U357" s="67" t="n"/>
      <c r="V357" s="67" t="n"/>
      <c r="W357" s="67" t="n"/>
      <c r="X357" s="67" t="n"/>
    </row>
    <row r="358" ht="22.35" customHeight="1" s="45">
      <c r="A358" s="65" t="inlineStr">
        <is>
          <t>BR-1.4</t>
        </is>
      </c>
      <c r="B358" s="66" t="inlineStr">
        <is>
          <t>Governance Architecture</t>
        </is>
      </c>
      <c r="C358" s="66" t="inlineStr">
        <is>
          <t>PROPOSED</t>
        </is>
      </c>
      <c r="D358" s="66" t="inlineStr">
        <is>
          <t>V7 — Document &amp; design inspection</t>
        </is>
      </c>
      <c r="E358" s="66" t="n"/>
      <c r="F358" s="66" t="inlineStr">
        <is>
          <t>Specification text against implementation description; provenance sections; objective card lines</t>
        </is>
      </c>
      <c r="G358" s="66" t="inlineStr">
        <is>
          <t>A — 100%</t>
        </is>
      </c>
      <c r="H358" s="67" t="n"/>
      <c r="I358" s="67" t="n"/>
      <c r="J358" s="67" t="n"/>
      <c r="K358" s="64">
        <f>IFERROR(INDEX('Status Map'!$B$2:$B$12,MATCH(C358,'Status Map'!$A$2:$A$12,0)),"UNDEFINED")</f>
        <v/>
      </c>
      <c r="L358" s="64">
        <f>IFERROR(INDEX('Status Map'!$C$2:$C$12,MATCH(C358,'Status Map'!$A$2:$A$12,0)),"UNDEFINED")</f>
        <v/>
      </c>
      <c r="M358" s="68" t="inlineStr">
        <is>
          <t>STATEMENT AS REGISTERED</t>
        </is>
      </c>
      <c r="N358" s="68" t="n"/>
      <c r="O358" s="68" t="n"/>
      <c r="P358" s="64">
        <f>IF(O358&lt;&gt;"",O358,LEFT(D358,2))</f>
        <v/>
      </c>
      <c r="Q358" s="64">
        <f>IF(O358&lt;&gt;"","Standards §6",IF(M358="HEADING ONLY","Derived from heading — PROVISIONAL",IF(M358="TEXT NOT IN REGISTRY","No text to derive from — PROVISIONAL","Derived from registered statement")))</f>
        <v/>
      </c>
      <c r="R358" s="64">
        <f>IF(OR(LEFT(G358,1)="A",L358="COUNTS",ISNUMBER(SEARCH("V1",P358)),ISNUMBER(SEARCH("V2",P358)),ISNUMBER(SEARCH("V5",P358))),"A — 100%","B — sample ≥ 30%")</f>
        <v/>
      </c>
      <c r="S358" s="67" t="n"/>
      <c r="T358" s="67" t="n"/>
      <c r="U358" s="67" t="n"/>
      <c r="V358" s="67" t="n"/>
      <c r="W358" s="67" t="n"/>
      <c r="X358" s="67" t="n"/>
    </row>
    <row r="359" ht="22.35" customHeight="1" s="45">
      <c r="A359" s="65" t="inlineStr">
        <is>
          <t>BR-1.5</t>
        </is>
      </c>
      <c r="B359" s="66" t="inlineStr">
        <is>
          <t>Governance Architecture</t>
        </is>
      </c>
      <c r="C359" s="66" t="inlineStr">
        <is>
          <t>PROPOSED</t>
        </is>
      </c>
      <c r="D359" s="66" t="inlineStr">
        <is>
          <t>V7 — Document &amp; design inspection</t>
        </is>
      </c>
      <c r="E359" s="66" t="n"/>
      <c r="F359" s="66" t="inlineStr">
        <is>
          <t>Specification text against implementation description; provenance sections; objective card lines</t>
        </is>
      </c>
      <c r="G359" s="66" t="inlineStr">
        <is>
          <t>A — 100%</t>
        </is>
      </c>
      <c r="H359" s="67" t="n"/>
      <c r="I359" s="67" t="n"/>
      <c r="J359" s="67" t="n"/>
      <c r="K359" s="64">
        <f>IFERROR(INDEX('Status Map'!$B$2:$B$12,MATCH(C359,'Status Map'!$A$2:$A$12,0)),"UNDEFINED")</f>
        <v/>
      </c>
      <c r="L359" s="64">
        <f>IFERROR(INDEX('Status Map'!$C$2:$C$12,MATCH(C359,'Status Map'!$A$2:$A$12,0)),"UNDEFINED")</f>
        <v/>
      </c>
      <c r="M359" s="68" t="inlineStr">
        <is>
          <t>STATEMENT AS REGISTERED</t>
        </is>
      </c>
      <c r="N359" s="68" t="n"/>
      <c r="O359" s="68" t="n"/>
      <c r="P359" s="64">
        <f>IF(O359&lt;&gt;"",O359,LEFT(D359,2))</f>
        <v/>
      </c>
      <c r="Q359" s="64">
        <f>IF(O359&lt;&gt;"","Standards §6",IF(M359="HEADING ONLY","Derived from heading — PROVISIONAL",IF(M359="TEXT NOT IN REGISTRY","No text to derive from — PROVISIONAL","Derived from registered statement")))</f>
        <v/>
      </c>
      <c r="R359" s="64">
        <f>IF(OR(LEFT(G359,1)="A",L359="COUNTS",ISNUMBER(SEARCH("V1",P359)),ISNUMBER(SEARCH("V2",P359)),ISNUMBER(SEARCH("V5",P359))),"A — 100%","B — sample ≥ 30%")</f>
        <v/>
      </c>
      <c r="S359" s="67" t="n"/>
      <c r="T359" s="67" t="n"/>
      <c r="U359" s="67" t="n"/>
      <c r="V359" s="67" t="n"/>
      <c r="W359" s="67" t="n"/>
      <c r="X359" s="67" t="n"/>
    </row>
    <row r="360" ht="22.35" customHeight="1" s="45">
      <c r="A360" s="65" t="inlineStr">
        <is>
          <t>BR-2.1</t>
        </is>
      </c>
      <c r="B360" s="66" t="inlineStr">
        <is>
          <t>Governance Architecture</t>
        </is>
      </c>
      <c r="C360" s="66" t="inlineStr">
        <is>
          <t>PROPOSED</t>
        </is>
      </c>
      <c r="D360" s="66" t="inlineStr">
        <is>
          <t>V7 — Document &amp; design inspection</t>
        </is>
      </c>
      <c r="E360" s="66" t="n"/>
      <c r="F360" s="66" t="inlineStr">
        <is>
          <t>Specification text against implementation description; provenance sections; objective card lines</t>
        </is>
      </c>
      <c r="G360" s="66" t="inlineStr">
        <is>
          <t>A — 100%</t>
        </is>
      </c>
      <c r="H360" s="67" t="n"/>
      <c r="I360" s="67" t="n"/>
      <c r="J360" s="67" t="n"/>
      <c r="K360" s="64">
        <f>IFERROR(INDEX('Status Map'!$B$2:$B$12,MATCH(C360,'Status Map'!$A$2:$A$12,0)),"UNDEFINED")</f>
        <v/>
      </c>
      <c r="L360" s="64">
        <f>IFERROR(INDEX('Status Map'!$C$2:$C$12,MATCH(C360,'Status Map'!$A$2:$A$12,0)),"UNDEFINED")</f>
        <v/>
      </c>
      <c r="M360" s="68" t="inlineStr">
        <is>
          <t>STATEMENT AS REGISTERED</t>
        </is>
      </c>
      <c r="N360" s="68" t="n"/>
      <c r="O360" s="68" t="n"/>
      <c r="P360" s="64">
        <f>IF(O360&lt;&gt;"",O360,LEFT(D360,2))</f>
        <v/>
      </c>
      <c r="Q360" s="64">
        <f>IF(O360&lt;&gt;"","Standards §6",IF(M360="HEADING ONLY","Derived from heading — PROVISIONAL",IF(M360="TEXT NOT IN REGISTRY","No text to derive from — PROVISIONAL","Derived from registered statement")))</f>
        <v/>
      </c>
      <c r="R360" s="64">
        <f>IF(OR(LEFT(G360,1)="A",L360="COUNTS",ISNUMBER(SEARCH("V1",P360)),ISNUMBER(SEARCH("V2",P360)),ISNUMBER(SEARCH("V5",P360))),"A — 100%","B — sample ≥ 30%")</f>
        <v/>
      </c>
      <c r="S360" s="67" t="n"/>
      <c r="T360" s="67" t="n"/>
      <c r="U360" s="67" t="n"/>
      <c r="V360" s="67" t="n"/>
      <c r="W360" s="67" t="n"/>
      <c r="X360" s="67" t="n"/>
    </row>
    <row r="361" ht="22.35" customHeight="1" s="45">
      <c r="A361" s="65" t="inlineStr">
        <is>
          <t>BR-2.2</t>
        </is>
      </c>
      <c r="B361" s="66" t="inlineStr">
        <is>
          <t>Governance Architecture</t>
        </is>
      </c>
      <c r="C361" s="66" t="inlineStr">
        <is>
          <t>PROPOSED</t>
        </is>
      </c>
      <c r="D361" s="66" t="inlineStr">
        <is>
          <t>V3 — Record evidence</t>
        </is>
      </c>
      <c r="E361" s="66" t="n"/>
      <c r="F361" s="66" t="inlineStr">
        <is>
          <t>Ledger rows inspected; hash-chain verifier receipt; refused operations present on identical terms</t>
        </is>
      </c>
      <c r="G361" s="66" t="inlineStr">
        <is>
          <t>A — 100%</t>
        </is>
      </c>
      <c r="H361" s="67" t="n"/>
      <c r="I361" s="67" t="n"/>
      <c r="J361" s="67" t="n"/>
      <c r="K361" s="64">
        <f>IFERROR(INDEX('Status Map'!$B$2:$B$12,MATCH(C361,'Status Map'!$A$2:$A$12,0)),"UNDEFINED")</f>
        <v/>
      </c>
      <c r="L361" s="64">
        <f>IFERROR(INDEX('Status Map'!$C$2:$C$12,MATCH(C361,'Status Map'!$A$2:$A$12,0)),"UNDEFINED")</f>
        <v/>
      </c>
      <c r="M361" s="68" t="inlineStr">
        <is>
          <t>STATEMENT AS REGISTERED</t>
        </is>
      </c>
      <c r="N361" s="68" t="n"/>
      <c r="O361" s="68" t="n"/>
      <c r="P361" s="64">
        <f>IF(O361&lt;&gt;"",O361,LEFT(D361,2))</f>
        <v/>
      </c>
      <c r="Q361" s="64">
        <f>IF(O361&lt;&gt;"","Standards §6",IF(M361="HEADING ONLY","Derived from heading — PROVISIONAL",IF(M361="TEXT NOT IN REGISTRY","No text to derive from — PROVISIONAL","Derived from registered statement")))</f>
        <v/>
      </c>
      <c r="R361" s="64">
        <f>IF(OR(LEFT(G361,1)="A",L361="COUNTS",ISNUMBER(SEARCH("V1",P361)),ISNUMBER(SEARCH("V2",P361)),ISNUMBER(SEARCH("V5",P361))),"A — 100%","B — sample ≥ 30%")</f>
        <v/>
      </c>
      <c r="S361" s="67" t="n"/>
      <c r="T361" s="67" t="n"/>
      <c r="U361" s="67" t="n"/>
      <c r="V361" s="67" t="n"/>
      <c r="W361" s="67" t="n"/>
      <c r="X361" s="67" t="n"/>
    </row>
    <row r="362" ht="22.35" customHeight="1" s="45">
      <c r="A362" s="65" t="inlineStr">
        <is>
          <t>BR-2.3</t>
        </is>
      </c>
      <c r="B362" s="66" t="inlineStr">
        <is>
          <t>Governance Architecture</t>
        </is>
      </c>
      <c r="C362" s="66" t="inlineStr">
        <is>
          <t>PROPOSED</t>
        </is>
      </c>
      <c r="D362" s="66" t="inlineStr">
        <is>
          <t>V7 — Document &amp; design inspection</t>
        </is>
      </c>
      <c r="E362" s="66" t="n"/>
      <c r="F362" s="66" t="inlineStr">
        <is>
          <t>Specification text against implementation description; provenance sections; objective card lines</t>
        </is>
      </c>
      <c r="G362" s="66" t="inlineStr">
        <is>
          <t>A — 100%</t>
        </is>
      </c>
      <c r="H362" s="67" t="n"/>
      <c r="I362" s="67" t="n"/>
      <c r="J362" s="67" t="n"/>
      <c r="K362" s="64">
        <f>IFERROR(INDEX('Status Map'!$B$2:$B$12,MATCH(C362,'Status Map'!$A$2:$A$12,0)),"UNDEFINED")</f>
        <v/>
      </c>
      <c r="L362" s="64">
        <f>IFERROR(INDEX('Status Map'!$C$2:$C$12,MATCH(C362,'Status Map'!$A$2:$A$12,0)),"UNDEFINED")</f>
        <v/>
      </c>
      <c r="M362" s="68" t="inlineStr">
        <is>
          <t>STATEMENT AS REGISTERED</t>
        </is>
      </c>
      <c r="N362" s="68" t="n"/>
      <c r="O362" s="68" t="n"/>
      <c r="P362" s="64">
        <f>IF(O362&lt;&gt;"",O362,LEFT(D362,2))</f>
        <v/>
      </c>
      <c r="Q362" s="64">
        <f>IF(O362&lt;&gt;"","Standards §6",IF(M362="HEADING ONLY","Derived from heading — PROVISIONAL",IF(M362="TEXT NOT IN REGISTRY","No text to derive from — PROVISIONAL","Derived from registered statement")))</f>
        <v/>
      </c>
      <c r="R362" s="64">
        <f>IF(OR(LEFT(G362,1)="A",L362="COUNTS",ISNUMBER(SEARCH("V1",P362)),ISNUMBER(SEARCH("V2",P362)),ISNUMBER(SEARCH("V5",P362))),"A — 100%","B — sample ≥ 30%")</f>
        <v/>
      </c>
      <c r="S362" s="67" t="n"/>
      <c r="T362" s="67" t="n"/>
      <c r="U362" s="67" t="n"/>
      <c r="V362" s="67" t="n"/>
      <c r="W362" s="67" t="n"/>
      <c r="X362" s="67" t="n"/>
    </row>
    <row r="363" ht="22.35" customHeight="1" s="45">
      <c r="A363" s="65" t="inlineStr">
        <is>
          <t>BR-3.1</t>
        </is>
      </c>
      <c r="B363" s="66" t="inlineStr">
        <is>
          <t>Governance Architecture</t>
        </is>
      </c>
      <c r="C363" s="66" t="inlineStr">
        <is>
          <t>PROPOSED</t>
        </is>
      </c>
      <c r="D363" s="66" t="inlineStr">
        <is>
          <t>V7 — Document &amp; design inspection</t>
        </is>
      </c>
      <c r="E363" s="66" t="n"/>
      <c r="F363" s="66" t="inlineStr">
        <is>
          <t>Specification text against implementation description; provenance sections; objective card lines</t>
        </is>
      </c>
      <c r="G363" s="66" t="inlineStr">
        <is>
          <t>A — 100%</t>
        </is>
      </c>
      <c r="H363" s="67" t="n"/>
      <c r="I363" s="67" t="n"/>
      <c r="J363" s="67" t="n"/>
      <c r="K363" s="64">
        <f>IFERROR(INDEX('Status Map'!$B$2:$B$12,MATCH(C363,'Status Map'!$A$2:$A$12,0)),"UNDEFINED")</f>
        <v/>
      </c>
      <c r="L363" s="64">
        <f>IFERROR(INDEX('Status Map'!$C$2:$C$12,MATCH(C363,'Status Map'!$A$2:$A$12,0)),"UNDEFINED")</f>
        <v/>
      </c>
      <c r="M363" s="68" t="inlineStr">
        <is>
          <t>STATEMENT AS REGISTERED</t>
        </is>
      </c>
      <c r="N363" s="68" t="n"/>
      <c r="O363" s="68" t="n"/>
      <c r="P363" s="64">
        <f>IF(O363&lt;&gt;"",O363,LEFT(D363,2))</f>
        <v/>
      </c>
      <c r="Q363" s="64">
        <f>IF(O363&lt;&gt;"","Standards §6",IF(M363="HEADING ONLY","Derived from heading — PROVISIONAL",IF(M363="TEXT NOT IN REGISTRY","No text to derive from — PROVISIONAL","Derived from registered statement")))</f>
        <v/>
      </c>
      <c r="R363" s="64">
        <f>IF(OR(LEFT(G363,1)="A",L363="COUNTS",ISNUMBER(SEARCH("V1",P363)),ISNUMBER(SEARCH("V2",P363)),ISNUMBER(SEARCH("V5",P363))),"A — 100%","B — sample ≥ 30%")</f>
        <v/>
      </c>
      <c r="S363" s="67" t="n"/>
      <c r="T363" s="67" t="n"/>
      <c r="U363" s="67" t="n"/>
      <c r="V363" s="67" t="n"/>
      <c r="W363" s="67" t="n"/>
      <c r="X363" s="67" t="n"/>
    </row>
    <row r="364" ht="22.35" customHeight="1" s="45">
      <c r="A364" s="65" t="inlineStr">
        <is>
          <t>BR-3.2</t>
        </is>
      </c>
      <c r="B364" s="66" t="inlineStr">
        <is>
          <t>Governance Architecture</t>
        </is>
      </c>
      <c r="C364" s="66" t="inlineStr">
        <is>
          <t>PROPOSED</t>
        </is>
      </c>
      <c r="D364" s="66" t="inlineStr">
        <is>
          <t>V7 — Document &amp; design inspection</t>
        </is>
      </c>
      <c r="E364" s="66" t="n"/>
      <c r="F364" s="66" t="inlineStr">
        <is>
          <t>Specification text against implementation description; provenance sections; objective card lines</t>
        </is>
      </c>
      <c r="G364" s="66" t="inlineStr">
        <is>
          <t>A — 100%</t>
        </is>
      </c>
      <c r="H364" s="67" t="n"/>
      <c r="I364" s="67" t="n"/>
      <c r="J364" s="67" t="n"/>
      <c r="K364" s="64">
        <f>IFERROR(INDEX('Status Map'!$B$2:$B$12,MATCH(C364,'Status Map'!$A$2:$A$12,0)),"UNDEFINED")</f>
        <v/>
      </c>
      <c r="L364" s="64">
        <f>IFERROR(INDEX('Status Map'!$C$2:$C$12,MATCH(C364,'Status Map'!$A$2:$A$12,0)),"UNDEFINED")</f>
        <v/>
      </c>
      <c r="M364" s="68" t="inlineStr">
        <is>
          <t>STATEMENT AS REGISTERED</t>
        </is>
      </c>
      <c r="N364" s="68" t="n"/>
      <c r="O364" s="68" t="n"/>
      <c r="P364" s="64">
        <f>IF(O364&lt;&gt;"",O364,LEFT(D364,2))</f>
        <v/>
      </c>
      <c r="Q364" s="64">
        <f>IF(O364&lt;&gt;"","Standards §6",IF(M364="HEADING ONLY","Derived from heading — PROVISIONAL",IF(M364="TEXT NOT IN REGISTRY","No text to derive from — PROVISIONAL","Derived from registered statement")))</f>
        <v/>
      </c>
      <c r="R364" s="64">
        <f>IF(OR(LEFT(G364,1)="A",L364="COUNTS",ISNUMBER(SEARCH("V1",P364)),ISNUMBER(SEARCH("V2",P364)),ISNUMBER(SEARCH("V5",P364))),"A — 100%","B — sample ≥ 30%")</f>
        <v/>
      </c>
      <c r="S364" s="67" t="n"/>
      <c r="T364" s="67" t="n"/>
      <c r="U364" s="67" t="n"/>
      <c r="V364" s="67" t="n"/>
      <c r="W364" s="67" t="n"/>
      <c r="X364" s="67" t="n"/>
    </row>
    <row r="365" ht="22.35" customHeight="1" s="45">
      <c r="A365" s="65" t="inlineStr">
        <is>
          <t>BR-4.1</t>
        </is>
      </c>
      <c r="B365" s="66" t="inlineStr">
        <is>
          <t>Governance Architecture</t>
        </is>
      </c>
      <c r="C365" s="66" t="inlineStr">
        <is>
          <t>PROPOSED</t>
        </is>
      </c>
      <c r="D365" s="66" t="inlineStr">
        <is>
          <t>V7 — Document &amp; design inspection</t>
        </is>
      </c>
      <c r="E365" s="66" t="n"/>
      <c r="F365" s="66" t="inlineStr">
        <is>
          <t>Specification text against implementation description; provenance sections; objective card lines</t>
        </is>
      </c>
      <c r="G365" s="66" t="inlineStr">
        <is>
          <t>A — 100%</t>
        </is>
      </c>
      <c r="H365" s="67" t="n"/>
      <c r="I365" s="67" t="n"/>
      <c r="J365" s="67" t="n"/>
      <c r="K365" s="64">
        <f>IFERROR(INDEX('Status Map'!$B$2:$B$12,MATCH(C365,'Status Map'!$A$2:$A$12,0)),"UNDEFINED")</f>
        <v/>
      </c>
      <c r="L365" s="64">
        <f>IFERROR(INDEX('Status Map'!$C$2:$C$12,MATCH(C365,'Status Map'!$A$2:$A$12,0)),"UNDEFINED")</f>
        <v/>
      </c>
      <c r="M365" s="68" t="inlineStr">
        <is>
          <t>STATEMENT AS REGISTERED</t>
        </is>
      </c>
      <c r="N365" s="68" t="n"/>
      <c r="O365" s="68" t="n"/>
      <c r="P365" s="64">
        <f>IF(O365&lt;&gt;"",O365,LEFT(D365,2))</f>
        <v/>
      </c>
      <c r="Q365" s="64">
        <f>IF(O365&lt;&gt;"","Standards §6",IF(M365="HEADING ONLY","Derived from heading — PROVISIONAL",IF(M365="TEXT NOT IN REGISTRY","No text to derive from — PROVISIONAL","Derived from registered statement")))</f>
        <v/>
      </c>
      <c r="R365" s="64">
        <f>IF(OR(LEFT(G365,1)="A",L365="COUNTS",ISNUMBER(SEARCH("V1",P365)),ISNUMBER(SEARCH("V2",P365)),ISNUMBER(SEARCH("V5",P365))),"A — 100%","B — sample ≥ 30%")</f>
        <v/>
      </c>
      <c r="S365" s="67" t="n"/>
      <c r="T365" s="67" t="n"/>
      <c r="U365" s="67" t="n"/>
      <c r="V365" s="67" t="n"/>
      <c r="W365" s="67" t="n"/>
      <c r="X365" s="67" t="n"/>
    </row>
    <row r="366" ht="22.35" customHeight="1" s="45">
      <c r="A366" s="65" t="inlineStr">
        <is>
          <t>BR-4.2</t>
        </is>
      </c>
      <c r="B366" s="66" t="inlineStr">
        <is>
          <t>Governance Architecture</t>
        </is>
      </c>
      <c r="C366" s="66" t="inlineStr">
        <is>
          <t>PROPOSED</t>
        </is>
      </c>
      <c r="D366" s="66" t="inlineStr">
        <is>
          <t>V7 — Document &amp; design inspection</t>
        </is>
      </c>
      <c r="E366" s="66" t="n"/>
      <c r="F366" s="66" t="inlineStr">
        <is>
          <t>Specification text against implementation description; provenance sections; objective card lines</t>
        </is>
      </c>
      <c r="G366" s="66" t="inlineStr">
        <is>
          <t>A — 100%</t>
        </is>
      </c>
      <c r="H366" s="67" t="n"/>
      <c r="I366" s="67" t="n"/>
      <c r="J366" s="67" t="n"/>
      <c r="K366" s="64">
        <f>IFERROR(INDEX('Status Map'!$B$2:$B$12,MATCH(C366,'Status Map'!$A$2:$A$12,0)),"UNDEFINED")</f>
        <v/>
      </c>
      <c r="L366" s="64">
        <f>IFERROR(INDEX('Status Map'!$C$2:$C$12,MATCH(C366,'Status Map'!$A$2:$A$12,0)),"UNDEFINED")</f>
        <v/>
      </c>
      <c r="M366" s="68" t="inlineStr">
        <is>
          <t>STATEMENT AS REGISTERED</t>
        </is>
      </c>
      <c r="N366" s="68" t="n"/>
      <c r="O366" s="68" t="n"/>
      <c r="P366" s="64">
        <f>IF(O366&lt;&gt;"",O366,LEFT(D366,2))</f>
        <v/>
      </c>
      <c r="Q366" s="64">
        <f>IF(O366&lt;&gt;"","Standards §6",IF(M366="HEADING ONLY","Derived from heading — PROVISIONAL",IF(M366="TEXT NOT IN REGISTRY","No text to derive from — PROVISIONAL","Derived from registered statement")))</f>
        <v/>
      </c>
      <c r="R366" s="64">
        <f>IF(OR(LEFT(G366,1)="A",L366="COUNTS",ISNUMBER(SEARCH("V1",P366)),ISNUMBER(SEARCH("V2",P366)),ISNUMBER(SEARCH("V5",P366))),"A — 100%","B — sample ≥ 30%")</f>
        <v/>
      </c>
      <c r="S366" s="67" t="n"/>
      <c r="T366" s="67" t="n"/>
      <c r="U366" s="67" t="n"/>
      <c r="V366" s="67" t="n"/>
      <c r="W366" s="67" t="n"/>
      <c r="X366" s="67" t="n"/>
    </row>
    <row r="367" ht="32.8" customHeight="1" s="45">
      <c r="A367" s="65" t="inlineStr">
        <is>
          <t>BR-5.1</t>
        </is>
      </c>
      <c r="B367" s="66" t="inlineStr">
        <is>
          <t>Governance Architecture</t>
        </is>
      </c>
      <c r="C367" s="66" t="inlineStr">
        <is>
          <t>PROPOSED</t>
        </is>
      </c>
      <c r="D367" s="66" t="inlineStr">
        <is>
          <t>V5 — Failure-injection demonstration</t>
        </is>
      </c>
      <c r="E367" s="66" t="n"/>
      <c r="F367" s="66" t="inlineStr">
        <is>
          <t>Dependency made unreachable or check made to error; observed refusal; no result returned; stale marker where degradation is the ruled posture</t>
        </is>
      </c>
      <c r="G367" s="66" t="inlineStr">
        <is>
          <t>A — 100%</t>
        </is>
      </c>
      <c r="H367" s="67" t="n"/>
      <c r="I367" s="67" t="n"/>
      <c r="J367" s="67" t="n"/>
      <c r="K367" s="64">
        <f>IFERROR(INDEX('Status Map'!$B$2:$B$12,MATCH(C367,'Status Map'!$A$2:$A$12,0)),"UNDEFINED")</f>
        <v/>
      </c>
      <c r="L367" s="64">
        <f>IFERROR(INDEX('Status Map'!$C$2:$C$12,MATCH(C367,'Status Map'!$A$2:$A$12,0)),"UNDEFINED")</f>
        <v/>
      </c>
      <c r="M367" s="68" t="inlineStr">
        <is>
          <t>STATEMENT AS REGISTERED</t>
        </is>
      </c>
      <c r="N367" s="68" t="n"/>
      <c r="O367" s="68" t="n"/>
      <c r="P367" s="64">
        <f>IF(O367&lt;&gt;"",O367,LEFT(D367,2))</f>
        <v/>
      </c>
      <c r="Q367" s="64">
        <f>IF(O367&lt;&gt;"","Standards §6",IF(M367="HEADING ONLY","Derived from heading — PROVISIONAL",IF(M367="TEXT NOT IN REGISTRY","No text to derive from — PROVISIONAL","Derived from registered statement")))</f>
        <v/>
      </c>
      <c r="R367" s="64">
        <f>IF(OR(LEFT(G367,1)="A",L367="COUNTS",ISNUMBER(SEARCH("V1",P367)),ISNUMBER(SEARCH("V2",P367)),ISNUMBER(SEARCH("V5",P367))),"A — 100%","B — sample ≥ 30%")</f>
        <v/>
      </c>
      <c r="S367" s="67" t="n"/>
      <c r="T367" s="67" t="n"/>
      <c r="U367" s="67" t="n"/>
      <c r="V367" s="67" t="n"/>
      <c r="W367" s="67" t="n"/>
      <c r="X367" s="67" t="n"/>
    </row>
    <row r="368" ht="22.35" customHeight="1" s="45">
      <c r="A368" s="65" t="inlineStr">
        <is>
          <t>BR-5.2</t>
        </is>
      </c>
      <c r="B368" s="66" t="inlineStr">
        <is>
          <t>Governance Architecture</t>
        </is>
      </c>
      <c r="C368" s="66" t="inlineStr">
        <is>
          <t>PROPOSED</t>
        </is>
      </c>
      <c r="D368" s="66" t="inlineStr">
        <is>
          <t>V7 — Document &amp; design inspection</t>
        </is>
      </c>
      <c r="E368" s="66" t="n"/>
      <c r="F368" s="66" t="inlineStr">
        <is>
          <t>Specification text against implementation description; provenance sections; objective card lines</t>
        </is>
      </c>
      <c r="G368" s="66" t="inlineStr">
        <is>
          <t>A — 100%</t>
        </is>
      </c>
      <c r="H368" s="67" t="n"/>
      <c r="I368" s="67" t="n"/>
      <c r="J368" s="67" t="n"/>
      <c r="K368" s="64">
        <f>IFERROR(INDEX('Status Map'!$B$2:$B$12,MATCH(C368,'Status Map'!$A$2:$A$12,0)),"UNDEFINED")</f>
        <v/>
      </c>
      <c r="L368" s="64">
        <f>IFERROR(INDEX('Status Map'!$C$2:$C$12,MATCH(C368,'Status Map'!$A$2:$A$12,0)),"UNDEFINED")</f>
        <v/>
      </c>
      <c r="M368" s="68" t="inlineStr">
        <is>
          <t>STATEMENT AS REGISTERED</t>
        </is>
      </c>
      <c r="N368" s="68" t="n"/>
      <c r="O368" s="68" t="n"/>
      <c r="P368" s="64">
        <f>IF(O368&lt;&gt;"",O368,LEFT(D368,2))</f>
        <v/>
      </c>
      <c r="Q368" s="64">
        <f>IF(O368&lt;&gt;"","Standards §6",IF(M368="HEADING ONLY","Derived from heading — PROVISIONAL",IF(M368="TEXT NOT IN REGISTRY","No text to derive from — PROVISIONAL","Derived from registered statement")))</f>
        <v/>
      </c>
      <c r="R368" s="64">
        <f>IF(OR(LEFT(G368,1)="A",L368="COUNTS",ISNUMBER(SEARCH("V1",P368)),ISNUMBER(SEARCH("V2",P368)),ISNUMBER(SEARCH("V5",P368))),"A — 100%","B — sample ≥ 30%")</f>
        <v/>
      </c>
      <c r="S368" s="67" t="n"/>
      <c r="T368" s="67" t="n"/>
      <c r="U368" s="67" t="n"/>
      <c r="V368" s="67" t="n"/>
      <c r="W368" s="67" t="n"/>
      <c r="X368" s="67" t="n"/>
    </row>
    <row r="369" ht="22.35" customHeight="1" s="45">
      <c r="A369" s="65" t="inlineStr">
        <is>
          <t>BR-5.3</t>
        </is>
      </c>
      <c r="B369" s="66" t="inlineStr">
        <is>
          <t>Governance Architecture</t>
        </is>
      </c>
      <c r="C369" s="66" t="inlineStr">
        <is>
          <t>PROPOSED</t>
        </is>
      </c>
      <c r="D369" s="66" t="inlineStr">
        <is>
          <t>V7 — Document &amp; design inspection</t>
        </is>
      </c>
      <c r="E369" s="66" t="n"/>
      <c r="F369" s="66" t="inlineStr">
        <is>
          <t>Specification text against implementation description; provenance sections; objective card lines</t>
        </is>
      </c>
      <c r="G369" s="66" t="inlineStr">
        <is>
          <t>A — 100%</t>
        </is>
      </c>
      <c r="H369" s="67" t="n"/>
      <c r="I369" s="67" t="n"/>
      <c r="J369" s="67" t="n"/>
      <c r="K369" s="64">
        <f>IFERROR(INDEX('Status Map'!$B$2:$B$12,MATCH(C369,'Status Map'!$A$2:$A$12,0)),"UNDEFINED")</f>
        <v/>
      </c>
      <c r="L369" s="64">
        <f>IFERROR(INDEX('Status Map'!$C$2:$C$12,MATCH(C369,'Status Map'!$A$2:$A$12,0)),"UNDEFINED")</f>
        <v/>
      </c>
      <c r="M369" s="68" t="inlineStr">
        <is>
          <t>STATEMENT AS REGISTERED</t>
        </is>
      </c>
      <c r="N369" s="68" t="n"/>
      <c r="O369" s="68" t="n"/>
      <c r="P369" s="64">
        <f>IF(O369&lt;&gt;"",O369,LEFT(D369,2))</f>
        <v/>
      </c>
      <c r="Q369" s="64">
        <f>IF(O369&lt;&gt;"","Standards §6",IF(M369="HEADING ONLY","Derived from heading — PROVISIONAL",IF(M369="TEXT NOT IN REGISTRY","No text to derive from — PROVISIONAL","Derived from registered statement")))</f>
        <v/>
      </c>
      <c r="R369" s="64">
        <f>IF(OR(LEFT(G369,1)="A",L369="COUNTS",ISNUMBER(SEARCH("V1",P369)),ISNUMBER(SEARCH("V2",P369)),ISNUMBER(SEARCH("V5",P369))),"A — 100%","B — sample ≥ 30%")</f>
        <v/>
      </c>
      <c r="S369" s="67" t="n"/>
      <c r="T369" s="67" t="n"/>
      <c r="U369" s="67" t="n"/>
      <c r="V369" s="67" t="n"/>
      <c r="W369" s="67" t="n"/>
      <c r="X369" s="67" t="n"/>
    </row>
    <row r="370" ht="22.35" customHeight="1" s="45">
      <c r="A370" s="65" t="inlineStr">
        <is>
          <t>BR-6.1</t>
        </is>
      </c>
      <c r="B370" s="66" t="inlineStr">
        <is>
          <t>Governance Architecture</t>
        </is>
      </c>
      <c r="C370" s="66" t="inlineStr">
        <is>
          <t>PROPOSED</t>
        </is>
      </c>
      <c r="D370" s="66" t="inlineStr">
        <is>
          <t>V7 — Document &amp; design inspection</t>
        </is>
      </c>
      <c r="E370" s="66" t="n"/>
      <c r="F370" s="66" t="inlineStr">
        <is>
          <t>Specification text against implementation description; provenance sections; objective card lines</t>
        </is>
      </c>
      <c r="G370" s="66" t="inlineStr">
        <is>
          <t>A — 100%</t>
        </is>
      </c>
      <c r="H370" s="67" t="n"/>
      <c r="I370" s="67" t="n"/>
      <c r="J370" s="67" t="n"/>
      <c r="K370" s="64">
        <f>IFERROR(INDEX('Status Map'!$B$2:$B$12,MATCH(C370,'Status Map'!$A$2:$A$12,0)),"UNDEFINED")</f>
        <v/>
      </c>
      <c r="L370" s="64">
        <f>IFERROR(INDEX('Status Map'!$C$2:$C$12,MATCH(C370,'Status Map'!$A$2:$A$12,0)),"UNDEFINED")</f>
        <v/>
      </c>
      <c r="M370" s="68" t="inlineStr">
        <is>
          <t>STATEMENT AS REGISTERED</t>
        </is>
      </c>
      <c r="N370" s="68" t="n"/>
      <c r="O370" s="68" t="n"/>
      <c r="P370" s="64">
        <f>IF(O370&lt;&gt;"",O370,LEFT(D370,2))</f>
        <v/>
      </c>
      <c r="Q370" s="64">
        <f>IF(O370&lt;&gt;"","Standards §6",IF(M370="HEADING ONLY","Derived from heading — PROVISIONAL",IF(M370="TEXT NOT IN REGISTRY","No text to derive from — PROVISIONAL","Derived from registered statement")))</f>
        <v/>
      </c>
      <c r="R370" s="64">
        <f>IF(OR(LEFT(G370,1)="A",L370="COUNTS",ISNUMBER(SEARCH("V1",P370)),ISNUMBER(SEARCH("V2",P370)),ISNUMBER(SEARCH("V5",P370))),"A — 100%","B — sample ≥ 30%")</f>
        <v/>
      </c>
      <c r="S370" s="67" t="n"/>
      <c r="T370" s="67" t="n"/>
      <c r="U370" s="67" t="n"/>
      <c r="V370" s="67" t="n"/>
      <c r="W370" s="67" t="n"/>
      <c r="X370" s="67" t="n"/>
    </row>
    <row r="371" ht="22.35" customHeight="1" s="45">
      <c r="A371" s="65" t="inlineStr">
        <is>
          <t>BR-6.2</t>
        </is>
      </c>
      <c r="B371" s="66" t="inlineStr">
        <is>
          <t>Governance Architecture</t>
        </is>
      </c>
      <c r="C371" s="66" t="inlineStr">
        <is>
          <t>PROPOSED</t>
        </is>
      </c>
      <c r="D371" s="66" t="inlineStr">
        <is>
          <t>V6 — Surface inspection</t>
        </is>
      </c>
      <c r="E371" s="66" t="n"/>
      <c r="F371" s="66" t="inlineStr">
        <is>
          <t>DOM-bound substitution rule or harness receipt; fixed string verbatim; honest-gap variant rendered on null</t>
        </is>
      </c>
      <c r="G371" s="66" t="inlineStr">
        <is>
          <t>A — 100%</t>
        </is>
      </c>
      <c r="H371" s="67" t="n"/>
      <c r="I371" s="67" t="n"/>
      <c r="J371" s="67" t="n"/>
      <c r="K371" s="64">
        <f>IFERROR(INDEX('Status Map'!$B$2:$B$12,MATCH(C371,'Status Map'!$A$2:$A$12,0)),"UNDEFINED")</f>
        <v/>
      </c>
      <c r="L371" s="64">
        <f>IFERROR(INDEX('Status Map'!$C$2:$C$12,MATCH(C371,'Status Map'!$A$2:$A$12,0)),"UNDEFINED")</f>
        <v/>
      </c>
      <c r="M371" s="68" t="inlineStr">
        <is>
          <t>STATEMENT AS REGISTERED</t>
        </is>
      </c>
      <c r="N371" s="68" t="n"/>
      <c r="O371" s="68" t="n"/>
      <c r="P371" s="64">
        <f>IF(O371&lt;&gt;"",O371,LEFT(D371,2))</f>
        <v/>
      </c>
      <c r="Q371" s="64">
        <f>IF(O371&lt;&gt;"","Standards §6",IF(M371="HEADING ONLY","Derived from heading — PROVISIONAL",IF(M371="TEXT NOT IN REGISTRY","No text to derive from — PROVISIONAL","Derived from registered statement")))</f>
        <v/>
      </c>
      <c r="R371" s="64">
        <f>IF(OR(LEFT(G371,1)="A",L371="COUNTS",ISNUMBER(SEARCH("V1",P371)),ISNUMBER(SEARCH("V2",P371)),ISNUMBER(SEARCH("V5",P371))),"A — 100%","B — sample ≥ 30%")</f>
        <v/>
      </c>
      <c r="S371" s="67" t="n"/>
      <c r="T371" s="67" t="n"/>
      <c r="U371" s="67" t="n"/>
      <c r="V371" s="67" t="n"/>
      <c r="W371" s="67" t="n"/>
      <c r="X371" s="67" t="n"/>
    </row>
    <row r="372" ht="22.35" customHeight="1" s="45">
      <c r="A372" s="65" t="inlineStr">
        <is>
          <t>BR-6.3</t>
        </is>
      </c>
      <c r="B372" s="66" t="inlineStr">
        <is>
          <t>Governance Architecture</t>
        </is>
      </c>
      <c r="C372" s="66" t="inlineStr">
        <is>
          <t>PROPOSED</t>
        </is>
      </c>
      <c r="D372" s="66" t="inlineStr">
        <is>
          <t>V7 — Document &amp; design inspection</t>
        </is>
      </c>
      <c r="E372" s="66" t="n"/>
      <c r="F372" s="66" t="inlineStr">
        <is>
          <t>Specification text against implementation description; provenance sections; objective card lines</t>
        </is>
      </c>
      <c r="G372" s="66" t="inlineStr">
        <is>
          <t>A — 100%</t>
        </is>
      </c>
      <c r="H372" s="67" t="n"/>
      <c r="I372" s="67" t="n"/>
      <c r="J372" s="67" t="n"/>
      <c r="K372" s="64">
        <f>IFERROR(INDEX('Status Map'!$B$2:$B$12,MATCH(C372,'Status Map'!$A$2:$A$12,0)),"UNDEFINED")</f>
        <v/>
      </c>
      <c r="L372" s="64">
        <f>IFERROR(INDEX('Status Map'!$C$2:$C$12,MATCH(C372,'Status Map'!$A$2:$A$12,0)),"UNDEFINED")</f>
        <v/>
      </c>
      <c r="M372" s="68" t="inlineStr">
        <is>
          <t>STATEMENT AS REGISTERED</t>
        </is>
      </c>
      <c r="N372" s="68" t="n"/>
      <c r="O372" s="68" t="n"/>
      <c r="P372" s="64">
        <f>IF(O372&lt;&gt;"",O372,LEFT(D372,2))</f>
        <v/>
      </c>
      <c r="Q372" s="64">
        <f>IF(O372&lt;&gt;"","Standards §6",IF(M372="HEADING ONLY","Derived from heading — PROVISIONAL",IF(M372="TEXT NOT IN REGISTRY","No text to derive from — PROVISIONAL","Derived from registered statement")))</f>
        <v/>
      </c>
      <c r="R372" s="64">
        <f>IF(OR(LEFT(G372,1)="A",L372="COUNTS",ISNUMBER(SEARCH("V1",P372)),ISNUMBER(SEARCH("V2",P372)),ISNUMBER(SEARCH("V5",P372))),"A — 100%","B — sample ≥ 30%")</f>
        <v/>
      </c>
      <c r="S372" s="67" t="n"/>
      <c r="T372" s="67" t="n"/>
      <c r="U372" s="67" t="n"/>
      <c r="V372" s="67" t="n"/>
      <c r="W372" s="67" t="n"/>
      <c r="X372" s="67" t="n"/>
    </row>
    <row r="373" ht="22.35" customHeight="1" s="45">
      <c r="A373" s="65" t="inlineStr">
        <is>
          <t>BR-7.1</t>
        </is>
      </c>
      <c r="B373" s="66" t="inlineStr">
        <is>
          <t>Governance Architecture</t>
        </is>
      </c>
      <c r="C373" s="66" t="inlineStr">
        <is>
          <t>PROPOSED</t>
        </is>
      </c>
      <c r="D373" s="66" t="inlineStr">
        <is>
          <t>V7 — Document &amp; design inspection</t>
        </is>
      </c>
      <c r="E373" s="66" t="n"/>
      <c r="F373" s="66" t="inlineStr">
        <is>
          <t>Specification text against implementation description; provenance sections; objective card lines</t>
        </is>
      </c>
      <c r="G373" s="66" t="inlineStr">
        <is>
          <t>A — 100%</t>
        </is>
      </c>
      <c r="H373" s="67" t="n"/>
      <c r="I373" s="67" t="n"/>
      <c r="J373" s="67" t="n"/>
      <c r="K373" s="64">
        <f>IFERROR(INDEX('Status Map'!$B$2:$B$12,MATCH(C373,'Status Map'!$A$2:$A$12,0)),"UNDEFINED")</f>
        <v/>
      </c>
      <c r="L373" s="64">
        <f>IFERROR(INDEX('Status Map'!$C$2:$C$12,MATCH(C373,'Status Map'!$A$2:$A$12,0)),"UNDEFINED")</f>
        <v/>
      </c>
      <c r="M373" s="68" t="inlineStr">
        <is>
          <t>STATEMENT AS REGISTERED</t>
        </is>
      </c>
      <c r="N373" s="68" t="n"/>
      <c r="O373" s="68" t="n"/>
      <c r="P373" s="64">
        <f>IF(O373&lt;&gt;"",O373,LEFT(D373,2))</f>
        <v/>
      </c>
      <c r="Q373" s="64">
        <f>IF(O373&lt;&gt;"","Standards §6",IF(M373="HEADING ONLY","Derived from heading — PROVISIONAL",IF(M373="TEXT NOT IN REGISTRY","No text to derive from — PROVISIONAL","Derived from registered statement")))</f>
        <v/>
      </c>
      <c r="R373" s="64">
        <f>IF(OR(LEFT(G373,1)="A",L373="COUNTS",ISNUMBER(SEARCH("V1",P373)),ISNUMBER(SEARCH("V2",P373)),ISNUMBER(SEARCH("V5",P373))),"A — 100%","B — sample ≥ 30%")</f>
        <v/>
      </c>
      <c r="S373" s="67" t="n"/>
      <c r="T373" s="67" t="n"/>
      <c r="U373" s="67" t="n"/>
      <c r="V373" s="67" t="n"/>
      <c r="W373" s="67" t="n"/>
      <c r="X373" s="67" t="n"/>
    </row>
    <row r="374" ht="22.35" customHeight="1" s="45">
      <c r="A374" s="65" t="inlineStr">
        <is>
          <t>BR-7.2</t>
        </is>
      </c>
      <c r="B374" s="66" t="inlineStr">
        <is>
          <t>Governance Architecture</t>
        </is>
      </c>
      <c r="C374" s="66" t="inlineStr">
        <is>
          <t>PROPOSED</t>
        </is>
      </c>
      <c r="D374" s="66" t="inlineStr">
        <is>
          <t>V7 — Document &amp; design inspection</t>
        </is>
      </c>
      <c r="E374" s="66" t="n"/>
      <c r="F374" s="66" t="inlineStr">
        <is>
          <t>Specification text against implementation description; provenance sections; objective card lines</t>
        </is>
      </c>
      <c r="G374" s="66" t="inlineStr">
        <is>
          <t>A — 100%</t>
        </is>
      </c>
      <c r="H374" s="67" t="n"/>
      <c r="I374" s="67" t="n"/>
      <c r="J374" s="67" t="n"/>
      <c r="K374" s="64">
        <f>IFERROR(INDEX('Status Map'!$B$2:$B$12,MATCH(C374,'Status Map'!$A$2:$A$12,0)),"UNDEFINED")</f>
        <v/>
      </c>
      <c r="L374" s="64">
        <f>IFERROR(INDEX('Status Map'!$C$2:$C$12,MATCH(C374,'Status Map'!$A$2:$A$12,0)),"UNDEFINED")</f>
        <v/>
      </c>
      <c r="M374" s="68" t="inlineStr">
        <is>
          <t>STATEMENT AS REGISTERED</t>
        </is>
      </c>
      <c r="N374" s="68" t="n"/>
      <c r="O374" s="68" t="n"/>
      <c r="P374" s="64">
        <f>IF(O374&lt;&gt;"",O374,LEFT(D374,2))</f>
        <v/>
      </c>
      <c r="Q374" s="64">
        <f>IF(O374&lt;&gt;"","Standards §6",IF(M374="HEADING ONLY","Derived from heading — PROVISIONAL",IF(M374="TEXT NOT IN REGISTRY","No text to derive from — PROVISIONAL","Derived from registered statement")))</f>
        <v/>
      </c>
      <c r="R374" s="64">
        <f>IF(OR(LEFT(G374,1)="A",L374="COUNTS",ISNUMBER(SEARCH("V1",P374)),ISNUMBER(SEARCH("V2",P374)),ISNUMBER(SEARCH("V5",P374))),"A — 100%","B — sample ≥ 30%")</f>
        <v/>
      </c>
      <c r="S374" s="67" t="n"/>
      <c r="T374" s="67" t="n"/>
      <c r="U374" s="67" t="n"/>
      <c r="V374" s="67" t="n"/>
      <c r="W374" s="67" t="n"/>
      <c r="X374" s="67" t="n"/>
    </row>
    <row r="375" ht="22.35" customHeight="1" s="45">
      <c r="A375" s="65" t="inlineStr">
        <is>
          <t>BR-7.3</t>
        </is>
      </c>
      <c r="B375" s="66" t="inlineStr">
        <is>
          <t>Governance Architecture</t>
        </is>
      </c>
      <c r="C375" s="66" t="inlineStr">
        <is>
          <t>PROPOSED</t>
        </is>
      </c>
      <c r="D375" s="66" t="inlineStr">
        <is>
          <t>V4 — Governance-record evidence</t>
        </is>
      </c>
      <c r="E375" s="66" t="n"/>
      <c r="F375" s="66" t="inlineStr">
        <is>
          <t>DECISIONS.md entry; ceremony record with tier, countersign, countdown, apply, re-verify; canon_ref present</t>
        </is>
      </c>
      <c r="G375" s="66" t="inlineStr">
        <is>
          <t>A — 100%</t>
        </is>
      </c>
      <c r="H375" s="67" t="n"/>
      <c r="I375" s="67" t="n"/>
      <c r="J375" s="67" t="n"/>
      <c r="K375" s="64">
        <f>IFERROR(INDEX('Status Map'!$B$2:$B$12,MATCH(C375,'Status Map'!$A$2:$A$12,0)),"UNDEFINED")</f>
        <v/>
      </c>
      <c r="L375" s="64">
        <f>IFERROR(INDEX('Status Map'!$C$2:$C$12,MATCH(C375,'Status Map'!$A$2:$A$12,0)),"UNDEFINED")</f>
        <v/>
      </c>
      <c r="M375" s="68" t="inlineStr">
        <is>
          <t>STATEMENT AS REGISTERED</t>
        </is>
      </c>
      <c r="N375" s="68" t="n"/>
      <c r="O375" s="68" t="n"/>
      <c r="P375" s="64">
        <f>IF(O375&lt;&gt;"",O375,LEFT(D375,2))</f>
        <v/>
      </c>
      <c r="Q375" s="64">
        <f>IF(O375&lt;&gt;"","Standards §6",IF(M375="HEADING ONLY","Derived from heading — PROVISIONAL",IF(M375="TEXT NOT IN REGISTRY","No text to derive from — PROVISIONAL","Derived from registered statement")))</f>
        <v/>
      </c>
      <c r="R375" s="64">
        <f>IF(OR(LEFT(G375,1)="A",L375="COUNTS",ISNUMBER(SEARCH("V1",P375)),ISNUMBER(SEARCH("V2",P375)),ISNUMBER(SEARCH("V5",P375))),"A — 100%","B — sample ≥ 30%")</f>
        <v/>
      </c>
      <c r="S375" s="67" t="n"/>
      <c r="T375" s="67" t="n"/>
      <c r="U375" s="67" t="n"/>
      <c r="V375" s="67" t="n"/>
      <c r="W375" s="67" t="n"/>
      <c r="X375" s="67" t="n"/>
    </row>
    <row r="376" ht="22.35" customHeight="1" s="45">
      <c r="A376" s="65" t="inlineStr">
        <is>
          <t>BR-7.4</t>
        </is>
      </c>
      <c r="B376" s="66" t="inlineStr">
        <is>
          <t>Governance Architecture</t>
        </is>
      </c>
      <c r="C376" s="66" t="inlineStr">
        <is>
          <t>PROPOSED</t>
        </is>
      </c>
      <c r="D376" s="66" t="inlineStr">
        <is>
          <t>V7 — Document &amp; design inspection</t>
        </is>
      </c>
      <c r="E376" s="66" t="n"/>
      <c r="F376" s="66" t="inlineStr">
        <is>
          <t>Specification text against implementation description; provenance sections; objective card lines</t>
        </is>
      </c>
      <c r="G376" s="66" t="inlineStr">
        <is>
          <t>A — 100%</t>
        </is>
      </c>
      <c r="H376" s="67" t="n"/>
      <c r="I376" s="67" t="n"/>
      <c r="J376" s="67" t="n"/>
      <c r="K376" s="64">
        <f>IFERROR(INDEX('Status Map'!$B$2:$B$12,MATCH(C376,'Status Map'!$A$2:$A$12,0)),"UNDEFINED")</f>
        <v/>
      </c>
      <c r="L376" s="64">
        <f>IFERROR(INDEX('Status Map'!$C$2:$C$12,MATCH(C376,'Status Map'!$A$2:$A$12,0)),"UNDEFINED")</f>
        <v/>
      </c>
      <c r="M376" s="68" t="inlineStr">
        <is>
          <t>STATEMENT AS REGISTERED</t>
        </is>
      </c>
      <c r="N376" s="68" t="n"/>
      <c r="O376" s="68" t="n"/>
      <c r="P376" s="64">
        <f>IF(O376&lt;&gt;"",O376,LEFT(D376,2))</f>
        <v/>
      </c>
      <c r="Q376" s="64">
        <f>IF(O376&lt;&gt;"","Standards §6",IF(M376="HEADING ONLY","Derived from heading — PROVISIONAL",IF(M376="TEXT NOT IN REGISTRY","No text to derive from — PROVISIONAL","Derived from registered statement")))</f>
        <v/>
      </c>
      <c r="R376" s="64">
        <f>IF(OR(LEFT(G376,1)="A",L376="COUNTS",ISNUMBER(SEARCH("V1",P376)),ISNUMBER(SEARCH("V2",P376)),ISNUMBER(SEARCH("V5",P376))),"A — 100%","B — sample ≥ 30%")</f>
        <v/>
      </c>
      <c r="S376" s="67" t="n"/>
      <c r="T376" s="67" t="n"/>
      <c r="U376" s="67" t="n"/>
      <c r="V376" s="67" t="n"/>
      <c r="W376" s="67" t="n"/>
      <c r="X376" s="67" t="n"/>
    </row>
    <row r="377" ht="32.8" customHeight="1" s="45">
      <c r="A377" s="65" t="inlineStr">
        <is>
          <t>BR-8.1</t>
        </is>
      </c>
      <c r="B377" s="66" t="inlineStr">
        <is>
          <t>Governance Architecture</t>
        </is>
      </c>
      <c r="C377" s="66" t="inlineStr">
        <is>
          <t>PROPOSED</t>
        </is>
      </c>
      <c r="D377" s="66" t="inlineStr">
        <is>
          <t>V5 — Failure-injection demonstration</t>
        </is>
      </c>
      <c r="E377" s="66" t="inlineStr">
        <is>
          <t>V3</t>
        </is>
      </c>
      <c r="F377" s="66" t="inlineStr">
        <is>
          <t>Dependency made unreachable or check made to error; observed refusal; no result returned; stale marker where degradation is the ruled posture</t>
        </is>
      </c>
      <c r="G377" s="66" t="inlineStr">
        <is>
          <t>A — 100%</t>
        </is>
      </c>
      <c r="H377" s="67" t="n"/>
      <c r="I377" s="67" t="n"/>
      <c r="J377" s="67" t="n"/>
      <c r="K377" s="64">
        <f>IFERROR(INDEX('Status Map'!$B$2:$B$12,MATCH(C377,'Status Map'!$A$2:$A$12,0)),"UNDEFINED")</f>
        <v/>
      </c>
      <c r="L377" s="64">
        <f>IFERROR(INDEX('Status Map'!$C$2:$C$12,MATCH(C377,'Status Map'!$A$2:$A$12,0)),"UNDEFINED")</f>
        <v/>
      </c>
      <c r="M377" s="68" t="inlineStr">
        <is>
          <t>STATEMENT AS REGISTERED</t>
        </is>
      </c>
      <c r="N377" s="68" t="inlineStr">
        <is>
          <t>C-6.5.1, C-6.5.3</t>
        </is>
      </c>
      <c r="O377" s="68" t="inlineStr">
        <is>
          <t>V2 + V3</t>
        </is>
      </c>
      <c r="P377" s="64">
        <f>IF(O377&lt;&gt;"",O377,LEFT(D377,2))</f>
        <v/>
      </c>
      <c r="Q377" s="64">
        <f>IF(O377&lt;&gt;"","Standards §6",IF(M377="HEADING ONLY","Derived from heading — PROVISIONAL",IF(M377="TEXT NOT IN REGISTRY","No text to derive from — PROVISIONAL","Derived from registered statement")))</f>
        <v/>
      </c>
      <c r="R377" s="64">
        <f>IF(OR(LEFT(G377,1)="A",L377="COUNTS",ISNUMBER(SEARCH("V1",P377)),ISNUMBER(SEARCH("V2",P377)),ISNUMBER(SEARCH("V5",P377))),"A — 100%","B — sample ≥ 30%")</f>
        <v/>
      </c>
      <c r="S377" s="67" t="n"/>
      <c r="T377" s="67" t="n"/>
      <c r="U377" s="67" t="n"/>
      <c r="V377" s="67" t="n"/>
      <c r="W377" s="67" t="n"/>
      <c r="X377" s="67" t="n"/>
    </row>
    <row r="378" ht="22.35" customHeight="1" s="45">
      <c r="A378" s="65" t="inlineStr">
        <is>
          <t>BR-8.2</t>
        </is>
      </c>
      <c r="B378" s="66" t="inlineStr">
        <is>
          <t>Governance Architecture</t>
        </is>
      </c>
      <c r="C378" s="66" t="inlineStr">
        <is>
          <t>PROPOSED</t>
        </is>
      </c>
      <c r="D378" s="66" t="inlineStr">
        <is>
          <t>V1 — Test evidence</t>
        </is>
      </c>
      <c r="E378" s="66" t="inlineStr">
        <is>
          <t>V3</t>
        </is>
      </c>
      <c r="F378" s="66" t="inlineStr">
        <is>
          <t>Golden-input, byte-identical output; RED-first test ID; ratchet manifest entry</t>
        </is>
      </c>
      <c r="G378" s="66" t="inlineStr">
        <is>
          <t>A — 100%</t>
        </is>
      </c>
      <c r="H378" s="67" t="n"/>
      <c r="I378" s="67" t="n"/>
      <c r="J378" s="67" t="n"/>
      <c r="K378" s="64">
        <f>IFERROR(INDEX('Status Map'!$B$2:$B$12,MATCH(C378,'Status Map'!$A$2:$A$12,0)),"UNDEFINED")</f>
        <v/>
      </c>
      <c r="L378" s="64">
        <f>IFERROR(INDEX('Status Map'!$C$2:$C$12,MATCH(C378,'Status Map'!$A$2:$A$12,0)),"UNDEFINED")</f>
        <v/>
      </c>
      <c r="M378" s="68" t="inlineStr">
        <is>
          <t>STATEMENT AS REGISTERED</t>
        </is>
      </c>
      <c r="N378" s="68" t="n"/>
      <c r="O378" s="68" t="n"/>
      <c r="P378" s="64">
        <f>IF(O378&lt;&gt;"",O378,LEFT(D378,2))</f>
        <v/>
      </c>
      <c r="Q378" s="64">
        <f>IF(O378&lt;&gt;"","Standards §6",IF(M378="HEADING ONLY","Derived from heading — PROVISIONAL",IF(M378="TEXT NOT IN REGISTRY","No text to derive from — PROVISIONAL","Derived from registered statement")))</f>
        <v/>
      </c>
      <c r="R378" s="64">
        <f>IF(OR(LEFT(G378,1)="A",L378="COUNTS",ISNUMBER(SEARCH("V1",P378)),ISNUMBER(SEARCH("V2",P378)),ISNUMBER(SEARCH("V5",P378))),"A — 100%","B — sample ≥ 30%")</f>
        <v/>
      </c>
      <c r="S378" s="67" t="n"/>
      <c r="T378" s="67" t="n"/>
      <c r="U378" s="67" t="n"/>
      <c r="V378" s="67" t="n"/>
      <c r="W378" s="67" t="n"/>
      <c r="X378" s="67" t="n"/>
    </row>
    <row r="379" ht="22.35" customHeight="1" s="45">
      <c r="A379" s="65" t="inlineStr">
        <is>
          <t>BR-8.3</t>
        </is>
      </c>
      <c r="B379" s="66" t="inlineStr">
        <is>
          <t>Governance Architecture</t>
        </is>
      </c>
      <c r="C379" s="66" t="inlineStr">
        <is>
          <t>PROPOSED</t>
        </is>
      </c>
      <c r="D379" s="66" t="inlineStr">
        <is>
          <t>V3 — Record evidence</t>
        </is>
      </c>
      <c r="E379" s="66" t="n"/>
      <c r="F379" s="66" t="inlineStr">
        <is>
          <t>Ledger rows inspected; hash-chain verifier receipt; refused operations present on identical terms</t>
        </is>
      </c>
      <c r="G379" s="66" t="inlineStr">
        <is>
          <t>A — 100%</t>
        </is>
      </c>
      <c r="H379" s="67" t="n"/>
      <c r="I379" s="67" t="n"/>
      <c r="J379" s="67" t="n"/>
      <c r="K379" s="64">
        <f>IFERROR(INDEX('Status Map'!$B$2:$B$12,MATCH(C379,'Status Map'!$A$2:$A$12,0)),"UNDEFINED")</f>
        <v/>
      </c>
      <c r="L379" s="64">
        <f>IFERROR(INDEX('Status Map'!$C$2:$C$12,MATCH(C379,'Status Map'!$A$2:$A$12,0)),"UNDEFINED")</f>
        <v/>
      </c>
      <c r="M379" s="68" t="inlineStr">
        <is>
          <t>STATEMENT AS REGISTERED</t>
        </is>
      </c>
      <c r="N379" s="68" t="n"/>
      <c r="O379" s="68" t="n"/>
      <c r="P379" s="64">
        <f>IF(O379&lt;&gt;"",O379,LEFT(D379,2))</f>
        <v/>
      </c>
      <c r="Q379" s="64">
        <f>IF(O379&lt;&gt;"","Standards §6",IF(M379="HEADING ONLY","Derived from heading — PROVISIONAL",IF(M379="TEXT NOT IN REGISTRY","No text to derive from — PROVISIONAL","Derived from registered statement")))</f>
        <v/>
      </c>
      <c r="R379" s="64">
        <f>IF(OR(LEFT(G379,1)="A",L379="COUNTS",ISNUMBER(SEARCH("V1",P379)),ISNUMBER(SEARCH("V2",P379)),ISNUMBER(SEARCH("V5",P379))),"A — 100%","B — sample ≥ 30%")</f>
        <v/>
      </c>
      <c r="S379" s="67" t="n"/>
      <c r="T379" s="67" t="n"/>
      <c r="U379" s="67" t="n"/>
      <c r="V379" s="67" t="n"/>
      <c r="W379" s="67" t="n"/>
      <c r="X379" s="67" t="n"/>
    </row>
    <row r="380" ht="22.35" customHeight="1" s="45">
      <c r="A380" s="65" t="inlineStr">
        <is>
          <t>BR-9.1</t>
        </is>
      </c>
      <c r="B380" s="66" t="inlineStr">
        <is>
          <t>Governance Architecture</t>
        </is>
      </c>
      <c r="C380" s="66" t="inlineStr">
        <is>
          <t>PROPOSED</t>
        </is>
      </c>
      <c r="D380" s="66" t="inlineStr">
        <is>
          <t>V3 — Record evidence</t>
        </is>
      </c>
      <c r="E380" s="66" t="n"/>
      <c r="F380" s="66" t="inlineStr">
        <is>
          <t>Ledger rows inspected; hash-chain verifier receipt; refused operations present on identical terms</t>
        </is>
      </c>
      <c r="G380" s="66" t="inlineStr">
        <is>
          <t>A — 100%</t>
        </is>
      </c>
      <c r="H380" s="67" t="n"/>
      <c r="I380" s="67" t="n"/>
      <c r="J380" s="67" t="n"/>
      <c r="K380" s="64">
        <f>IFERROR(INDEX('Status Map'!$B$2:$B$12,MATCH(C380,'Status Map'!$A$2:$A$12,0)),"UNDEFINED")</f>
        <v/>
      </c>
      <c r="L380" s="64">
        <f>IFERROR(INDEX('Status Map'!$C$2:$C$12,MATCH(C380,'Status Map'!$A$2:$A$12,0)),"UNDEFINED")</f>
        <v/>
      </c>
      <c r="M380" s="68" t="inlineStr">
        <is>
          <t>STATEMENT AS REGISTERED</t>
        </is>
      </c>
      <c r="N380" s="68" t="n"/>
      <c r="O380" s="68" t="n"/>
      <c r="P380" s="64">
        <f>IF(O380&lt;&gt;"",O380,LEFT(D380,2))</f>
        <v/>
      </c>
      <c r="Q380" s="64">
        <f>IF(O380&lt;&gt;"","Standards §6",IF(M380="HEADING ONLY","Derived from heading — PROVISIONAL",IF(M380="TEXT NOT IN REGISTRY","No text to derive from — PROVISIONAL","Derived from registered statement")))</f>
        <v/>
      </c>
      <c r="R380" s="64">
        <f>IF(OR(LEFT(G380,1)="A",L380="COUNTS",ISNUMBER(SEARCH("V1",P380)),ISNUMBER(SEARCH("V2",P380)),ISNUMBER(SEARCH("V5",P380))),"A — 100%","B — sample ≥ 30%")</f>
        <v/>
      </c>
      <c r="S380" s="67" t="n"/>
      <c r="T380" s="67" t="n"/>
      <c r="U380" s="67" t="n"/>
      <c r="V380" s="67" t="n"/>
      <c r="W380" s="67" t="n"/>
      <c r="X380" s="67" t="n"/>
    </row>
    <row r="381" ht="22.35" customHeight="1" s="45">
      <c r="A381" s="65" t="inlineStr">
        <is>
          <t>BR-9.2</t>
        </is>
      </c>
      <c r="B381" s="66" t="inlineStr">
        <is>
          <t>Governance Architecture</t>
        </is>
      </c>
      <c r="C381" s="66" t="inlineStr">
        <is>
          <t>PROPOSED</t>
        </is>
      </c>
      <c r="D381" s="66" t="inlineStr">
        <is>
          <t>V1 — Test evidence</t>
        </is>
      </c>
      <c r="E381" s="66" t="n"/>
      <c r="F381" s="66" t="inlineStr">
        <is>
          <t>Golden-input, byte-identical output; RED-first test ID; ratchet manifest entry</t>
        </is>
      </c>
      <c r="G381" s="66" t="inlineStr">
        <is>
          <t>A — 100%</t>
        </is>
      </c>
      <c r="H381" s="67" t="n"/>
      <c r="I381" s="67" t="n"/>
      <c r="J381" s="67" t="n"/>
      <c r="K381" s="64">
        <f>IFERROR(INDEX('Status Map'!$B$2:$B$12,MATCH(C381,'Status Map'!$A$2:$A$12,0)),"UNDEFINED")</f>
        <v/>
      </c>
      <c r="L381" s="64">
        <f>IFERROR(INDEX('Status Map'!$C$2:$C$12,MATCH(C381,'Status Map'!$A$2:$A$12,0)),"UNDEFINED")</f>
        <v/>
      </c>
      <c r="M381" s="68" t="inlineStr">
        <is>
          <t>STATEMENT AS REGISTERED</t>
        </is>
      </c>
      <c r="N381" s="68" t="n"/>
      <c r="O381" s="68" t="n"/>
      <c r="P381" s="64">
        <f>IF(O381&lt;&gt;"",O381,LEFT(D381,2))</f>
        <v/>
      </c>
      <c r="Q381" s="64">
        <f>IF(O381&lt;&gt;"","Standards §6",IF(M381="HEADING ONLY","Derived from heading — PROVISIONAL",IF(M381="TEXT NOT IN REGISTRY","No text to derive from — PROVISIONAL","Derived from registered statement")))</f>
        <v/>
      </c>
      <c r="R381" s="64">
        <f>IF(OR(LEFT(G381,1)="A",L381="COUNTS",ISNUMBER(SEARCH("V1",P381)),ISNUMBER(SEARCH("V2",P381)),ISNUMBER(SEARCH("V5",P381))),"A — 100%","B — sample ≥ 30%")</f>
        <v/>
      </c>
      <c r="S381" s="67" t="n"/>
      <c r="T381" s="67" t="n"/>
      <c r="U381" s="67" t="n"/>
      <c r="V381" s="67" t="n"/>
      <c r="W381" s="67" t="n"/>
      <c r="X381" s="67" t="n"/>
    </row>
    <row r="382" ht="22.35" customHeight="1" s="45">
      <c r="A382" s="65" t="inlineStr">
        <is>
          <t>BR-9.3</t>
        </is>
      </c>
      <c r="B382" s="66" t="inlineStr">
        <is>
          <t>Governance Architecture</t>
        </is>
      </c>
      <c r="C382" s="66" t="inlineStr">
        <is>
          <t>PROPOSED</t>
        </is>
      </c>
      <c r="D382" s="66" t="inlineStr">
        <is>
          <t>V7 — Document &amp; design inspection</t>
        </is>
      </c>
      <c r="E382" s="66" t="n"/>
      <c r="F382" s="66" t="inlineStr">
        <is>
          <t>Specification text against implementation description; provenance sections; objective card lines</t>
        </is>
      </c>
      <c r="G382" s="66" t="inlineStr">
        <is>
          <t>A — 100%</t>
        </is>
      </c>
      <c r="H382" s="67" t="n"/>
      <c r="I382" s="67" t="n"/>
      <c r="J382" s="67" t="n"/>
      <c r="K382" s="64">
        <f>IFERROR(INDEX('Status Map'!$B$2:$B$12,MATCH(C382,'Status Map'!$A$2:$A$12,0)),"UNDEFINED")</f>
        <v/>
      </c>
      <c r="L382" s="64">
        <f>IFERROR(INDEX('Status Map'!$C$2:$C$12,MATCH(C382,'Status Map'!$A$2:$A$12,0)),"UNDEFINED")</f>
        <v/>
      </c>
      <c r="M382" s="68" t="inlineStr">
        <is>
          <t>STATEMENT AS REGISTERED</t>
        </is>
      </c>
      <c r="N382" s="68" t="n"/>
      <c r="O382" s="68" t="n"/>
      <c r="P382" s="64">
        <f>IF(O382&lt;&gt;"",O382,LEFT(D382,2))</f>
        <v/>
      </c>
      <c r="Q382" s="64">
        <f>IF(O382&lt;&gt;"","Standards §6",IF(M382="HEADING ONLY","Derived from heading — PROVISIONAL",IF(M382="TEXT NOT IN REGISTRY","No text to derive from — PROVISIONAL","Derived from registered statement")))</f>
        <v/>
      </c>
      <c r="R382" s="64">
        <f>IF(OR(LEFT(G382,1)="A",L382="COUNTS",ISNUMBER(SEARCH("V1",P382)),ISNUMBER(SEARCH("V2",P382)),ISNUMBER(SEARCH("V5",P382))),"A — 100%","B — sample ≥ 30%")</f>
        <v/>
      </c>
      <c r="S382" s="67" t="n"/>
      <c r="T382" s="67" t="n"/>
      <c r="U382" s="67" t="n"/>
      <c r="V382" s="67" t="n"/>
      <c r="W382" s="67" t="n"/>
      <c r="X382" s="67" t="n"/>
    </row>
    <row r="383" ht="22.35" customHeight="1" s="45">
      <c r="A383" s="65" t="inlineStr">
        <is>
          <t>BR-10.1</t>
        </is>
      </c>
      <c r="B383" s="66" t="inlineStr">
        <is>
          <t>Governance Architecture</t>
        </is>
      </c>
      <c r="C383" s="66" t="inlineStr">
        <is>
          <t>PROPOSED</t>
        </is>
      </c>
      <c r="D383" s="66" t="inlineStr">
        <is>
          <t>V1 — Test evidence</t>
        </is>
      </c>
      <c r="E383" s="66" t="n"/>
      <c r="F383" s="66" t="inlineStr">
        <is>
          <t>Golden-input, byte-identical output; RED-first test ID; ratchet manifest entry</t>
        </is>
      </c>
      <c r="G383" s="66" t="inlineStr">
        <is>
          <t>A — 100%</t>
        </is>
      </c>
      <c r="H383" s="67" t="n"/>
      <c r="I383" s="67" t="n"/>
      <c r="J383" s="67" t="n"/>
      <c r="K383" s="64">
        <f>IFERROR(INDEX('Status Map'!$B$2:$B$12,MATCH(C383,'Status Map'!$A$2:$A$12,0)),"UNDEFINED")</f>
        <v/>
      </c>
      <c r="L383" s="64">
        <f>IFERROR(INDEX('Status Map'!$C$2:$C$12,MATCH(C383,'Status Map'!$A$2:$A$12,0)),"UNDEFINED")</f>
        <v/>
      </c>
      <c r="M383" s="68" t="inlineStr">
        <is>
          <t>STATEMENT AS REGISTERED</t>
        </is>
      </c>
      <c r="N383" s="68" t="n"/>
      <c r="O383" s="68" t="n"/>
      <c r="P383" s="64">
        <f>IF(O383&lt;&gt;"",O383,LEFT(D383,2))</f>
        <v/>
      </c>
      <c r="Q383" s="64">
        <f>IF(O383&lt;&gt;"","Standards §6",IF(M383="HEADING ONLY","Derived from heading — PROVISIONAL",IF(M383="TEXT NOT IN REGISTRY","No text to derive from — PROVISIONAL","Derived from registered statement")))</f>
        <v/>
      </c>
      <c r="R383" s="64">
        <f>IF(OR(LEFT(G383,1)="A",L383="COUNTS",ISNUMBER(SEARCH("V1",P383)),ISNUMBER(SEARCH("V2",P383)),ISNUMBER(SEARCH("V5",P383))),"A — 100%","B — sample ≥ 30%")</f>
        <v/>
      </c>
      <c r="S383" s="67" t="n"/>
      <c r="T383" s="67" t="n"/>
      <c r="U383" s="67" t="n"/>
      <c r="V383" s="67" t="n"/>
      <c r="W383" s="67" t="n"/>
      <c r="X383" s="67" t="n"/>
    </row>
    <row r="384" ht="22.35" customHeight="1" s="45">
      <c r="A384" s="65" t="inlineStr">
        <is>
          <t>BR-10.2</t>
        </is>
      </c>
      <c r="B384" s="66" t="inlineStr">
        <is>
          <t>Governance Architecture</t>
        </is>
      </c>
      <c r="C384" s="66" t="inlineStr">
        <is>
          <t>PROPOSED</t>
        </is>
      </c>
      <c r="D384" s="66" t="inlineStr">
        <is>
          <t>V7 — Document &amp; design inspection</t>
        </is>
      </c>
      <c r="E384" s="66" t="n"/>
      <c r="F384" s="66" t="inlineStr">
        <is>
          <t>Specification text against implementation description; provenance sections; objective card lines</t>
        </is>
      </c>
      <c r="G384" s="66" t="inlineStr">
        <is>
          <t>A — 100%</t>
        </is>
      </c>
      <c r="H384" s="67" t="n"/>
      <c r="I384" s="67" t="n"/>
      <c r="J384" s="67" t="n"/>
      <c r="K384" s="64">
        <f>IFERROR(INDEX('Status Map'!$B$2:$B$12,MATCH(C384,'Status Map'!$A$2:$A$12,0)),"UNDEFINED")</f>
        <v/>
      </c>
      <c r="L384" s="64">
        <f>IFERROR(INDEX('Status Map'!$C$2:$C$12,MATCH(C384,'Status Map'!$A$2:$A$12,0)),"UNDEFINED")</f>
        <v/>
      </c>
      <c r="M384" s="68" t="inlineStr">
        <is>
          <t>STATEMENT AS REGISTERED</t>
        </is>
      </c>
      <c r="N384" s="68" t="n"/>
      <c r="O384" s="68" t="n"/>
      <c r="P384" s="64">
        <f>IF(O384&lt;&gt;"",O384,LEFT(D384,2))</f>
        <v/>
      </c>
      <c r="Q384" s="64">
        <f>IF(O384&lt;&gt;"","Standards §6",IF(M384="HEADING ONLY","Derived from heading — PROVISIONAL",IF(M384="TEXT NOT IN REGISTRY","No text to derive from — PROVISIONAL","Derived from registered statement")))</f>
        <v/>
      </c>
      <c r="R384" s="64">
        <f>IF(OR(LEFT(G384,1)="A",L384="COUNTS",ISNUMBER(SEARCH("V1",P384)),ISNUMBER(SEARCH("V2",P384)),ISNUMBER(SEARCH("V5",P384))),"A — 100%","B — sample ≥ 30%")</f>
        <v/>
      </c>
      <c r="S384" s="67" t="n"/>
      <c r="T384" s="67" t="n"/>
      <c r="U384" s="67" t="n"/>
      <c r="V384" s="67" t="n"/>
      <c r="W384" s="67" t="n"/>
      <c r="X384" s="67" t="n"/>
    </row>
    <row r="385" ht="22.35" customHeight="1" s="45">
      <c r="A385" s="65" t="inlineStr">
        <is>
          <t>BR-11.1</t>
        </is>
      </c>
      <c r="B385" s="66" t="inlineStr">
        <is>
          <t>Governance Architecture</t>
        </is>
      </c>
      <c r="C385" s="66" t="inlineStr">
        <is>
          <t>PROPOSED</t>
        </is>
      </c>
      <c r="D385" s="66" t="inlineStr">
        <is>
          <t>V7 — Document &amp; design inspection</t>
        </is>
      </c>
      <c r="E385" s="66" t="n"/>
      <c r="F385" s="66" t="inlineStr">
        <is>
          <t>Specification text against implementation description; provenance sections; objective card lines</t>
        </is>
      </c>
      <c r="G385" s="66" t="inlineStr">
        <is>
          <t>A — 100%</t>
        </is>
      </c>
      <c r="H385" s="67" t="n"/>
      <c r="I385" s="67" t="n"/>
      <c r="J385" s="67" t="n"/>
      <c r="K385" s="64">
        <f>IFERROR(INDEX('Status Map'!$B$2:$B$12,MATCH(C385,'Status Map'!$A$2:$A$12,0)),"UNDEFINED")</f>
        <v/>
      </c>
      <c r="L385" s="64">
        <f>IFERROR(INDEX('Status Map'!$C$2:$C$12,MATCH(C385,'Status Map'!$A$2:$A$12,0)),"UNDEFINED")</f>
        <v/>
      </c>
      <c r="M385" s="68" t="inlineStr">
        <is>
          <t>STATEMENT AS REGISTERED</t>
        </is>
      </c>
      <c r="N385" s="68" t="n"/>
      <c r="O385" s="68" t="n"/>
      <c r="P385" s="64">
        <f>IF(O385&lt;&gt;"",O385,LEFT(D385,2))</f>
        <v/>
      </c>
      <c r="Q385" s="64">
        <f>IF(O385&lt;&gt;"","Standards §6",IF(M385="HEADING ONLY","Derived from heading — PROVISIONAL",IF(M385="TEXT NOT IN REGISTRY","No text to derive from — PROVISIONAL","Derived from registered statement")))</f>
        <v/>
      </c>
      <c r="R385" s="64">
        <f>IF(OR(LEFT(G385,1)="A",L385="COUNTS",ISNUMBER(SEARCH("V1",P385)),ISNUMBER(SEARCH("V2",P385)),ISNUMBER(SEARCH("V5",P385))),"A — 100%","B — sample ≥ 30%")</f>
        <v/>
      </c>
      <c r="S385" s="67" t="n"/>
      <c r="T385" s="67" t="n"/>
      <c r="U385" s="67" t="n"/>
      <c r="V385" s="67" t="n"/>
      <c r="W385" s="67" t="n"/>
      <c r="X385" s="67" t="n"/>
    </row>
    <row r="386" ht="22.35" customHeight="1" s="45">
      <c r="A386" s="65" t="inlineStr">
        <is>
          <t>BR-11.2</t>
        </is>
      </c>
      <c r="B386" s="66" t="inlineStr">
        <is>
          <t>Governance Architecture</t>
        </is>
      </c>
      <c r="C386" s="66" t="inlineStr">
        <is>
          <t>PROPOSED</t>
        </is>
      </c>
      <c r="D386" s="66" t="inlineStr">
        <is>
          <t>V7 — Document &amp; design inspection</t>
        </is>
      </c>
      <c r="E386" s="66" t="n"/>
      <c r="F386" s="66" t="inlineStr">
        <is>
          <t>Specification text against implementation description; provenance sections; objective card lines</t>
        </is>
      </c>
      <c r="G386" s="66" t="inlineStr">
        <is>
          <t>A — 100%</t>
        </is>
      </c>
      <c r="H386" s="67" t="n"/>
      <c r="I386" s="67" t="n"/>
      <c r="J386" s="67" t="n"/>
      <c r="K386" s="64">
        <f>IFERROR(INDEX('Status Map'!$B$2:$B$12,MATCH(C386,'Status Map'!$A$2:$A$12,0)),"UNDEFINED")</f>
        <v/>
      </c>
      <c r="L386" s="64">
        <f>IFERROR(INDEX('Status Map'!$C$2:$C$12,MATCH(C386,'Status Map'!$A$2:$A$12,0)),"UNDEFINED")</f>
        <v/>
      </c>
      <c r="M386" s="68" t="inlineStr">
        <is>
          <t>STATEMENT AS REGISTERED</t>
        </is>
      </c>
      <c r="N386" s="68" t="n"/>
      <c r="O386" s="68" t="n"/>
      <c r="P386" s="64">
        <f>IF(O386&lt;&gt;"",O386,LEFT(D386,2))</f>
        <v/>
      </c>
      <c r="Q386" s="64">
        <f>IF(O386&lt;&gt;"","Standards §6",IF(M386="HEADING ONLY","Derived from heading — PROVISIONAL",IF(M386="TEXT NOT IN REGISTRY","No text to derive from — PROVISIONAL","Derived from registered statement")))</f>
        <v/>
      </c>
      <c r="R386" s="64">
        <f>IF(OR(LEFT(G386,1)="A",L386="COUNTS",ISNUMBER(SEARCH("V1",P386)),ISNUMBER(SEARCH("V2",P386)),ISNUMBER(SEARCH("V5",P386))),"A — 100%","B — sample ≥ 30%")</f>
        <v/>
      </c>
      <c r="S386" s="67" t="n"/>
      <c r="T386" s="67" t="n"/>
      <c r="U386" s="67" t="n"/>
      <c r="V386" s="67" t="n"/>
      <c r="W386" s="67" t="n"/>
      <c r="X386" s="67" t="n"/>
    </row>
    <row r="387" ht="22.35" customHeight="1" s="45">
      <c r="A387" s="65" t="inlineStr">
        <is>
          <t>BR-12.1</t>
        </is>
      </c>
      <c r="B387" s="66" t="inlineStr">
        <is>
          <t>Governance Architecture</t>
        </is>
      </c>
      <c r="C387" s="66" t="inlineStr">
        <is>
          <t>PROPOSED</t>
        </is>
      </c>
      <c r="D387" s="66" t="inlineStr">
        <is>
          <t>V4 — Governance-record evidence</t>
        </is>
      </c>
      <c r="E387" s="66" t="n"/>
      <c r="F387" s="66" t="inlineStr">
        <is>
          <t>DECISIONS.md entry; ceremony record with tier, countersign, countdown, apply, re-verify; canon_ref present</t>
        </is>
      </c>
      <c r="G387" s="66" t="inlineStr">
        <is>
          <t>A — 100%</t>
        </is>
      </c>
      <c r="H387" s="67" t="n"/>
      <c r="I387" s="67" t="n"/>
      <c r="J387" s="67" t="n"/>
      <c r="K387" s="64">
        <f>IFERROR(INDEX('Status Map'!$B$2:$B$12,MATCH(C387,'Status Map'!$A$2:$A$12,0)),"UNDEFINED")</f>
        <v/>
      </c>
      <c r="L387" s="64">
        <f>IFERROR(INDEX('Status Map'!$C$2:$C$12,MATCH(C387,'Status Map'!$A$2:$A$12,0)),"UNDEFINED")</f>
        <v/>
      </c>
      <c r="M387" s="68" t="inlineStr">
        <is>
          <t>STATEMENT AS REGISTERED</t>
        </is>
      </c>
      <c r="N387" s="68" t="n"/>
      <c r="O387" s="68" t="n"/>
      <c r="P387" s="64">
        <f>IF(O387&lt;&gt;"",O387,LEFT(D387,2))</f>
        <v/>
      </c>
      <c r="Q387" s="64">
        <f>IF(O387&lt;&gt;"","Standards §6",IF(M387="HEADING ONLY","Derived from heading — PROVISIONAL",IF(M387="TEXT NOT IN REGISTRY","No text to derive from — PROVISIONAL","Derived from registered statement")))</f>
        <v/>
      </c>
      <c r="R387" s="64">
        <f>IF(OR(LEFT(G387,1)="A",L387="COUNTS",ISNUMBER(SEARCH("V1",P387)),ISNUMBER(SEARCH("V2",P387)),ISNUMBER(SEARCH("V5",P387))),"A — 100%","B — sample ≥ 30%")</f>
        <v/>
      </c>
      <c r="S387" s="67" t="n"/>
      <c r="T387" s="67" t="n"/>
      <c r="U387" s="67" t="n"/>
      <c r="V387" s="67" t="n"/>
      <c r="W387" s="67" t="n"/>
      <c r="X387" s="67" t="n"/>
    </row>
    <row r="388" ht="22.35" customHeight="1" s="45">
      <c r="A388" s="65" t="inlineStr">
        <is>
          <t>BR-12.2</t>
        </is>
      </c>
      <c r="B388" s="66" t="inlineStr">
        <is>
          <t>Governance Architecture</t>
        </is>
      </c>
      <c r="C388" s="66" t="inlineStr">
        <is>
          <t>PROPOSED</t>
        </is>
      </c>
      <c r="D388" s="66" t="inlineStr">
        <is>
          <t>V7 — Document &amp; design inspection</t>
        </is>
      </c>
      <c r="E388" s="66" t="n"/>
      <c r="F388" s="66" t="inlineStr">
        <is>
          <t>Specification text against implementation description; provenance sections; objective card lines</t>
        </is>
      </c>
      <c r="G388" s="66" t="inlineStr">
        <is>
          <t>A — 100%</t>
        </is>
      </c>
      <c r="H388" s="67" t="n"/>
      <c r="I388" s="67" t="n"/>
      <c r="J388" s="67" t="n"/>
      <c r="K388" s="64">
        <f>IFERROR(INDEX('Status Map'!$B$2:$B$12,MATCH(C388,'Status Map'!$A$2:$A$12,0)),"UNDEFINED")</f>
        <v/>
      </c>
      <c r="L388" s="64">
        <f>IFERROR(INDEX('Status Map'!$C$2:$C$12,MATCH(C388,'Status Map'!$A$2:$A$12,0)),"UNDEFINED")</f>
        <v/>
      </c>
      <c r="M388" s="68" t="inlineStr">
        <is>
          <t>STATEMENT AS REGISTERED</t>
        </is>
      </c>
      <c r="N388" s="68" t="n"/>
      <c r="O388" s="68" t="n"/>
      <c r="P388" s="64">
        <f>IF(O388&lt;&gt;"",O388,LEFT(D388,2))</f>
        <v/>
      </c>
      <c r="Q388" s="64">
        <f>IF(O388&lt;&gt;"","Standards §6",IF(M388="HEADING ONLY","Derived from heading — PROVISIONAL",IF(M388="TEXT NOT IN REGISTRY","No text to derive from — PROVISIONAL","Derived from registered statement")))</f>
        <v/>
      </c>
      <c r="R388" s="64">
        <f>IF(OR(LEFT(G388,1)="A",L388="COUNTS",ISNUMBER(SEARCH("V1",P388)),ISNUMBER(SEARCH("V2",P388)),ISNUMBER(SEARCH("V5",P388))),"A — 100%","B — sample ≥ 30%")</f>
        <v/>
      </c>
      <c r="S388" s="67" t="n"/>
      <c r="T388" s="67" t="n"/>
      <c r="U388" s="67" t="n"/>
      <c r="V388" s="67" t="n"/>
      <c r="W388" s="67" t="n"/>
      <c r="X388" s="67" t="n"/>
    </row>
    <row r="389" ht="22.35" customHeight="1" s="45">
      <c r="A389" s="65" t="inlineStr">
        <is>
          <t>BR-13.1</t>
        </is>
      </c>
      <c r="B389" s="66" t="inlineStr">
        <is>
          <t>Governance Architecture</t>
        </is>
      </c>
      <c r="C389" s="66" t="inlineStr">
        <is>
          <t>PROPOSED</t>
        </is>
      </c>
      <c r="D389" s="66" t="inlineStr">
        <is>
          <t>V7 — Document &amp; design inspection</t>
        </is>
      </c>
      <c r="E389" s="66" t="n"/>
      <c r="F389" s="66" t="inlineStr">
        <is>
          <t>Specification text against implementation description; provenance sections; objective card lines</t>
        </is>
      </c>
      <c r="G389" s="66" t="inlineStr">
        <is>
          <t>A — 100%</t>
        </is>
      </c>
      <c r="H389" s="67" t="n"/>
      <c r="I389" s="67" t="n"/>
      <c r="J389" s="67" t="n"/>
      <c r="K389" s="64">
        <f>IFERROR(INDEX('Status Map'!$B$2:$B$12,MATCH(C389,'Status Map'!$A$2:$A$12,0)),"UNDEFINED")</f>
        <v/>
      </c>
      <c r="L389" s="64">
        <f>IFERROR(INDEX('Status Map'!$C$2:$C$12,MATCH(C389,'Status Map'!$A$2:$A$12,0)),"UNDEFINED")</f>
        <v/>
      </c>
      <c r="M389" s="68" t="inlineStr">
        <is>
          <t>STATEMENT AS REGISTERED</t>
        </is>
      </c>
      <c r="N389" s="68" t="n"/>
      <c r="O389" s="68" t="n"/>
      <c r="P389" s="64">
        <f>IF(O389&lt;&gt;"",O389,LEFT(D389,2))</f>
        <v/>
      </c>
      <c r="Q389" s="64">
        <f>IF(O389&lt;&gt;"","Standards §6",IF(M389="HEADING ONLY","Derived from heading — PROVISIONAL",IF(M389="TEXT NOT IN REGISTRY","No text to derive from — PROVISIONAL","Derived from registered statement")))</f>
        <v/>
      </c>
      <c r="R389" s="64">
        <f>IF(OR(LEFT(G389,1)="A",L389="COUNTS",ISNUMBER(SEARCH("V1",P389)),ISNUMBER(SEARCH("V2",P389)),ISNUMBER(SEARCH("V5",P389))),"A — 100%","B — sample ≥ 30%")</f>
        <v/>
      </c>
      <c r="S389" s="67" t="n"/>
      <c r="T389" s="67" t="n"/>
      <c r="U389" s="67" t="n"/>
      <c r="V389" s="67" t="n"/>
      <c r="W389" s="67" t="n"/>
      <c r="X389" s="67" t="n"/>
    </row>
    <row r="390" ht="22.35" customHeight="1" s="45">
      <c r="A390" s="65" t="inlineStr">
        <is>
          <t>BR-13.2</t>
        </is>
      </c>
      <c r="B390" s="66" t="inlineStr">
        <is>
          <t>Governance Architecture</t>
        </is>
      </c>
      <c r="C390" s="66" t="inlineStr">
        <is>
          <t>PROPOSED</t>
        </is>
      </c>
      <c r="D390" s="66" t="inlineStr">
        <is>
          <t>V7 — Document &amp; design inspection</t>
        </is>
      </c>
      <c r="E390" s="66" t="n"/>
      <c r="F390" s="66" t="inlineStr">
        <is>
          <t>Specification text against implementation description; provenance sections; objective card lines</t>
        </is>
      </c>
      <c r="G390" s="66" t="inlineStr">
        <is>
          <t>A — 100%</t>
        </is>
      </c>
      <c r="H390" s="67" t="n"/>
      <c r="I390" s="67" t="n"/>
      <c r="J390" s="67" t="n"/>
      <c r="K390" s="64">
        <f>IFERROR(INDEX('Status Map'!$B$2:$B$12,MATCH(C390,'Status Map'!$A$2:$A$12,0)),"UNDEFINED")</f>
        <v/>
      </c>
      <c r="L390" s="64">
        <f>IFERROR(INDEX('Status Map'!$C$2:$C$12,MATCH(C390,'Status Map'!$A$2:$A$12,0)),"UNDEFINED")</f>
        <v/>
      </c>
      <c r="M390" s="68" t="inlineStr">
        <is>
          <t>STATEMENT AS REGISTERED</t>
        </is>
      </c>
      <c r="N390" s="68" t="n"/>
      <c r="O390" s="68" t="n"/>
      <c r="P390" s="64">
        <f>IF(O390&lt;&gt;"",O390,LEFT(D390,2))</f>
        <v/>
      </c>
      <c r="Q390" s="64">
        <f>IF(O390&lt;&gt;"","Standards §6",IF(M390="HEADING ONLY","Derived from heading — PROVISIONAL",IF(M390="TEXT NOT IN REGISTRY","No text to derive from — PROVISIONAL","Derived from registered statement")))</f>
        <v/>
      </c>
      <c r="R390" s="64">
        <f>IF(OR(LEFT(G390,1)="A",L390="COUNTS",ISNUMBER(SEARCH("V1",P390)),ISNUMBER(SEARCH("V2",P390)),ISNUMBER(SEARCH("V5",P390))),"A — 100%","B — sample ≥ 30%")</f>
        <v/>
      </c>
      <c r="S390" s="67" t="n"/>
      <c r="T390" s="67" t="n"/>
      <c r="U390" s="67" t="n"/>
      <c r="V390" s="67" t="n"/>
      <c r="W390" s="67" t="n"/>
      <c r="X390" s="67" t="n"/>
    </row>
    <row r="391" ht="22.35" customHeight="1" s="45">
      <c r="A391" s="65" t="inlineStr">
        <is>
          <t>BR-13.3</t>
        </is>
      </c>
      <c r="B391" s="66" t="inlineStr">
        <is>
          <t>Governance Architecture</t>
        </is>
      </c>
      <c r="C391" s="66" t="inlineStr">
        <is>
          <t>PROPOSED</t>
        </is>
      </c>
      <c r="D391" s="66" t="inlineStr">
        <is>
          <t>V7 — Document &amp; design inspection</t>
        </is>
      </c>
      <c r="E391" s="66" t="n"/>
      <c r="F391" s="66" t="inlineStr">
        <is>
          <t>Specification text against implementation description; provenance sections; objective card lines</t>
        </is>
      </c>
      <c r="G391" s="66" t="inlineStr">
        <is>
          <t>A — 100%</t>
        </is>
      </c>
      <c r="H391" s="67" t="n"/>
      <c r="I391" s="67" t="n"/>
      <c r="J391" s="67" t="n"/>
      <c r="K391" s="64">
        <f>IFERROR(INDEX('Status Map'!$B$2:$B$12,MATCH(C391,'Status Map'!$A$2:$A$12,0)),"UNDEFINED")</f>
        <v/>
      </c>
      <c r="L391" s="64">
        <f>IFERROR(INDEX('Status Map'!$C$2:$C$12,MATCH(C391,'Status Map'!$A$2:$A$12,0)),"UNDEFINED")</f>
        <v/>
      </c>
      <c r="M391" s="68" t="inlineStr">
        <is>
          <t>STATEMENT AS REGISTERED</t>
        </is>
      </c>
      <c r="N391" s="68" t="n"/>
      <c r="O391" s="68" t="n"/>
      <c r="P391" s="64">
        <f>IF(O391&lt;&gt;"",O391,LEFT(D391,2))</f>
        <v/>
      </c>
      <c r="Q391" s="64">
        <f>IF(O391&lt;&gt;"","Standards §6",IF(M391="HEADING ONLY","Derived from heading — PROVISIONAL",IF(M391="TEXT NOT IN REGISTRY","No text to derive from — PROVISIONAL","Derived from registered statement")))</f>
        <v/>
      </c>
      <c r="R391" s="64">
        <f>IF(OR(LEFT(G391,1)="A",L391="COUNTS",ISNUMBER(SEARCH("V1",P391)),ISNUMBER(SEARCH("V2",P391)),ISNUMBER(SEARCH("V5",P391))),"A — 100%","B — sample ≥ 30%")</f>
        <v/>
      </c>
      <c r="S391" s="67" t="n"/>
      <c r="T391" s="67" t="n"/>
      <c r="U391" s="67" t="n"/>
      <c r="V391" s="67" t="n"/>
      <c r="W391" s="67" t="n"/>
      <c r="X391" s="67" t="n"/>
    </row>
    <row r="392" ht="22.35" customHeight="1" s="45">
      <c r="A392" s="65" t="inlineStr">
        <is>
          <t>BR-14.1</t>
        </is>
      </c>
      <c r="B392" s="66" t="inlineStr">
        <is>
          <t>Governance Architecture</t>
        </is>
      </c>
      <c r="C392" s="66" t="inlineStr">
        <is>
          <t>PROPOSED</t>
        </is>
      </c>
      <c r="D392" s="66" t="inlineStr">
        <is>
          <t>V3 — Record evidence</t>
        </is>
      </c>
      <c r="E392" s="66" t="n"/>
      <c r="F392" s="66" t="inlineStr">
        <is>
          <t>Ledger rows inspected; hash-chain verifier receipt; refused operations present on identical terms</t>
        </is>
      </c>
      <c r="G392" s="66" t="inlineStr">
        <is>
          <t>A — 100%</t>
        </is>
      </c>
      <c r="H392" s="67" t="n"/>
      <c r="I392" s="67" t="n"/>
      <c r="J392" s="67" t="n"/>
      <c r="K392" s="64">
        <f>IFERROR(INDEX('Status Map'!$B$2:$B$12,MATCH(C392,'Status Map'!$A$2:$A$12,0)),"UNDEFINED")</f>
        <v/>
      </c>
      <c r="L392" s="64">
        <f>IFERROR(INDEX('Status Map'!$C$2:$C$12,MATCH(C392,'Status Map'!$A$2:$A$12,0)),"UNDEFINED")</f>
        <v/>
      </c>
      <c r="M392" s="68" t="inlineStr">
        <is>
          <t>STATEMENT AS REGISTERED</t>
        </is>
      </c>
      <c r="N392" s="68" t="n"/>
      <c r="O392" s="68" t="n"/>
      <c r="P392" s="64">
        <f>IF(O392&lt;&gt;"",O392,LEFT(D392,2))</f>
        <v/>
      </c>
      <c r="Q392" s="64">
        <f>IF(O392&lt;&gt;"","Standards §6",IF(M392="HEADING ONLY","Derived from heading — PROVISIONAL",IF(M392="TEXT NOT IN REGISTRY","No text to derive from — PROVISIONAL","Derived from registered statement")))</f>
        <v/>
      </c>
      <c r="R392" s="64">
        <f>IF(OR(LEFT(G392,1)="A",L392="COUNTS",ISNUMBER(SEARCH("V1",P392)),ISNUMBER(SEARCH("V2",P392)),ISNUMBER(SEARCH("V5",P392))),"A — 100%","B — sample ≥ 30%")</f>
        <v/>
      </c>
      <c r="S392" s="67" t="n"/>
      <c r="T392" s="67" t="n"/>
      <c r="U392" s="67" t="n"/>
      <c r="V392" s="67" t="n"/>
      <c r="W392" s="67" t="n"/>
      <c r="X392" s="67" t="n"/>
    </row>
    <row r="393" ht="22.35" customHeight="1" s="45">
      <c r="A393" s="65" t="inlineStr">
        <is>
          <t>BR-15.1</t>
        </is>
      </c>
      <c r="B393" s="66" t="inlineStr">
        <is>
          <t>Governance Architecture</t>
        </is>
      </c>
      <c r="C393" s="66" t="inlineStr">
        <is>
          <t>PROPOSED</t>
        </is>
      </c>
      <c r="D393" s="66" t="inlineStr">
        <is>
          <t>V7 — Document &amp; design inspection</t>
        </is>
      </c>
      <c r="E393" s="66" t="n"/>
      <c r="F393" s="66" t="inlineStr">
        <is>
          <t>Specification text against implementation description; provenance sections; objective card lines</t>
        </is>
      </c>
      <c r="G393" s="66" t="inlineStr">
        <is>
          <t>A — 100%</t>
        </is>
      </c>
      <c r="H393" s="67" t="n"/>
      <c r="I393" s="67" t="n"/>
      <c r="J393" s="67" t="n"/>
      <c r="K393" s="64">
        <f>IFERROR(INDEX('Status Map'!$B$2:$B$12,MATCH(C393,'Status Map'!$A$2:$A$12,0)),"UNDEFINED")</f>
        <v/>
      </c>
      <c r="L393" s="64">
        <f>IFERROR(INDEX('Status Map'!$C$2:$C$12,MATCH(C393,'Status Map'!$A$2:$A$12,0)),"UNDEFINED")</f>
        <v/>
      </c>
      <c r="M393" s="68" t="inlineStr">
        <is>
          <t>STATEMENT AS REGISTERED</t>
        </is>
      </c>
      <c r="N393" s="68" t="n"/>
      <c r="O393" s="68" t="n"/>
      <c r="P393" s="64">
        <f>IF(O393&lt;&gt;"",O393,LEFT(D393,2))</f>
        <v/>
      </c>
      <c r="Q393" s="64">
        <f>IF(O393&lt;&gt;"","Standards §6",IF(M393="HEADING ONLY","Derived from heading — PROVISIONAL",IF(M393="TEXT NOT IN REGISTRY","No text to derive from — PROVISIONAL","Derived from registered statement")))</f>
        <v/>
      </c>
      <c r="R393" s="64">
        <f>IF(OR(LEFT(G393,1)="A",L393="COUNTS",ISNUMBER(SEARCH("V1",P393)),ISNUMBER(SEARCH("V2",P393)),ISNUMBER(SEARCH("V5",P393))),"A — 100%","B — sample ≥ 30%")</f>
        <v/>
      </c>
      <c r="S393" s="67" t="n"/>
      <c r="T393" s="67" t="n"/>
      <c r="U393" s="67" t="n"/>
      <c r="V393" s="67" t="n"/>
      <c r="W393" s="67" t="n"/>
      <c r="X393" s="67" t="n"/>
    </row>
    <row r="394" ht="22.35" customHeight="1" s="45">
      <c r="A394" s="65" t="inlineStr">
        <is>
          <t>BR-16.1</t>
        </is>
      </c>
      <c r="B394" s="66" t="inlineStr">
        <is>
          <t>Governance Architecture</t>
        </is>
      </c>
      <c r="C394" s="66" t="inlineStr">
        <is>
          <t>PROPOSED</t>
        </is>
      </c>
      <c r="D394" s="66" t="inlineStr">
        <is>
          <t>V7 — Document &amp; design inspection</t>
        </is>
      </c>
      <c r="E394" s="66" t="n"/>
      <c r="F394" s="66" t="inlineStr">
        <is>
          <t>Specification text against implementation description; provenance sections; objective card lines</t>
        </is>
      </c>
      <c r="G394" s="66" t="inlineStr">
        <is>
          <t>A — 100%</t>
        </is>
      </c>
      <c r="H394" s="67" t="n"/>
      <c r="I394" s="67" t="n"/>
      <c r="J394" s="67" t="n"/>
      <c r="K394" s="64">
        <f>IFERROR(INDEX('Status Map'!$B$2:$B$12,MATCH(C394,'Status Map'!$A$2:$A$12,0)),"UNDEFINED")</f>
        <v/>
      </c>
      <c r="L394" s="64">
        <f>IFERROR(INDEX('Status Map'!$C$2:$C$12,MATCH(C394,'Status Map'!$A$2:$A$12,0)),"UNDEFINED")</f>
        <v/>
      </c>
      <c r="M394" s="68" t="inlineStr">
        <is>
          <t>STATEMENT AS REGISTERED</t>
        </is>
      </c>
      <c r="N394" s="68" t="n"/>
      <c r="O394" s="68" t="n"/>
      <c r="P394" s="64">
        <f>IF(O394&lt;&gt;"",O394,LEFT(D394,2))</f>
        <v/>
      </c>
      <c r="Q394" s="64">
        <f>IF(O394&lt;&gt;"","Standards §6",IF(M394="HEADING ONLY","Derived from heading — PROVISIONAL",IF(M394="TEXT NOT IN REGISTRY","No text to derive from — PROVISIONAL","Derived from registered statement")))</f>
        <v/>
      </c>
      <c r="R394" s="64">
        <f>IF(OR(LEFT(G394,1)="A",L394="COUNTS",ISNUMBER(SEARCH("V1",P394)),ISNUMBER(SEARCH("V2",P394)),ISNUMBER(SEARCH("V5",P394))),"A — 100%","B — sample ≥ 30%")</f>
        <v/>
      </c>
      <c r="S394" s="67" t="n"/>
      <c r="T394" s="67" t="n"/>
      <c r="U394" s="67" t="n"/>
      <c r="V394" s="67" t="n"/>
      <c r="W394" s="67" t="n"/>
      <c r="X394" s="67" t="n"/>
    </row>
    <row r="395" ht="22.35" customHeight="1" s="45">
      <c r="A395" s="65" t="inlineStr">
        <is>
          <t>BR-16.2</t>
        </is>
      </c>
      <c r="B395" s="66" t="inlineStr">
        <is>
          <t>Governance Architecture</t>
        </is>
      </c>
      <c r="C395" s="66" t="inlineStr">
        <is>
          <t>PROPOSED</t>
        </is>
      </c>
      <c r="D395" s="66" t="inlineStr">
        <is>
          <t>V7 — Document &amp; design inspection</t>
        </is>
      </c>
      <c r="E395" s="66" t="n"/>
      <c r="F395" s="66" t="inlineStr">
        <is>
          <t>Specification text against implementation description; provenance sections; objective card lines</t>
        </is>
      </c>
      <c r="G395" s="66" t="inlineStr">
        <is>
          <t>A — 100%</t>
        </is>
      </c>
      <c r="H395" s="67" t="n"/>
      <c r="I395" s="67" t="n"/>
      <c r="J395" s="67" t="n"/>
      <c r="K395" s="64">
        <f>IFERROR(INDEX('Status Map'!$B$2:$B$12,MATCH(C395,'Status Map'!$A$2:$A$12,0)),"UNDEFINED")</f>
        <v/>
      </c>
      <c r="L395" s="64">
        <f>IFERROR(INDEX('Status Map'!$C$2:$C$12,MATCH(C395,'Status Map'!$A$2:$A$12,0)),"UNDEFINED")</f>
        <v/>
      </c>
      <c r="M395" s="68" t="inlineStr">
        <is>
          <t>STATEMENT AS REGISTERED</t>
        </is>
      </c>
      <c r="N395" s="68" t="n"/>
      <c r="O395" s="68" t="n"/>
      <c r="P395" s="64">
        <f>IF(O395&lt;&gt;"",O395,LEFT(D395,2))</f>
        <v/>
      </c>
      <c r="Q395" s="64">
        <f>IF(O395&lt;&gt;"","Standards §6",IF(M395="HEADING ONLY","Derived from heading — PROVISIONAL",IF(M395="TEXT NOT IN REGISTRY","No text to derive from — PROVISIONAL","Derived from registered statement")))</f>
        <v/>
      </c>
      <c r="R395" s="64">
        <f>IF(OR(LEFT(G395,1)="A",L395="COUNTS",ISNUMBER(SEARCH("V1",P395)),ISNUMBER(SEARCH("V2",P395)),ISNUMBER(SEARCH("V5",P395))),"A — 100%","B — sample ≥ 30%")</f>
        <v/>
      </c>
      <c r="S395" s="67" t="n"/>
      <c r="T395" s="67" t="n"/>
      <c r="U395" s="67" t="n"/>
      <c r="V395" s="67" t="n"/>
      <c r="W395" s="67" t="n"/>
      <c r="X395" s="67" t="n"/>
    </row>
    <row r="396" ht="32.8" customHeight="1" s="45">
      <c r="A396" s="65" t="inlineStr">
        <is>
          <t>G-1</t>
        </is>
      </c>
      <c r="B396" s="66" t="inlineStr">
        <is>
          <t>Governance Architecture — gap register</t>
        </is>
      </c>
      <c r="C396" s="66" t="inlineStr">
        <is>
          <t>OPEN</t>
        </is>
      </c>
      <c r="D396" s="66" t="inlineStr">
        <is>
          <t>V7 — Document &amp; design inspection</t>
        </is>
      </c>
      <c r="E396" s="66" t="n"/>
      <c r="F396" s="66" t="inlineStr">
        <is>
          <t>Specification text against implementation description; provenance sections; objective card lines</t>
        </is>
      </c>
      <c r="G396" s="66" t="inlineStr">
        <is>
          <t>A — 100%</t>
        </is>
      </c>
      <c r="H396" s="67" t="n"/>
      <c r="I396" s="67" t="n"/>
      <c r="J396" s="67" t="n"/>
      <c r="K396" s="64">
        <f>IFERROR(INDEX('Status Map'!$B$2:$B$12,MATCH(C396,'Status Map'!$A$2:$A$12,0)),"UNDEFINED")</f>
        <v/>
      </c>
      <c r="L396" s="64">
        <f>IFERROR(INDEX('Status Map'!$C$2:$C$12,MATCH(C396,'Status Map'!$A$2:$A$12,0)),"UNDEFINED")</f>
        <v/>
      </c>
      <c r="M396" s="68" t="inlineStr">
        <is>
          <t>STATEMENT AS REGISTERED</t>
        </is>
      </c>
      <c r="N396" s="68" t="n"/>
      <c r="O396" s="68" t="n"/>
      <c r="P396" s="64">
        <f>IF(O396&lt;&gt;"",O396,LEFT(D396,2))</f>
        <v/>
      </c>
      <c r="Q396" s="64">
        <f>IF(O396&lt;&gt;"","Standards §6",IF(M396="HEADING ONLY","Derived from heading — PROVISIONAL",IF(M396="TEXT NOT IN REGISTRY","No text to derive from — PROVISIONAL","Derived from registered statement")))</f>
        <v/>
      </c>
      <c r="R396" s="64">
        <f>IF(OR(LEFT(G396,1)="A",L396="COUNTS",ISNUMBER(SEARCH("V1",P396)),ISNUMBER(SEARCH("V2",P396)),ISNUMBER(SEARCH("V5",P396))),"A — 100%","B — sample ≥ 30%")</f>
        <v/>
      </c>
      <c r="S396" s="67" t="n"/>
      <c r="T396" s="67" t="n"/>
      <c r="U396" s="67" t="n"/>
      <c r="V396" s="67" t="n"/>
      <c r="W396" s="67" t="n"/>
      <c r="X396" s="67" t="n"/>
    </row>
    <row r="397" ht="32.8" customHeight="1" s="45">
      <c r="A397" s="65" t="inlineStr">
        <is>
          <t>G-2</t>
        </is>
      </c>
      <c r="B397" s="66" t="inlineStr">
        <is>
          <t>Governance Architecture — gap register</t>
        </is>
      </c>
      <c r="C397" s="66" t="inlineStr">
        <is>
          <t>OPEN</t>
        </is>
      </c>
      <c r="D397" s="66" t="inlineStr">
        <is>
          <t>V7 — Document &amp; design inspection</t>
        </is>
      </c>
      <c r="E397" s="66" t="n"/>
      <c r="F397" s="66" t="inlineStr">
        <is>
          <t>Specification text against implementation description; provenance sections; objective card lines</t>
        </is>
      </c>
      <c r="G397" s="66" t="inlineStr">
        <is>
          <t>A — 100%</t>
        </is>
      </c>
      <c r="H397" s="67" t="n"/>
      <c r="I397" s="67" t="n"/>
      <c r="J397" s="67" t="n"/>
      <c r="K397" s="64">
        <f>IFERROR(INDEX('Status Map'!$B$2:$B$12,MATCH(C397,'Status Map'!$A$2:$A$12,0)),"UNDEFINED")</f>
        <v/>
      </c>
      <c r="L397" s="64">
        <f>IFERROR(INDEX('Status Map'!$C$2:$C$12,MATCH(C397,'Status Map'!$A$2:$A$12,0)),"UNDEFINED")</f>
        <v/>
      </c>
      <c r="M397" s="68" t="inlineStr">
        <is>
          <t>STATEMENT AS REGISTERED</t>
        </is>
      </c>
      <c r="N397" s="68" t="n"/>
      <c r="O397" s="68" t="n"/>
      <c r="P397" s="64">
        <f>IF(O397&lt;&gt;"",O397,LEFT(D397,2))</f>
        <v/>
      </c>
      <c r="Q397" s="64">
        <f>IF(O397&lt;&gt;"","Standards §6",IF(M397="HEADING ONLY","Derived from heading — PROVISIONAL",IF(M397="TEXT NOT IN REGISTRY","No text to derive from — PROVISIONAL","Derived from registered statement")))</f>
        <v/>
      </c>
      <c r="R397" s="64">
        <f>IF(OR(LEFT(G397,1)="A",L397="COUNTS",ISNUMBER(SEARCH("V1",P397)),ISNUMBER(SEARCH("V2",P397)),ISNUMBER(SEARCH("V5",P397))),"A — 100%","B — sample ≥ 30%")</f>
        <v/>
      </c>
      <c r="S397" s="67" t="n"/>
      <c r="T397" s="67" t="n"/>
      <c r="U397" s="67" t="n"/>
      <c r="V397" s="67" t="n"/>
      <c r="W397" s="67" t="n"/>
      <c r="X397" s="67" t="n"/>
    </row>
    <row r="398" ht="32.8" customHeight="1" s="45">
      <c r="A398" s="65" t="inlineStr">
        <is>
          <t>G-3</t>
        </is>
      </c>
      <c r="B398" s="66" t="inlineStr">
        <is>
          <t>Governance Architecture — gap register</t>
        </is>
      </c>
      <c r="C398" s="66" t="inlineStr">
        <is>
          <t>OPEN</t>
        </is>
      </c>
      <c r="D398" s="66" t="inlineStr">
        <is>
          <t>V7 — Document &amp; design inspection</t>
        </is>
      </c>
      <c r="E398" s="66" t="n"/>
      <c r="F398" s="66" t="inlineStr">
        <is>
          <t>Specification text against implementation description; provenance sections; objective card lines</t>
        </is>
      </c>
      <c r="G398" s="66" t="inlineStr">
        <is>
          <t>A — 100%</t>
        </is>
      </c>
      <c r="H398" s="67" t="n"/>
      <c r="I398" s="67" t="n"/>
      <c r="J398" s="67" t="n"/>
      <c r="K398" s="64">
        <f>IFERROR(INDEX('Status Map'!$B$2:$B$12,MATCH(C398,'Status Map'!$A$2:$A$12,0)),"UNDEFINED")</f>
        <v/>
      </c>
      <c r="L398" s="64">
        <f>IFERROR(INDEX('Status Map'!$C$2:$C$12,MATCH(C398,'Status Map'!$A$2:$A$12,0)),"UNDEFINED")</f>
        <v/>
      </c>
      <c r="M398" s="68" t="inlineStr">
        <is>
          <t>STATEMENT AS REGISTERED</t>
        </is>
      </c>
      <c r="N398" s="68" t="n"/>
      <c r="O398" s="68" t="n"/>
      <c r="P398" s="64">
        <f>IF(O398&lt;&gt;"",O398,LEFT(D398,2))</f>
        <v/>
      </c>
      <c r="Q398" s="64">
        <f>IF(O398&lt;&gt;"","Standards §6",IF(M398="HEADING ONLY","Derived from heading — PROVISIONAL",IF(M398="TEXT NOT IN REGISTRY","No text to derive from — PROVISIONAL","Derived from registered statement")))</f>
        <v/>
      </c>
      <c r="R398" s="64">
        <f>IF(OR(LEFT(G398,1)="A",L398="COUNTS",ISNUMBER(SEARCH("V1",P398)),ISNUMBER(SEARCH("V2",P398)),ISNUMBER(SEARCH("V5",P398))),"A — 100%","B — sample ≥ 30%")</f>
        <v/>
      </c>
      <c r="S398" s="67" t="n"/>
      <c r="T398" s="67" t="n"/>
      <c r="U398" s="67" t="n"/>
      <c r="V398" s="67" t="n"/>
      <c r="W398" s="67" t="n"/>
      <c r="X398" s="67" t="n"/>
    </row>
    <row r="399" ht="32.8" customHeight="1" s="45">
      <c r="A399" s="65" t="inlineStr">
        <is>
          <t>G-4</t>
        </is>
      </c>
      <c r="B399" s="66" t="inlineStr">
        <is>
          <t>Governance Architecture — gap register</t>
        </is>
      </c>
      <c r="C399" s="66" t="inlineStr">
        <is>
          <t>OPEN</t>
        </is>
      </c>
      <c r="D399" s="66" t="inlineStr">
        <is>
          <t>V7 — Document &amp; design inspection</t>
        </is>
      </c>
      <c r="E399" s="66" t="n"/>
      <c r="F399" s="66" t="inlineStr">
        <is>
          <t>Specification text against implementation description; provenance sections; objective card lines</t>
        </is>
      </c>
      <c r="G399" s="66" t="inlineStr">
        <is>
          <t>A — 100%</t>
        </is>
      </c>
      <c r="H399" s="67" t="n"/>
      <c r="I399" s="67" t="n"/>
      <c r="J399" s="67" t="n"/>
      <c r="K399" s="64">
        <f>IFERROR(INDEX('Status Map'!$B$2:$B$12,MATCH(C399,'Status Map'!$A$2:$A$12,0)),"UNDEFINED")</f>
        <v/>
      </c>
      <c r="L399" s="64">
        <f>IFERROR(INDEX('Status Map'!$C$2:$C$12,MATCH(C399,'Status Map'!$A$2:$A$12,0)),"UNDEFINED")</f>
        <v/>
      </c>
      <c r="M399" s="68" t="inlineStr">
        <is>
          <t>STATEMENT AS REGISTERED</t>
        </is>
      </c>
      <c r="N399" s="68" t="n"/>
      <c r="O399" s="68" t="n"/>
      <c r="P399" s="64">
        <f>IF(O399&lt;&gt;"",O399,LEFT(D399,2))</f>
        <v/>
      </c>
      <c r="Q399" s="64">
        <f>IF(O399&lt;&gt;"","Standards §6",IF(M399="HEADING ONLY","Derived from heading — PROVISIONAL",IF(M399="TEXT NOT IN REGISTRY","No text to derive from — PROVISIONAL","Derived from registered statement")))</f>
        <v/>
      </c>
      <c r="R399" s="64">
        <f>IF(OR(LEFT(G399,1)="A",L399="COUNTS",ISNUMBER(SEARCH("V1",P399)),ISNUMBER(SEARCH("V2",P399)),ISNUMBER(SEARCH("V5",P399))),"A — 100%","B — sample ≥ 30%")</f>
        <v/>
      </c>
      <c r="S399" s="67" t="n"/>
      <c r="T399" s="67" t="n"/>
      <c r="U399" s="67" t="n"/>
      <c r="V399" s="67" t="n"/>
      <c r="W399" s="67" t="n"/>
      <c r="X399" s="67" t="n"/>
    </row>
    <row r="400" ht="32.8" customHeight="1" s="45">
      <c r="A400" s="65" t="inlineStr">
        <is>
          <t>G-5</t>
        </is>
      </c>
      <c r="B400" s="66" t="inlineStr">
        <is>
          <t>Governance Architecture — gap register</t>
        </is>
      </c>
      <c r="C400" s="66" t="inlineStr">
        <is>
          <t>OPEN</t>
        </is>
      </c>
      <c r="D400" s="66" t="inlineStr">
        <is>
          <t>V7 — Document &amp; design inspection</t>
        </is>
      </c>
      <c r="E400" s="66" t="n"/>
      <c r="F400" s="66" t="inlineStr">
        <is>
          <t>Specification text against implementation description; provenance sections; objective card lines</t>
        </is>
      </c>
      <c r="G400" s="66" t="inlineStr">
        <is>
          <t>A — 100%</t>
        </is>
      </c>
      <c r="H400" s="67" t="n"/>
      <c r="I400" s="67" t="n"/>
      <c r="J400" s="67" t="n"/>
      <c r="K400" s="64">
        <f>IFERROR(INDEX('Status Map'!$B$2:$B$12,MATCH(C400,'Status Map'!$A$2:$A$12,0)),"UNDEFINED")</f>
        <v/>
      </c>
      <c r="L400" s="64">
        <f>IFERROR(INDEX('Status Map'!$C$2:$C$12,MATCH(C400,'Status Map'!$A$2:$A$12,0)),"UNDEFINED")</f>
        <v/>
      </c>
      <c r="M400" s="68" t="inlineStr">
        <is>
          <t>STATEMENT AS REGISTERED</t>
        </is>
      </c>
      <c r="N400" s="68" t="n"/>
      <c r="O400" s="68" t="n"/>
      <c r="P400" s="64">
        <f>IF(O400&lt;&gt;"",O400,LEFT(D400,2))</f>
        <v/>
      </c>
      <c r="Q400" s="64">
        <f>IF(O400&lt;&gt;"","Standards §6",IF(M400="HEADING ONLY","Derived from heading — PROVISIONAL",IF(M400="TEXT NOT IN REGISTRY","No text to derive from — PROVISIONAL","Derived from registered statement")))</f>
        <v/>
      </c>
      <c r="R400" s="64">
        <f>IF(OR(LEFT(G400,1)="A",L400="COUNTS",ISNUMBER(SEARCH("V1",P400)),ISNUMBER(SEARCH("V2",P400)),ISNUMBER(SEARCH("V5",P400))),"A — 100%","B — sample ≥ 30%")</f>
        <v/>
      </c>
      <c r="S400" s="67" t="n"/>
      <c r="T400" s="67" t="n"/>
      <c r="U400" s="67" t="n"/>
      <c r="V400" s="67" t="n"/>
      <c r="W400" s="67" t="n"/>
      <c r="X400" s="67" t="n"/>
    </row>
    <row r="401" ht="32.8" customHeight="1" s="45">
      <c r="A401" s="65" t="inlineStr">
        <is>
          <t>G-6</t>
        </is>
      </c>
      <c r="B401" s="66" t="inlineStr">
        <is>
          <t>Governance Architecture — gap register</t>
        </is>
      </c>
      <c r="C401" s="66" t="inlineStr">
        <is>
          <t>OPEN</t>
        </is>
      </c>
      <c r="D401" s="66" t="inlineStr">
        <is>
          <t>V7 — Document &amp; design inspection</t>
        </is>
      </c>
      <c r="E401" s="66" t="n"/>
      <c r="F401" s="66" t="inlineStr">
        <is>
          <t>Specification text against implementation description; provenance sections; objective card lines</t>
        </is>
      </c>
      <c r="G401" s="66" t="inlineStr">
        <is>
          <t>A — 100%</t>
        </is>
      </c>
      <c r="H401" s="67" t="n"/>
      <c r="I401" s="67" t="n"/>
      <c r="J401" s="67" t="n"/>
      <c r="K401" s="64">
        <f>IFERROR(INDEX('Status Map'!$B$2:$B$12,MATCH(C401,'Status Map'!$A$2:$A$12,0)),"UNDEFINED")</f>
        <v/>
      </c>
      <c r="L401" s="64">
        <f>IFERROR(INDEX('Status Map'!$C$2:$C$12,MATCH(C401,'Status Map'!$A$2:$A$12,0)),"UNDEFINED")</f>
        <v/>
      </c>
      <c r="M401" s="68" t="inlineStr">
        <is>
          <t>STATEMENT AS REGISTERED</t>
        </is>
      </c>
      <c r="N401" s="68" t="n"/>
      <c r="O401" s="68" t="n"/>
      <c r="P401" s="64">
        <f>IF(O401&lt;&gt;"",O401,LEFT(D401,2))</f>
        <v/>
      </c>
      <c r="Q401" s="64">
        <f>IF(O401&lt;&gt;"","Standards §6",IF(M401="HEADING ONLY","Derived from heading — PROVISIONAL",IF(M401="TEXT NOT IN REGISTRY","No text to derive from — PROVISIONAL","Derived from registered statement")))</f>
        <v/>
      </c>
      <c r="R401" s="64">
        <f>IF(OR(LEFT(G401,1)="A",L401="COUNTS",ISNUMBER(SEARCH("V1",P401)),ISNUMBER(SEARCH("V2",P401)),ISNUMBER(SEARCH("V5",P401))),"A — 100%","B — sample ≥ 30%")</f>
        <v/>
      </c>
      <c r="S401" s="67" t="n"/>
      <c r="T401" s="67" t="n"/>
      <c r="U401" s="67" t="n"/>
      <c r="V401" s="67" t="n"/>
      <c r="W401" s="67" t="n"/>
      <c r="X401" s="67" t="n"/>
    </row>
    <row r="402" ht="32.8" customHeight="1" s="45">
      <c r="A402" s="65" t="inlineStr">
        <is>
          <t>G-7</t>
        </is>
      </c>
      <c r="B402" s="66" t="inlineStr">
        <is>
          <t>Governance Architecture — gap register</t>
        </is>
      </c>
      <c r="C402" s="66" t="inlineStr">
        <is>
          <t>OPEN</t>
        </is>
      </c>
      <c r="D402" s="66" t="inlineStr">
        <is>
          <t>V7 — Document &amp; design inspection</t>
        </is>
      </c>
      <c r="E402" s="66" t="n"/>
      <c r="F402" s="66" t="inlineStr">
        <is>
          <t>Specification text against implementation description; provenance sections; objective card lines</t>
        </is>
      </c>
      <c r="G402" s="66" t="inlineStr">
        <is>
          <t>A — 100%</t>
        </is>
      </c>
      <c r="H402" s="67" t="n"/>
      <c r="I402" s="67" t="n"/>
      <c r="J402" s="67" t="n"/>
      <c r="K402" s="64">
        <f>IFERROR(INDEX('Status Map'!$B$2:$B$12,MATCH(C402,'Status Map'!$A$2:$A$12,0)),"UNDEFINED")</f>
        <v/>
      </c>
      <c r="L402" s="64">
        <f>IFERROR(INDEX('Status Map'!$C$2:$C$12,MATCH(C402,'Status Map'!$A$2:$A$12,0)),"UNDEFINED")</f>
        <v/>
      </c>
      <c r="M402" s="68" t="inlineStr">
        <is>
          <t>STATEMENT AS REGISTERED</t>
        </is>
      </c>
      <c r="N402" s="68" t="n"/>
      <c r="O402" s="68" t="n"/>
      <c r="P402" s="64">
        <f>IF(O402&lt;&gt;"",O402,LEFT(D402,2))</f>
        <v/>
      </c>
      <c r="Q402" s="64">
        <f>IF(O402&lt;&gt;"","Standards §6",IF(M402="HEADING ONLY","Derived from heading — PROVISIONAL",IF(M402="TEXT NOT IN REGISTRY","No text to derive from — PROVISIONAL","Derived from registered statement")))</f>
        <v/>
      </c>
      <c r="R402" s="64">
        <f>IF(OR(LEFT(G402,1)="A",L402="COUNTS",ISNUMBER(SEARCH("V1",P402)),ISNUMBER(SEARCH("V2",P402)),ISNUMBER(SEARCH("V5",P402))),"A — 100%","B — sample ≥ 30%")</f>
        <v/>
      </c>
      <c r="S402" s="67" t="n"/>
      <c r="T402" s="67" t="n"/>
      <c r="U402" s="67" t="n"/>
      <c r="V402" s="67" t="n"/>
      <c r="W402" s="67" t="n"/>
      <c r="X402" s="67" t="n"/>
    </row>
    <row r="403" ht="32.8" customHeight="1" s="45">
      <c r="A403" s="65" t="inlineStr">
        <is>
          <t>G-8</t>
        </is>
      </c>
      <c r="B403" s="66" t="inlineStr">
        <is>
          <t>Governance Architecture — gap register</t>
        </is>
      </c>
      <c r="C403" s="66" t="inlineStr">
        <is>
          <t>OPEN</t>
        </is>
      </c>
      <c r="D403" s="66" t="inlineStr">
        <is>
          <t>V3 — Record evidence</t>
        </is>
      </c>
      <c r="E403" s="66" t="n"/>
      <c r="F403" s="66" t="inlineStr">
        <is>
          <t>Ledger rows inspected; hash-chain verifier receipt; refused operations present on identical terms</t>
        </is>
      </c>
      <c r="G403" s="66" t="inlineStr">
        <is>
          <t>A — 100%</t>
        </is>
      </c>
      <c r="H403" s="67" t="n"/>
      <c r="I403" s="67" t="n"/>
      <c r="J403" s="67" t="n"/>
      <c r="K403" s="64">
        <f>IFERROR(INDEX('Status Map'!$B$2:$B$12,MATCH(C403,'Status Map'!$A$2:$A$12,0)),"UNDEFINED")</f>
        <v/>
      </c>
      <c r="L403" s="64">
        <f>IFERROR(INDEX('Status Map'!$C$2:$C$12,MATCH(C403,'Status Map'!$A$2:$A$12,0)),"UNDEFINED")</f>
        <v/>
      </c>
      <c r="M403" s="68" t="inlineStr">
        <is>
          <t>STATEMENT AS REGISTERED</t>
        </is>
      </c>
      <c r="N403" s="68" t="n"/>
      <c r="O403" s="68" t="n"/>
      <c r="P403" s="64">
        <f>IF(O403&lt;&gt;"",O403,LEFT(D403,2))</f>
        <v/>
      </c>
      <c r="Q403" s="64">
        <f>IF(O403&lt;&gt;"","Standards §6",IF(M403="HEADING ONLY","Derived from heading — PROVISIONAL",IF(M403="TEXT NOT IN REGISTRY","No text to derive from — PROVISIONAL","Derived from registered statement")))</f>
        <v/>
      </c>
      <c r="R403" s="64">
        <f>IF(OR(LEFT(G403,1)="A",L403="COUNTS",ISNUMBER(SEARCH("V1",P403)),ISNUMBER(SEARCH("V2",P403)),ISNUMBER(SEARCH("V5",P403))),"A — 100%","B — sample ≥ 30%")</f>
        <v/>
      </c>
      <c r="S403" s="67" t="n"/>
      <c r="T403" s="67" t="n"/>
      <c r="U403" s="67" t="n"/>
      <c r="V403" s="67" t="n"/>
      <c r="W403" s="67" t="n"/>
      <c r="X403" s="67" t="n"/>
    </row>
    <row r="404" ht="32.8" customHeight="1" s="45">
      <c r="A404" s="65" t="inlineStr">
        <is>
          <t>G-9</t>
        </is>
      </c>
      <c r="B404" s="66" t="inlineStr">
        <is>
          <t>Governance Architecture — gap register</t>
        </is>
      </c>
      <c r="C404" s="66" t="inlineStr">
        <is>
          <t>OPEN</t>
        </is>
      </c>
      <c r="D404" s="66" t="inlineStr">
        <is>
          <t>V4 — Governance-record evidence</t>
        </is>
      </c>
      <c r="E404" s="66" t="n"/>
      <c r="F404" s="66" t="inlineStr">
        <is>
          <t>DECISIONS.md entry; ceremony record with tier, countersign, countdown, apply, re-verify; canon_ref present</t>
        </is>
      </c>
      <c r="G404" s="66" t="inlineStr">
        <is>
          <t>A — 100%</t>
        </is>
      </c>
      <c r="H404" s="67" t="n"/>
      <c r="I404" s="67" t="n"/>
      <c r="J404" s="67" t="n"/>
      <c r="K404" s="64">
        <f>IFERROR(INDEX('Status Map'!$B$2:$B$12,MATCH(C404,'Status Map'!$A$2:$A$12,0)),"UNDEFINED")</f>
        <v/>
      </c>
      <c r="L404" s="64">
        <f>IFERROR(INDEX('Status Map'!$C$2:$C$12,MATCH(C404,'Status Map'!$A$2:$A$12,0)),"UNDEFINED")</f>
        <v/>
      </c>
      <c r="M404" s="68" t="inlineStr">
        <is>
          <t>STATEMENT AS REGISTERED</t>
        </is>
      </c>
      <c r="N404" s="68" t="n"/>
      <c r="O404" s="68" t="n"/>
      <c r="P404" s="64">
        <f>IF(O404&lt;&gt;"",O404,LEFT(D404,2))</f>
        <v/>
      </c>
      <c r="Q404" s="64">
        <f>IF(O404&lt;&gt;"","Standards §6",IF(M404="HEADING ONLY","Derived from heading — PROVISIONAL",IF(M404="TEXT NOT IN REGISTRY","No text to derive from — PROVISIONAL","Derived from registered statement")))</f>
        <v/>
      </c>
      <c r="R404" s="64">
        <f>IF(OR(LEFT(G404,1)="A",L404="COUNTS",ISNUMBER(SEARCH("V1",P404)),ISNUMBER(SEARCH("V2",P404)),ISNUMBER(SEARCH("V5",P404))),"A — 100%","B — sample ≥ 30%")</f>
        <v/>
      </c>
      <c r="S404" s="67" t="n"/>
      <c r="T404" s="67" t="n"/>
      <c r="U404" s="67" t="n"/>
      <c r="V404" s="67" t="n"/>
      <c r="W404" s="67" t="n"/>
      <c r="X404" s="67" t="n"/>
    </row>
    <row r="405" ht="32.8" customHeight="1" s="45">
      <c r="A405" s="65" t="inlineStr">
        <is>
          <t>G-10</t>
        </is>
      </c>
      <c r="B405" s="66" t="inlineStr">
        <is>
          <t>Governance Architecture — gap register</t>
        </is>
      </c>
      <c r="C405" s="66" t="inlineStr">
        <is>
          <t>OPEN</t>
        </is>
      </c>
      <c r="D405" s="66" t="inlineStr">
        <is>
          <t>V1 — Test evidence</t>
        </is>
      </c>
      <c r="E405" s="66" t="inlineStr">
        <is>
          <t>V4</t>
        </is>
      </c>
      <c r="F405" s="66" t="inlineStr">
        <is>
          <t>Golden-input, byte-identical output; RED-first test ID; ratchet manifest entry</t>
        </is>
      </c>
      <c r="G405" s="66" t="inlineStr">
        <is>
          <t>A — 100%</t>
        </is>
      </c>
      <c r="H405" s="67" t="n"/>
      <c r="I405" s="67" t="n"/>
      <c r="J405" s="67" t="n"/>
      <c r="K405" s="64">
        <f>IFERROR(INDEX('Status Map'!$B$2:$B$12,MATCH(C405,'Status Map'!$A$2:$A$12,0)),"UNDEFINED")</f>
        <v/>
      </c>
      <c r="L405" s="64">
        <f>IFERROR(INDEX('Status Map'!$C$2:$C$12,MATCH(C405,'Status Map'!$A$2:$A$12,0)),"UNDEFINED")</f>
        <v/>
      </c>
      <c r="M405" s="68" t="inlineStr">
        <is>
          <t>STATEMENT AS REGISTERED</t>
        </is>
      </c>
      <c r="N405" s="68" t="n"/>
      <c r="O405" s="68" t="n"/>
      <c r="P405" s="64">
        <f>IF(O405&lt;&gt;"",O405,LEFT(D405,2))</f>
        <v/>
      </c>
      <c r="Q405" s="64">
        <f>IF(O405&lt;&gt;"","Standards §6",IF(M405="HEADING ONLY","Derived from heading — PROVISIONAL",IF(M405="TEXT NOT IN REGISTRY","No text to derive from — PROVISIONAL","Derived from registered statement")))</f>
        <v/>
      </c>
      <c r="R405" s="64">
        <f>IF(OR(LEFT(G405,1)="A",L405="COUNTS",ISNUMBER(SEARCH("V1",P405)),ISNUMBER(SEARCH("V2",P405)),ISNUMBER(SEARCH("V5",P405))),"A — 100%","B — sample ≥ 30%")</f>
        <v/>
      </c>
      <c r="S405" s="67" t="n"/>
      <c r="T405" s="67" t="n"/>
      <c r="U405" s="67" t="n"/>
      <c r="V405" s="67" t="n"/>
      <c r="W405" s="67" t="n"/>
      <c r="X405" s="67" t="n"/>
    </row>
    <row r="406" ht="32.8" customHeight="1" s="45">
      <c r="A406" s="65" t="inlineStr">
        <is>
          <t>G-11</t>
        </is>
      </c>
      <c r="B406" s="66" t="inlineStr">
        <is>
          <t>Governance Architecture — gap register</t>
        </is>
      </c>
      <c r="C406" s="66" t="inlineStr">
        <is>
          <t>OPEN</t>
        </is>
      </c>
      <c r="D406" s="66" t="inlineStr">
        <is>
          <t>V7 — Document &amp; design inspection</t>
        </is>
      </c>
      <c r="E406" s="66" t="n"/>
      <c r="F406" s="66" t="inlineStr">
        <is>
          <t>Specification text against implementation description; provenance sections; objective card lines</t>
        </is>
      </c>
      <c r="G406" s="66" t="inlineStr">
        <is>
          <t>A — 100%</t>
        </is>
      </c>
      <c r="H406" s="67" t="n"/>
      <c r="I406" s="67" t="n"/>
      <c r="J406" s="67" t="n"/>
      <c r="K406" s="64">
        <f>IFERROR(INDEX('Status Map'!$B$2:$B$12,MATCH(C406,'Status Map'!$A$2:$A$12,0)),"UNDEFINED")</f>
        <v/>
      </c>
      <c r="L406" s="64">
        <f>IFERROR(INDEX('Status Map'!$C$2:$C$12,MATCH(C406,'Status Map'!$A$2:$A$12,0)),"UNDEFINED")</f>
        <v/>
      </c>
      <c r="M406" s="68" t="inlineStr">
        <is>
          <t>STATEMENT AS REGISTERED</t>
        </is>
      </c>
      <c r="N406" s="68" t="n"/>
      <c r="O406" s="68" t="n"/>
      <c r="P406" s="64">
        <f>IF(O406&lt;&gt;"",O406,LEFT(D406,2))</f>
        <v/>
      </c>
      <c r="Q406" s="64">
        <f>IF(O406&lt;&gt;"","Standards §6",IF(M406="HEADING ONLY","Derived from heading — PROVISIONAL",IF(M406="TEXT NOT IN REGISTRY","No text to derive from — PROVISIONAL","Derived from registered statement")))</f>
        <v/>
      </c>
      <c r="R406" s="64">
        <f>IF(OR(LEFT(G406,1)="A",L406="COUNTS",ISNUMBER(SEARCH("V1",P406)),ISNUMBER(SEARCH("V2",P406)),ISNUMBER(SEARCH("V5",P406))),"A — 100%","B — sample ≥ 30%")</f>
        <v/>
      </c>
      <c r="S406" s="67" t="n"/>
      <c r="T406" s="67" t="n"/>
      <c r="U406" s="67" t="n"/>
      <c r="V406" s="67" t="n"/>
      <c r="W406" s="67" t="n"/>
      <c r="X406" s="67" t="n"/>
    </row>
    <row r="407" ht="32.8" customHeight="1" s="45">
      <c r="A407" s="65" t="inlineStr">
        <is>
          <t>G-12</t>
        </is>
      </c>
      <c r="B407" s="66" t="inlineStr">
        <is>
          <t>Governance Architecture — gap register</t>
        </is>
      </c>
      <c r="C407" s="66" t="inlineStr">
        <is>
          <t>OPEN</t>
        </is>
      </c>
      <c r="D407" s="66" t="inlineStr">
        <is>
          <t>V7 — Document &amp; design inspection</t>
        </is>
      </c>
      <c r="E407" s="66" t="n"/>
      <c r="F407" s="66" t="inlineStr">
        <is>
          <t>Specification text against implementation description; provenance sections; objective card lines</t>
        </is>
      </c>
      <c r="G407" s="66" t="inlineStr">
        <is>
          <t>A — 100%</t>
        </is>
      </c>
      <c r="H407" s="67" t="n"/>
      <c r="I407" s="67" t="n"/>
      <c r="J407" s="67" t="n"/>
      <c r="K407" s="64">
        <f>IFERROR(INDEX('Status Map'!$B$2:$B$12,MATCH(C407,'Status Map'!$A$2:$A$12,0)),"UNDEFINED")</f>
        <v/>
      </c>
      <c r="L407" s="64">
        <f>IFERROR(INDEX('Status Map'!$C$2:$C$12,MATCH(C407,'Status Map'!$A$2:$A$12,0)),"UNDEFINED")</f>
        <v/>
      </c>
      <c r="M407" s="68" t="inlineStr">
        <is>
          <t>STATEMENT AS REGISTERED</t>
        </is>
      </c>
      <c r="N407" s="68" t="n"/>
      <c r="O407" s="68" t="n"/>
      <c r="P407" s="64">
        <f>IF(O407&lt;&gt;"",O407,LEFT(D407,2))</f>
        <v/>
      </c>
      <c r="Q407" s="64">
        <f>IF(O407&lt;&gt;"","Standards §6",IF(M407="HEADING ONLY","Derived from heading — PROVISIONAL",IF(M407="TEXT NOT IN REGISTRY","No text to derive from — PROVISIONAL","Derived from registered statement")))</f>
        <v/>
      </c>
      <c r="R407" s="64">
        <f>IF(OR(LEFT(G407,1)="A",L407="COUNTS",ISNUMBER(SEARCH("V1",P407)),ISNUMBER(SEARCH("V2",P407)),ISNUMBER(SEARCH("V5",P407))),"A — 100%","B — sample ≥ 30%")</f>
        <v/>
      </c>
      <c r="S407" s="67" t="n"/>
      <c r="T407" s="67" t="n"/>
      <c r="U407" s="67" t="n"/>
      <c r="V407" s="67" t="n"/>
      <c r="W407" s="67" t="n"/>
      <c r="X407" s="67" t="n"/>
    </row>
    <row r="408" ht="32.8" customHeight="1" s="45">
      <c r="A408" s="65" t="inlineStr">
        <is>
          <t>G-13</t>
        </is>
      </c>
      <c r="B408" s="66" t="inlineStr">
        <is>
          <t>Governance Architecture — gap register</t>
        </is>
      </c>
      <c r="C408" s="66" t="inlineStr">
        <is>
          <t>OPEN</t>
        </is>
      </c>
      <c r="D408" s="66" t="inlineStr">
        <is>
          <t>V7 — Document &amp; design inspection</t>
        </is>
      </c>
      <c r="E408" s="66" t="n"/>
      <c r="F408" s="66" t="inlineStr">
        <is>
          <t>Specification text against implementation description; provenance sections; objective card lines</t>
        </is>
      </c>
      <c r="G408" s="66" t="inlineStr">
        <is>
          <t>A — 100%</t>
        </is>
      </c>
      <c r="H408" s="67" t="n"/>
      <c r="I408" s="67" t="n"/>
      <c r="J408" s="67" t="n"/>
      <c r="K408" s="64">
        <f>IFERROR(INDEX('Status Map'!$B$2:$B$12,MATCH(C408,'Status Map'!$A$2:$A$12,0)),"UNDEFINED")</f>
        <v/>
      </c>
      <c r="L408" s="64">
        <f>IFERROR(INDEX('Status Map'!$C$2:$C$12,MATCH(C408,'Status Map'!$A$2:$A$12,0)),"UNDEFINED")</f>
        <v/>
      </c>
      <c r="M408" s="68" t="inlineStr">
        <is>
          <t>STATEMENT AS REGISTERED</t>
        </is>
      </c>
      <c r="N408" s="68" t="n"/>
      <c r="O408" s="68" t="n"/>
      <c r="P408" s="64">
        <f>IF(O408&lt;&gt;"",O408,LEFT(D408,2))</f>
        <v/>
      </c>
      <c r="Q408" s="64">
        <f>IF(O408&lt;&gt;"","Standards §6",IF(M408="HEADING ONLY","Derived from heading — PROVISIONAL",IF(M408="TEXT NOT IN REGISTRY","No text to derive from — PROVISIONAL","Derived from registered statement")))</f>
        <v/>
      </c>
      <c r="R408" s="64">
        <f>IF(OR(LEFT(G408,1)="A",L408="COUNTS",ISNUMBER(SEARCH("V1",P408)),ISNUMBER(SEARCH("V2",P408)),ISNUMBER(SEARCH("V5",P408))),"A — 100%","B — sample ≥ 30%")</f>
        <v/>
      </c>
      <c r="S408" s="67" t="n"/>
      <c r="T408" s="67" t="n"/>
      <c r="U408" s="67" t="n"/>
      <c r="V408" s="67" t="n"/>
      <c r="W408" s="67" t="n"/>
      <c r="X408" s="67" t="n"/>
    </row>
    <row r="409" ht="22.35" customHeight="1" s="45">
      <c r="A409" s="65" t="inlineStr">
        <is>
          <t>S-1</t>
        </is>
      </c>
      <c r="B409" s="66" t="inlineStr">
        <is>
          <t>Security Assurance Set</t>
        </is>
      </c>
      <c r="C409" s="66" t="inlineStr">
        <is>
          <t>See xlsx</t>
        </is>
      </c>
      <c r="D409" s="66" t="inlineStr">
        <is>
          <t>V7 — Document &amp; design inspection</t>
        </is>
      </c>
      <c r="E409" s="66" t="n"/>
      <c r="F409" s="66" t="inlineStr">
        <is>
          <t>Specification text against implementation description; provenance sections; objective card lines</t>
        </is>
      </c>
      <c r="G409" s="66" t="inlineStr">
        <is>
          <t>A — 100%</t>
        </is>
      </c>
      <c r="H409" s="67" t="n"/>
      <c r="I409" s="67" t="n"/>
      <c r="J409" s="67" t="n"/>
      <c r="K409" s="64">
        <f>IFERROR(INDEX('Status Map'!$B$2:$B$12,MATCH(C409,'Status Map'!$A$2:$A$12,0)),"UNDEFINED")</f>
        <v/>
      </c>
      <c r="L409" s="64">
        <f>IFERROR(INDEX('Status Map'!$C$2:$C$12,MATCH(C409,'Status Map'!$A$2:$A$12,0)),"UNDEFINED")</f>
        <v/>
      </c>
      <c r="M409" s="68" t="inlineStr">
        <is>
          <t>TEXT NOT IN REGISTRY</t>
        </is>
      </c>
      <c r="N409" s="68" t="n"/>
      <c r="O409" s="68" t="n"/>
      <c r="P409" s="64">
        <f>IF(O409&lt;&gt;"",O409,LEFT(D409,2))</f>
        <v/>
      </c>
      <c r="Q409" s="64">
        <f>IF(O409&lt;&gt;"","Standards §6",IF(M409="HEADING ONLY","Derived from heading — PROVISIONAL",IF(M409="TEXT NOT IN REGISTRY","No text to derive from — PROVISIONAL","Derived from registered statement")))</f>
        <v/>
      </c>
      <c r="R409" s="64">
        <f>IF(OR(LEFT(G409,1)="A",L409="COUNTS",ISNUMBER(SEARCH("V1",P409)),ISNUMBER(SEARCH("V2",P409)),ISNUMBER(SEARCH("V5",P409))),"A — 100%","B — sample ≥ 30%")</f>
        <v/>
      </c>
      <c r="S409" s="67" t="n"/>
      <c r="T409" s="67" t="n"/>
      <c r="U409" s="67" t="n"/>
      <c r="V409" s="67" t="n"/>
      <c r="W409" s="67" t="n"/>
      <c r="X409" s="67" t="n"/>
    </row>
    <row r="410" ht="22.35" customHeight="1" s="45">
      <c r="A410" s="65" t="inlineStr">
        <is>
          <t>S-2</t>
        </is>
      </c>
      <c r="B410" s="66" t="inlineStr">
        <is>
          <t>Security Assurance Set</t>
        </is>
      </c>
      <c r="C410" s="66" t="inlineStr">
        <is>
          <t>See xlsx</t>
        </is>
      </c>
      <c r="D410" s="66" t="inlineStr">
        <is>
          <t>V7 — Document &amp; design inspection</t>
        </is>
      </c>
      <c r="E410" s="66" t="n"/>
      <c r="F410" s="66" t="inlineStr">
        <is>
          <t>Specification text against implementation description; provenance sections; objective card lines</t>
        </is>
      </c>
      <c r="G410" s="66" t="inlineStr">
        <is>
          <t>A — 100%</t>
        </is>
      </c>
      <c r="H410" s="67" t="n"/>
      <c r="I410" s="67" t="n"/>
      <c r="J410" s="67" t="n"/>
      <c r="K410" s="64">
        <f>IFERROR(INDEX('Status Map'!$B$2:$B$12,MATCH(C410,'Status Map'!$A$2:$A$12,0)),"UNDEFINED")</f>
        <v/>
      </c>
      <c r="L410" s="64">
        <f>IFERROR(INDEX('Status Map'!$C$2:$C$12,MATCH(C410,'Status Map'!$A$2:$A$12,0)),"UNDEFINED")</f>
        <v/>
      </c>
      <c r="M410" s="68" t="inlineStr">
        <is>
          <t>TEXT NOT IN REGISTRY</t>
        </is>
      </c>
      <c r="N410" s="68" t="n"/>
      <c r="O410" s="68" t="n"/>
      <c r="P410" s="64">
        <f>IF(O410&lt;&gt;"",O410,LEFT(D410,2))</f>
        <v/>
      </c>
      <c r="Q410" s="64">
        <f>IF(O410&lt;&gt;"","Standards §6",IF(M410="HEADING ONLY","Derived from heading — PROVISIONAL",IF(M410="TEXT NOT IN REGISTRY","No text to derive from — PROVISIONAL","Derived from registered statement")))</f>
        <v/>
      </c>
      <c r="R410" s="64">
        <f>IF(OR(LEFT(G410,1)="A",L410="COUNTS",ISNUMBER(SEARCH("V1",P410)),ISNUMBER(SEARCH("V2",P410)),ISNUMBER(SEARCH("V5",P410))),"A — 100%","B — sample ≥ 30%")</f>
        <v/>
      </c>
      <c r="S410" s="67" t="n"/>
      <c r="T410" s="67" t="n"/>
      <c r="U410" s="67" t="n"/>
      <c r="V410" s="67" t="n"/>
      <c r="W410" s="67" t="n"/>
      <c r="X410" s="67" t="n"/>
    </row>
    <row r="411" ht="22.35" customHeight="1" s="45">
      <c r="A411" s="65" t="inlineStr">
        <is>
          <t>S-3</t>
        </is>
      </c>
      <c r="B411" s="66" t="inlineStr">
        <is>
          <t>Security Assurance Set</t>
        </is>
      </c>
      <c r="C411" s="66" t="inlineStr">
        <is>
          <t>See xlsx</t>
        </is>
      </c>
      <c r="D411" s="66" t="inlineStr">
        <is>
          <t>V7 — Document &amp; design inspection</t>
        </is>
      </c>
      <c r="E411" s="66" t="n"/>
      <c r="F411" s="66" t="inlineStr">
        <is>
          <t>Specification text against implementation description; provenance sections; objective card lines</t>
        </is>
      </c>
      <c r="G411" s="66" t="inlineStr">
        <is>
          <t>A — 100%</t>
        </is>
      </c>
      <c r="H411" s="67" t="n"/>
      <c r="I411" s="67" t="n"/>
      <c r="J411" s="67" t="n"/>
      <c r="K411" s="64">
        <f>IFERROR(INDEX('Status Map'!$B$2:$B$12,MATCH(C411,'Status Map'!$A$2:$A$12,0)),"UNDEFINED")</f>
        <v/>
      </c>
      <c r="L411" s="64">
        <f>IFERROR(INDEX('Status Map'!$C$2:$C$12,MATCH(C411,'Status Map'!$A$2:$A$12,0)),"UNDEFINED")</f>
        <v/>
      </c>
      <c r="M411" s="68" t="inlineStr">
        <is>
          <t>TEXT NOT IN REGISTRY</t>
        </is>
      </c>
      <c r="N411" s="68" t="n"/>
      <c r="O411" s="68" t="n"/>
      <c r="P411" s="64">
        <f>IF(O411&lt;&gt;"",O411,LEFT(D411,2))</f>
        <v/>
      </c>
      <c r="Q411" s="64">
        <f>IF(O411&lt;&gt;"","Standards §6",IF(M411="HEADING ONLY","Derived from heading — PROVISIONAL",IF(M411="TEXT NOT IN REGISTRY","No text to derive from — PROVISIONAL","Derived from registered statement")))</f>
        <v/>
      </c>
      <c r="R411" s="64">
        <f>IF(OR(LEFT(G411,1)="A",L411="COUNTS",ISNUMBER(SEARCH("V1",P411)),ISNUMBER(SEARCH("V2",P411)),ISNUMBER(SEARCH("V5",P411))),"A — 100%","B — sample ≥ 30%")</f>
        <v/>
      </c>
      <c r="S411" s="67" t="n"/>
      <c r="T411" s="67" t="n"/>
      <c r="U411" s="67" t="n"/>
      <c r="V411" s="67" t="n"/>
      <c r="W411" s="67" t="n"/>
      <c r="X411" s="67" t="n"/>
    </row>
    <row r="412" ht="22.35" customHeight="1" s="45">
      <c r="A412" s="65" t="inlineStr">
        <is>
          <t>S-4</t>
        </is>
      </c>
      <c r="B412" s="66" t="inlineStr">
        <is>
          <t>Security Assurance Set</t>
        </is>
      </c>
      <c r="C412" s="66" t="inlineStr">
        <is>
          <t>See xlsx</t>
        </is>
      </c>
      <c r="D412" s="66" t="inlineStr">
        <is>
          <t>V7 — Document &amp; design inspection</t>
        </is>
      </c>
      <c r="E412" s="66" t="n"/>
      <c r="F412" s="66" t="inlineStr">
        <is>
          <t>Specification text against implementation description; provenance sections; objective card lines</t>
        </is>
      </c>
      <c r="G412" s="66" t="inlineStr">
        <is>
          <t>A — 100%</t>
        </is>
      </c>
      <c r="H412" s="67" t="n"/>
      <c r="I412" s="67" t="n"/>
      <c r="J412" s="67" t="n"/>
      <c r="K412" s="64">
        <f>IFERROR(INDEX('Status Map'!$B$2:$B$12,MATCH(C412,'Status Map'!$A$2:$A$12,0)),"UNDEFINED")</f>
        <v/>
      </c>
      <c r="L412" s="64">
        <f>IFERROR(INDEX('Status Map'!$C$2:$C$12,MATCH(C412,'Status Map'!$A$2:$A$12,0)),"UNDEFINED")</f>
        <v/>
      </c>
      <c r="M412" s="68" t="inlineStr">
        <is>
          <t>TEXT NOT IN REGISTRY</t>
        </is>
      </c>
      <c r="N412" s="68" t="n"/>
      <c r="O412" s="68" t="n"/>
      <c r="P412" s="64">
        <f>IF(O412&lt;&gt;"",O412,LEFT(D412,2))</f>
        <v/>
      </c>
      <c r="Q412" s="64">
        <f>IF(O412&lt;&gt;"","Standards §6",IF(M412="HEADING ONLY","Derived from heading — PROVISIONAL",IF(M412="TEXT NOT IN REGISTRY","No text to derive from — PROVISIONAL","Derived from registered statement")))</f>
        <v/>
      </c>
      <c r="R412" s="64">
        <f>IF(OR(LEFT(G412,1)="A",L412="COUNTS",ISNUMBER(SEARCH("V1",P412)),ISNUMBER(SEARCH("V2",P412)),ISNUMBER(SEARCH("V5",P412))),"A — 100%","B — sample ≥ 30%")</f>
        <v/>
      </c>
      <c r="S412" s="67" t="n"/>
      <c r="T412" s="67" t="n"/>
      <c r="U412" s="67" t="n"/>
      <c r="V412" s="67" t="n"/>
      <c r="W412" s="67" t="n"/>
      <c r="X412" s="67" t="n"/>
    </row>
    <row r="413" ht="22.35" customHeight="1" s="45">
      <c r="A413" s="65" t="inlineStr">
        <is>
          <t>S-5</t>
        </is>
      </c>
      <c r="B413" s="66" t="inlineStr">
        <is>
          <t>Security Assurance Set</t>
        </is>
      </c>
      <c r="C413" s="66" t="inlineStr">
        <is>
          <t>See xlsx</t>
        </is>
      </c>
      <c r="D413" s="66" t="inlineStr">
        <is>
          <t>V7 — Document &amp; design inspection</t>
        </is>
      </c>
      <c r="E413" s="66" t="n"/>
      <c r="F413" s="66" t="inlineStr">
        <is>
          <t>Specification text against implementation description; provenance sections; objective card lines</t>
        </is>
      </c>
      <c r="G413" s="66" t="inlineStr">
        <is>
          <t>A — 100%</t>
        </is>
      </c>
      <c r="H413" s="67" t="n"/>
      <c r="I413" s="67" t="n"/>
      <c r="J413" s="67" t="n"/>
      <c r="K413" s="64">
        <f>IFERROR(INDEX('Status Map'!$B$2:$B$12,MATCH(C413,'Status Map'!$A$2:$A$12,0)),"UNDEFINED")</f>
        <v/>
      </c>
      <c r="L413" s="64">
        <f>IFERROR(INDEX('Status Map'!$C$2:$C$12,MATCH(C413,'Status Map'!$A$2:$A$12,0)),"UNDEFINED")</f>
        <v/>
      </c>
      <c r="M413" s="68" t="inlineStr">
        <is>
          <t>TEXT NOT IN REGISTRY</t>
        </is>
      </c>
      <c r="N413" s="68" t="n"/>
      <c r="O413" s="68" t="n"/>
      <c r="P413" s="64">
        <f>IF(O413&lt;&gt;"",O413,LEFT(D413,2))</f>
        <v/>
      </c>
      <c r="Q413" s="64">
        <f>IF(O413&lt;&gt;"","Standards §6",IF(M413="HEADING ONLY","Derived from heading — PROVISIONAL",IF(M413="TEXT NOT IN REGISTRY","No text to derive from — PROVISIONAL","Derived from registered statement")))</f>
        <v/>
      </c>
      <c r="R413" s="64">
        <f>IF(OR(LEFT(G413,1)="A",L413="COUNTS",ISNUMBER(SEARCH("V1",P413)),ISNUMBER(SEARCH("V2",P413)),ISNUMBER(SEARCH("V5",P413))),"A — 100%","B — sample ≥ 30%")</f>
        <v/>
      </c>
      <c r="S413" s="67" t="n"/>
      <c r="T413" s="67" t="n"/>
      <c r="U413" s="67" t="n"/>
      <c r="V413" s="67" t="n"/>
      <c r="W413" s="67" t="n"/>
      <c r="X413" s="67" t="n"/>
    </row>
    <row r="414" ht="22.35" customHeight="1" s="45">
      <c r="A414" s="65" t="inlineStr">
        <is>
          <t>S-6</t>
        </is>
      </c>
      <c r="B414" s="66" t="inlineStr">
        <is>
          <t>Security Assurance Set</t>
        </is>
      </c>
      <c r="C414" s="66" t="inlineStr">
        <is>
          <t>See xlsx</t>
        </is>
      </c>
      <c r="D414" s="66" t="inlineStr">
        <is>
          <t>V7 — Document &amp; design inspection</t>
        </is>
      </c>
      <c r="E414" s="66" t="n"/>
      <c r="F414" s="66" t="inlineStr">
        <is>
          <t>Specification text against implementation description; provenance sections; objective card lines</t>
        </is>
      </c>
      <c r="G414" s="66" t="inlineStr">
        <is>
          <t>A — 100%</t>
        </is>
      </c>
      <c r="H414" s="67" t="n"/>
      <c r="I414" s="67" t="n"/>
      <c r="J414" s="67" t="n"/>
      <c r="K414" s="64">
        <f>IFERROR(INDEX('Status Map'!$B$2:$B$12,MATCH(C414,'Status Map'!$A$2:$A$12,0)),"UNDEFINED")</f>
        <v/>
      </c>
      <c r="L414" s="64">
        <f>IFERROR(INDEX('Status Map'!$C$2:$C$12,MATCH(C414,'Status Map'!$A$2:$A$12,0)),"UNDEFINED")</f>
        <v/>
      </c>
      <c r="M414" s="68" t="inlineStr">
        <is>
          <t>TEXT NOT IN REGISTRY</t>
        </is>
      </c>
      <c r="N414" s="68" t="n"/>
      <c r="O414" s="68" t="n"/>
      <c r="P414" s="64">
        <f>IF(O414&lt;&gt;"",O414,LEFT(D414,2))</f>
        <v/>
      </c>
      <c r="Q414" s="64">
        <f>IF(O414&lt;&gt;"","Standards §6",IF(M414="HEADING ONLY","Derived from heading — PROVISIONAL",IF(M414="TEXT NOT IN REGISTRY","No text to derive from — PROVISIONAL","Derived from registered statement")))</f>
        <v/>
      </c>
      <c r="R414" s="64">
        <f>IF(OR(LEFT(G414,1)="A",L414="COUNTS",ISNUMBER(SEARCH("V1",P414)),ISNUMBER(SEARCH("V2",P414)),ISNUMBER(SEARCH("V5",P414))),"A — 100%","B — sample ≥ 30%")</f>
        <v/>
      </c>
      <c r="S414" s="67" t="n"/>
      <c r="T414" s="67" t="n"/>
      <c r="U414" s="67" t="n"/>
      <c r="V414" s="67" t="n"/>
      <c r="W414" s="67" t="n"/>
      <c r="X414" s="67" t="n"/>
    </row>
    <row r="415" ht="22.35" customHeight="1" s="45">
      <c r="A415" s="65" t="inlineStr">
        <is>
          <t>S-7</t>
        </is>
      </c>
      <c r="B415" s="66" t="inlineStr">
        <is>
          <t>Security Assurance Set</t>
        </is>
      </c>
      <c r="C415" s="66" t="inlineStr">
        <is>
          <t>See xlsx</t>
        </is>
      </c>
      <c r="D415" s="66" t="inlineStr">
        <is>
          <t>V7 — Document &amp; design inspection</t>
        </is>
      </c>
      <c r="E415" s="66" t="n"/>
      <c r="F415" s="66" t="inlineStr">
        <is>
          <t>Specification text against implementation description; provenance sections; objective card lines</t>
        </is>
      </c>
      <c r="G415" s="66" t="inlineStr">
        <is>
          <t>A — 100%</t>
        </is>
      </c>
      <c r="H415" s="67" t="n"/>
      <c r="I415" s="67" t="n"/>
      <c r="J415" s="67" t="n"/>
      <c r="K415" s="64">
        <f>IFERROR(INDEX('Status Map'!$B$2:$B$12,MATCH(C415,'Status Map'!$A$2:$A$12,0)),"UNDEFINED")</f>
        <v/>
      </c>
      <c r="L415" s="64">
        <f>IFERROR(INDEX('Status Map'!$C$2:$C$12,MATCH(C415,'Status Map'!$A$2:$A$12,0)),"UNDEFINED")</f>
        <v/>
      </c>
      <c r="M415" s="68" t="inlineStr">
        <is>
          <t>TEXT NOT IN REGISTRY</t>
        </is>
      </c>
      <c r="N415" s="68" t="n"/>
      <c r="O415" s="68" t="n"/>
      <c r="P415" s="64">
        <f>IF(O415&lt;&gt;"",O415,LEFT(D415,2))</f>
        <v/>
      </c>
      <c r="Q415" s="64">
        <f>IF(O415&lt;&gt;"","Standards §6",IF(M415="HEADING ONLY","Derived from heading — PROVISIONAL",IF(M415="TEXT NOT IN REGISTRY","No text to derive from — PROVISIONAL","Derived from registered statement")))</f>
        <v/>
      </c>
      <c r="R415" s="64">
        <f>IF(OR(LEFT(G415,1)="A",L415="COUNTS",ISNUMBER(SEARCH("V1",P415)),ISNUMBER(SEARCH("V2",P415)),ISNUMBER(SEARCH("V5",P415))),"A — 100%","B — sample ≥ 30%")</f>
        <v/>
      </c>
      <c r="S415" s="67" t="n"/>
      <c r="T415" s="67" t="n"/>
      <c r="U415" s="67" t="n"/>
      <c r="V415" s="67" t="n"/>
      <c r="W415" s="67" t="n"/>
      <c r="X415" s="67" t="n"/>
    </row>
    <row r="416" ht="22.35" customHeight="1" s="45">
      <c r="A416" s="65" t="inlineStr">
        <is>
          <t>S-8</t>
        </is>
      </c>
      <c r="B416" s="66" t="inlineStr">
        <is>
          <t>Security Assurance Set</t>
        </is>
      </c>
      <c r="C416" s="66" t="inlineStr">
        <is>
          <t>See xlsx</t>
        </is>
      </c>
      <c r="D416" s="66" t="inlineStr">
        <is>
          <t>V7 — Document &amp; design inspection</t>
        </is>
      </c>
      <c r="E416" s="66" t="n"/>
      <c r="F416" s="66" t="inlineStr">
        <is>
          <t>Specification text against implementation description; provenance sections; objective card lines</t>
        </is>
      </c>
      <c r="G416" s="66" t="inlineStr">
        <is>
          <t>A — 100%</t>
        </is>
      </c>
      <c r="H416" s="67" t="n"/>
      <c r="I416" s="67" t="n"/>
      <c r="J416" s="67" t="n"/>
      <c r="K416" s="64">
        <f>IFERROR(INDEX('Status Map'!$B$2:$B$12,MATCH(C416,'Status Map'!$A$2:$A$12,0)),"UNDEFINED")</f>
        <v/>
      </c>
      <c r="L416" s="64">
        <f>IFERROR(INDEX('Status Map'!$C$2:$C$12,MATCH(C416,'Status Map'!$A$2:$A$12,0)),"UNDEFINED")</f>
        <v/>
      </c>
      <c r="M416" s="68" t="inlineStr">
        <is>
          <t>TEXT NOT IN REGISTRY</t>
        </is>
      </c>
      <c r="N416" s="68" t="n"/>
      <c r="O416" s="68" t="n"/>
      <c r="P416" s="64">
        <f>IF(O416&lt;&gt;"",O416,LEFT(D416,2))</f>
        <v/>
      </c>
      <c r="Q416" s="64">
        <f>IF(O416&lt;&gt;"","Standards §6",IF(M416="HEADING ONLY","Derived from heading — PROVISIONAL",IF(M416="TEXT NOT IN REGISTRY","No text to derive from — PROVISIONAL","Derived from registered statement")))</f>
        <v/>
      </c>
      <c r="R416" s="64">
        <f>IF(OR(LEFT(G416,1)="A",L416="COUNTS",ISNUMBER(SEARCH("V1",P416)),ISNUMBER(SEARCH("V2",P416)),ISNUMBER(SEARCH("V5",P416))),"A — 100%","B — sample ≥ 30%")</f>
        <v/>
      </c>
      <c r="S416" s="67" t="n"/>
      <c r="T416" s="67" t="n"/>
      <c r="U416" s="67" t="n"/>
      <c r="V416" s="67" t="n"/>
      <c r="W416" s="67" t="n"/>
      <c r="X416" s="67" t="n"/>
    </row>
    <row r="417" ht="22.35" customHeight="1" s="45">
      <c r="A417" s="65" t="inlineStr">
        <is>
          <t>S-9</t>
        </is>
      </c>
      <c r="B417" s="66" t="inlineStr">
        <is>
          <t>Security Assurance Set</t>
        </is>
      </c>
      <c r="C417" s="66" t="inlineStr">
        <is>
          <t>See xlsx</t>
        </is>
      </c>
      <c r="D417" s="66" t="inlineStr">
        <is>
          <t>V7 — Document &amp; design inspection</t>
        </is>
      </c>
      <c r="E417" s="66" t="n"/>
      <c r="F417" s="66" t="inlineStr">
        <is>
          <t>Specification text against implementation description; provenance sections; objective card lines</t>
        </is>
      </c>
      <c r="G417" s="66" t="inlineStr">
        <is>
          <t>A — 100%</t>
        </is>
      </c>
      <c r="H417" s="67" t="n"/>
      <c r="I417" s="67" t="n"/>
      <c r="J417" s="67" t="n"/>
      <c r="K417" s="64">
        <f>IFERROR(INDEX('Status Map'!$B$2:$B$12,MATCH(C417,'Status Map'!$A$2:$A$12,0)),"UNDEFINED")</f>
        <v/>
      </c>
      <c r="L417" s="64">
        <f>IFERROR(INDEX('Status Map'!$C$2:$C$12,MATCH(C417,'Status Map'!$A$2:$A$12,0)),"UNDEFINED")</f>
        <v/>
      </c>
      <c r="M417" s="68" t="inlineStr">
        <is>
          <t>TEXT NOT IN REGISTRY</t>
        </is>
      </c>
      <c r="N417" s="68" t="n"/>
      <c r="O417" s="68" t="n"/>
      <c r="P417" s="64">
        <f>IF(O417&lt;&gt;"",O417,LEFT(D417,2))</f>
        <v/>
      </c>
      <c r="Q417" s="64">
        <f>IF(O417&lt;&gt;"","Standards §6",IF(M417="HEADING ONLY","Derived from heading — PROVISIONAL",IF(M417="TEXT NOT IN REGISTRY","No text to derive from — PROVISIONAL","Derived from registered statement")))</f>
        <v/>
      </c>
      <c r="R417" s="64">
        <f>IF(OR(LEFT(G417,1)="A",L417="COUNTS",ISNUMBER(SEARCH("V1",P417)),ISNUMBER(SEARCH("V2",P417)),ISNUMBER(SEARCH("V5",P417))),"A — 100%","B — sample ≥ 30%")</f>
        <v/>
      </c>
      <c r="S417" s="67" t="n"/>
      <c r="T417" s="67" t="n"/>
      <c r="U417" s="67" t="n"/>
      <c r="V417" s="67" t="n"/>
      <c r="W417" s="67" t="n"/>
      <c r="X417" s="67" t="n"/>
    </row>
    <row r="418" ht="22.35" customHeight="1" s="45">
      <c r="A418" s="65" t="inlineStr">
        <is>
          <t>S-10</t>
        </is>
      </c>
      <c r="B418" s="66" t="inlineStr">
        <is>
          <t>Security Assurance Set</t>
        </is>
      </c>
      <c r="C418" s="66" t="inlineStr">
        <is>
          <t>See xlsx</t>
        </is>
      </c>
      <c r="D418" s="66" t="inlineStr">
        <is>
          <t>V7 — Document &amp; design inspection</t>
        </is>
      </c>
      <c r="E418" s="66" t="n"/>
      <c r="F418" s="66" t="inlineStr">
        <is>
          <t>Specification text against implementation description; provenance sections; objective card lines</t>
        </is>
      </c>
      <c r="G418" s="66" t="inlineStr">
        <is>
          <t>A — 100%</t>
        </is>
      </c>
      <c r="H418" s="67" t="n"/>
      <c r="I418" s="67" t="n"/>
      <c r="J418" s="67" t="n"/>
      <c r="K418" s="64">
        <f>IFERROR(INDEX('Status Map'!$B$2:$B$12,MATCH(C418,'Status Map'!$A$2:$A$12,0)),"UNDEFINED")</f>
        <v/>
      </c>
      <c r="L418" s="64">
        <f>IFERROR(INDEX('Status Map'!$C$2:$C$12,MATCH(C418,'Status Map'!$A$2:$A$12,0)),"UNDEFINED")</f>
        <v/>
      </c>
      <c r="M418" s="68" t="inlineStr">
        <is>
          <t>TEXT NOT IN REGISTRY</t>
        </is>
      </c>
      <c r="N418" s="68" t="n"/>
      <c r="O418" s="68" t="n"/>
      <c r="P418" s="64">
        <f>IF(O418&lt;&gt;"",O418,LEFT(D418,2))</f>
        <v/>
      </c>
      <c r="Q418" s="64">
        <f>IF(O418&lt;&gt;"","Standards §6",IF(M418="HEADING ONLY","Derived from heading — PROVISIONAL",IF(M418="TEXT NOT IN REGISTRY","No text to derive from — PROVISIONAL","Derived from registered statement")))</f>
        <v/>
      </c>
      <c r="R418" s="64">
        <f>IF(OR(LEFT(G418,1)="A",L418="COUNTS",ISNUMBER(SEARCH("V1",P418)),ISNUMBER(SEARCH("V2",P418)),ISNUMBER(SEARCH("V5",P418))),"A — 100%","B — sample ≥ 30%")</f>
        <v/>
      </c>
      <c r="S418" s="67" t="n"/>
      <c r="T418" s="67" t="n"/>
      <c r="U418" s="67" t="n"/>
      <c r="V418" s="67" t="n"/>
      <c r="W418" s="67" t="n"/>
      <c r="X418" s="67" t="n"/>
    </row>
    <row r="419" ht="22.35" customHeight="1" s="45">
      <c r="A419" s="65" t="inlineStr">
        <is>
          <t>S-11</t>
        </is>
      </c>
      <c r="B419" s="66" t="inlineStr">
        <is>
          <t>Security Assurance Set</t>
        </is>
      </c>
      <c r="C419" s="66" t="inlineStr">
        <is>
          <t>See xlsx</t>
        </is>
      </c>
      <c r="D419" s="66" t="inlineStr">
        <is>
          <t>V7 — Document &amp; design inspection</t>
        </is>
      </c>
      <c r="E419" s="66" t="n"/>
      <c r="F419" s="66" t="inlineStr">
        <is>
          <t>Specification text against implementation description; provenance sections; objective card lines</t>
        </is>
      </c>
      <c r="G419" s="66" t="inlineStr">
        <is>
          <t>A — 100%</t>
        </is>
      </c>
      <c r="H419" s="67" t="n"/>
      <c r="I419" s="67" t="n"/>
      <c r="J419" s="67" t="n"/>
      <c r="K419" s="64">
        <f>IFERROR(INDEX('Status Map'!$B$2:$B$12,MATCH(C419,'Status Map'!$A$2:$A$12,0)),"UNDEFINED")</f>
        <v/>
      </c>
      <c r="L419" s="64">
        <f>IFERROR(INDEX('Status Map'!$C$2:$C$12,MATCH(C419,'Status Map'!$A$2:$A$12,0)),"UNDEFINED")</f>
        <v/>
      </c>
      <c r="M419" s="68" t="inlineStr">
        <is>
          <t>TEXT NOT IN REGISTRY</t>
        </is>
      </c>
      <c r="N419" s="68" t="n"/>
      <c r="O419" s="68" t="n"/>
      <c r="P419" s="64">
        <f>IF(O419&lt;&gt;"",O419,LEFT(D419,2))</f>
        <v/>
      </c>
      <c r="Q419" s="64">
        <f>IF(O419&lt;&gt;"","Standards §6",IF(M419="HEADING ONLY","Derived from heading — PROVISIONAL",IF(M419="TEXT NOT IN REGISTRY","No text to derive from — PROVISIONAL","Derived from registered statement")))</f>
        <v/>
      </c>
      <c r="R419" s="64">
        <f>IF(OR(LEFT(G419,1)="A",L419="COUNTS",ISNUMBER(SEARCH("V1",P419)),ISNUMBER(SEARCH("V2",P419)),ISNUMBER(SEARCH("V5",P419))),"A — 100%","B — sample ≥ 30%")</f>
        <v/>
      </c>
      <c r="S419" s="67" t="n"/>
      <c r="T419" s="67" t="n"/>
      <c r="U419" s="67" t="n"/>
      <c r="V419" s="67" t="n"/>
      <c r="W419" s="67" t="n"/>
      <c r="X419" s="67" t="n"/>
    </row>
    <row r="420" ht="22.35" customHeight="1" s="45">
      <c r="A420" s="65" t="inlineStr">
        <is>
          <t>S-12</t>
        </is>
      </c>
      <c r="B420" s="66" t="inlineStr">
        <is>
          <t>Security Assurance Set</t>
        </is>
      </c>
      <c r="C420" s="66" t="inlineStr">
        <is>
          <t>See xlsx</t>
        </is>
      </c>
      <c r="D420" s="66" t="inlineStr">
        <is>
          <t>V7 — Document &amp; design inspection</t>
        </is>
      </c>
      <c r="E420" s="66" t="n"/>
      <c r="F420" s="66" t="inlineStr">
        <is>
          <t>Specification text against implementation description; provenance sections; objective card lines</t>
        </is>
      </c>
      <c r="G420" s="66" t="inlineStr">
        <is>
          <t>A — 100%</t>
        </is>
      </c>
      <c r="H420" s="67" t="n"/>
      <c r="I420" s="67" t="n"/>
      <c r="J420" s="67" t="n"/>
      <c r="K420" s="64">
        <f>IFERROR(INDEX('Status Map'!$B$2:$B$12,MATCH(C420,'Status Map'!$A$2:$A$12,0)),"UNDEFINED")</f>
        <v/>
      </c>
      <c r="L420" s="64">
        <f>IFERROR(INDEX('Status Map'!$C$2:$C$12,MATCH(C420,'Status Map'!$A$2:$A$12,0)),"UNDEFINED")</f>
        <v/>
      </c>
      <c r="M420" s="68" t="inlineStr">
        <is>
          <t>TEXT NOT IN REGISTRY</t>
        </is>
      </c>
      <c r="N420" s="68" t="n"/>
      <c r="O420" s="68" t="n"/>
      <c r="P420" s="64">
        <f>IF(O420&lt;&gt;"",O420,LEFT(D420,2))</f>
        <v/>
      </c>
      <c r="Q420" s="64">
        <f>IF(O420&lt;&gt;"","Standards §6",IF(M420="HEADING ONLY","Derived from heading — PROVISIONAL",IF(M420="TEXT NOT IN REGISTRY","No text to derive from — PROVISIONAL","Derived from registered statement")))</f>
        <v/>
      </c>
      <c r="R420" s="64">
        <f>IF(OR(LEFT(G420,1)="A",L420="COUNTS",ISNUMBER(SEARCH("V1",P420)),ISNUMBER(SEARCH("V2",P420)),ISNUMBER(SEARCH("V5",P420))),"A — 100%","B — sample ≥ 30%")</f>
        <v/>
      </c>
      <c r="S420" s="67" t="n"/>
      <c r="T420" s="67" t="n"/>
      <c r="U420" s="67" t="n"/>
      <c r="V420" s="67" t="n"/>
      <c r="W420" s="67" t="n"/>
      <c r="X420" s="67" t="n"/>
    </row>
    <row r="421" ht="22.35" customHeight="1" s="45">
      <c r="A421" s="65" t="inlineStr">
        <is>
          <t>S-13</t>
        </is>
      </c>
      <c r="B421" s="66" t="inlineStr">
        <is>
          <t>Security Assurance Set</t>
        </is>
      </c>
      <c r="C421" s="66" t="inlineStr">
        <is>
          <t>See xlsx</t>
        </is>
      </c>
      <c r="D421" s="66" t="inlineStr">
        <is>
          <t>V7 — Document &amp; design inspection</t>
        </is>
      </c>
      <c r="E421" s="66" t="n"/>
      <c r="F421" s="66" t="inlineStr">
        <is>
          <t>Specification text against implementation description; provenance sections; objective card lines</t>
        </is>
      </c>
      <c r="G421" s="66" t="inlineStr">
        <is>
          <t>A — 100%</t>
        </is>
      </c>
      <c r="H421" s="67" t="n"/>
      <c r="I421" s="67" t="n"/>
      <c r="J421" s="67" t="n"/>
      <c r="K421" s="64">
        <f>IFERROR(INDEX('Status Map'!$B$2:$B$12,MATCH(C421,'Status Map'!$A$2:$A$12,0)),"UNDEFINED")</f>
        <v/>
      </c>
      <c r="L421" s="64">
        <f>IFERROR(INDEX('Status Map'!$C$2:$C$12,MATCH(C421,'Status Map'!$A$2:$A$12,0)),"UNDEFINED")</f>
        <v/>
      </c>
      <c r="M421" s="68" t="inlineStr">
        <is>
          <t>TEXT NOT IN REGISTRY</t>
        </is>
      </c>
      <c r="N421" s="68" t="n"/>
      <c r="O421" s="68" t="n"/>
      <c r="P421" s="64">
        <f>IF(O421&lt;&gt;"",O421,LEFT(D421,2))</f>
        <v/>
      </c>
      <c r="Q421" s="64">
        <f>IF(O421&lt;&gt;"","Standards §6",IF(M421="HEADING ONLY","Derived from heading — PROVISIONAL",IF(M421="TEXT NOT IN REGISTRY","No text to derive from — PROVISIONAL","Derived from registered statement")))</f>
        <v/>
      </c>
      <c r="R421" s="64">
        <f>IF(OR(LEFT(G421,1)="A",L421="COUNTS",ISNUMBER(SEARCH("V1",P421)),ISNUMBER(SEARCH("V2",P421)),ISNUMBER(SEARCH("V5",P421))),"A — 100%","B — sample ≥ 30%")</f>
        <v/>
      </c>
      <c r="S421" s="67" t="n"/>
      <c r="T421" s="67" t="n"/>
      <c r="U421" s="67" t="n"/>
      <c r="V421" s="67" t="n"/>
      <c r="W421" s="67" t="n"/>
      <c r="X421" s="67" t="n"/>
    </row>
    <row r="422" ht="22.35" customHeight="1" s="45">
      <c r="A422" s="65" t="inlineStr">
        <is>
          <t>S-14</t>
        </is>
      </c>
      <c r="B422" s="66" t="inlineStr">
        <is>
          <t>Security Assurance Set</t>
        </is>
      </c>
      <c r="C422" s="66" t="inlineStr">
        <is>
          <t>See xlsx</t>
        </is>
      </c>
      <c r="D422" s="66" t="inlineStr">
        <is>
          <t>V7 — Document &amp; design inspection</t>
        </is>
      </c>
      <c r="E422" s="66" t="n"/>
      <c r="F422" s="66" t="inlineStr">
        <is>
          <t>Specification text against implementation description; provenance sections; objective card lines</t>
        </is>
      </c>
      <c r="G422" s="66" t="inlineStr">
        <is>
          <t>A — 100%</t>
        </is>
      </c>
      <c r="H422" s="67" t="n"/>
      <c r="I422" s="67" t="n"/>
      <c r="J422" s="67" t="n"/>
      <c r="K422" s="64">
        <f>IFERROR(INDEX('Status Map'!$B$2:$B$12,MATCH(C422,'Status Map'!$A$2:$A$12,0)),"UNDEFINED")</f>
        <v/>
      </c>
      <c r="L422" s="64">
        <f>IFERROR(INDEX('Status Map'!$C$2:$C$12,MATCH(C422,'Status Map'!$A$2:$A$12,0)),"UNDEFINED")</f>
        <v/>
      </c>
      <c r="M422" s="68" t="inlineStr">
        <is>
          <t>TEXT NOT IN REGISTRY</t>
        </is>
      </c>
      <c r="N422" s="68" t="n"/>
      <c r="O422" s="68" t="n"/>
      <c r="P422" s="64">
        <f>IF(O422&lt;&gt;"",O422,LEFT(D422,2))</f>
        <v/>
      </c>
      <c r="Q422" s="64">
        <f>IF(O422&lt;&gt;"","Standards §6",IF(M422="HEADING ONLY","Derived from heading — PROVISIONAL",IF(M422="TEXT NOT IN REGISTRY","No text to derive from — PROVISIONAL","Derived from registered statement")))</f>
        <v/>
      </c>
      <c r="R422" s="64">
        <f>IF(OR(LEFT(G422,1)="A",L422="COUNTS",ISNUMBER(SEARCH("V1",P422)),ISNUMBER(SEARCH("V2",P422)),ISNUMBER(SEARCH("V5",P422))),"A — 100%","B — sample ≥ 30%")</f>
        <v/>
      </c>
      <c r="S422" s="67" t="n"/>
      <c r="T422" s="67" t="n"/>
      <c r="U422" s="67" t="n"/>
      <c r="V422" s="67" t="n"/>
      <c r="W422" s="67" t="n"/>
      <c r="X422" s="67" t="n"/>
    </row>
    <row r="423" ht="22.35" customHeight="1" s="45">
      <c r="A423" s="65" t="inlineStr">
        <is>
          <t>S-15</t>
        </is>
      </c>
      <c r="B423" s="66" t="inlineStr">
        <is>
          <t>Security Assurance Set</t>
        </is>
      </c>
      <c r="C423" s="66" t="inlineStr">
        <is>
          <t>See xlsx</t>
        </is>
      </c>
      <c r="D423" s="66" t="inlineStr">
        <is>
          <t>V7 — Document &amp; design inspection</t>
        </is>
      </c>
      <c r="E423" s="66" t="n"/>
      <c r="F423" s="66" t="inlineStr">
        <is>
          <t>Specification text against implementation description; provenance sections; objective card lines</t>
        </is>
      </c>
      <c r="G423" s="66" t="inlineStr">
        <is>
          <t>A — 100%</t>
        </is>
      </c>
      <c r="H423" s="67" t="n"/>
      <c r="I423" s="67" t="n"/>
      <c r="J423" s="67" t="n"/>
      <c r="K423" s="64">
        <f>IFERROR(INDEX('Status Map'!$B$2:$B$12,MATCH(C423,'Status Map'!$A$2:$A$12,0)),"UNDEFINED")</f>
        <v/>
      </c>
      <c r="L423" s="64">
        <f>IFERROR(INDEX('Status Map'!$C$2:$C$12,MATCH(C423,'Status Map'!$A$2:$A$12,0)),"UNDEFINED")</f>
        <v/>
      </c>
      <c r="M423" s="68" t="inlineStr">
        <is>
          <t>TEXT NOT IN REGISTRY</t>
        </is>
      </c>
      <c r="N423" s="68" t="n"/>
      <c r="O423" s="68" t="n"/>
      <c r="P423" s="64">
        <f>IF(O423&lt;&gt;"",O423,LEFT(D423,2))</f>
        <v/>
      </c>
      <c r="Q423" s="64">
        <f>IF(O423&lt;&gt;"","Standards §6",IF(M423="HEADING ONLY","Derived from heading — PROVISIONAL",IF(M423="TEXT NOT IN REGISTRY","No text to derive from — PROVISIONAL","Derived from registered statement")))</f>
        <v/>
      </c>
      <c r="R423" s="64">
        <f>IF(OR(LEFT(G423,1)="A",L423="COUNTS",ISNUMBER(SEARCH("V1",P423)),ISNUMBER(SEARCH("V2",P423)),ISNUMBER(SEARCH("V5",P423))),"A — 100%","B — sample ≥ 30%")</f>
        <v/>
      </c>
      <c r="S423" s="67" t="n"/>
      <c r="T423" s="67" t="n"/>
      <c r="U423" s="67" t="n"/>
      <c r="V423" s="67" t="n"/>
      <c r="W423" s="67" t="n"/>
      <c r="X423" s="67" t="n"/>
    </row>
    <row r="424" ht="22.35" customHeight="1" s="45">
      <c r="A424" s="65" t="inlineStr">
        <is>
          <t>S-16</t>
        </is>
      </c>
      <c r="B424" s="66" t="inlineStr">
        <is>
          <t>Security Assurance Set</t>
        </is>
      </c>
      <c r="C424" s="66" t="inlineStr">
        <is>
          <t>See xlsx</t>
        </is>
      </c>
      <c r="D424" s="66" t="inlineStr">
        <is>
          <t>V7 — Document &amp; design inspection</t>
        </is>
      </c>
      <c r="E424" s="66" t="n"/>
      <c r="F424" s="66" t="inlineStr">
        <is>
          <t>Specification text against implementation description; provenance sections; objective card lines</t>
        </is>
      </c>
      <c r="G424" s="66" t="inlineStr">
        <is>
          <t>A — 100%</t>
        </is>
      </c>
      <c r="H424" s="67" t="n"/>
      <c r="I424" s="67" t="n"/>
      <c r="J424" s="67" t="n"/>
      <c r="K424" s="64">
        <f>IFERROR(INDEX('Status Map'!$B$2:$B$12,MATCH(C424,'Status Map'!$A$2:$A$12,0)),"UNDEFINED")</f>
        <v/>
      </c>
      <c r="L424" s="64">
        <f>IFERROR(INDEX('Status Map'!$C$2:$C$12,MATCH(C424,'Status Map'!$A$2:$A$12,0)),"UNDEFINED")</f>
        <v/>
      </c>
      <c r="M424" s="68" t="inlineStr">
        <is>
          <t>TEXT NOT IN REGISTRY</t>
        </is>
      </c>
      <c r="N424" s="68" t="n"/>
      <c r="O424" s="68" t="n"/>
      <c r="P424" s="64">
        <f>IF(O424&lt;&gt;"",O424,LEFT(D424,2))</f>
        <v/>
      </c>
      <c r="Q424" s="64">
        <f>IF(O424&lt;&gt;"","Standards §6",IF(M424="HEADING ONLY","Derived from heading — PROVISIONAL",IF(M424="TEXT NOT IN REGISTRY","No text to derive from — PROVISIONAL","Derived from registered statement")))</f>
        <v/>
      </c>
      <c r="R424" s="64">
        <f>IF(OR(LEFT(G424,1)="A",L424="COUNTS",ISNUMBER(SEARCH("V1",P424)),ISNUMBER(SEARCH("V2",P424)),ISNUMBER(SEARCH("V5",P424))),"A — 100%","B — sample ≥ 30%")</f>
        <v/>
      </c>
      <c r="S424" s="67" t="n"/>
      <c r="T424" s="67" t="n"/>
      <c r="U424" s="67" t="n"/>
      <c r="V424" s="67" t="n"/>
      <c r="W424" s="67" t="n"/>
      <c r="X424" s="67" t="n"/>
    </row>
    <row r="425" ht="22.35" customHeight="1" s="45">
      <c r="A425" s="65" t="inlineStr">
        <is>
          <t>S-17</t>
        </is>
      </c>
      <c r="B425" s="66" t="inlineStr">
        <is>
          <t>Security Assurance Set</t>
        </is>
      </c>
      <c r="C425" s="66" t="inlineStr">
        <is>
          <t>See xlsx</t>
        </is>
      </c>
      <c r="D425" s="66" t="inlineStr">
        <is>
          <t>V7 — Document &amp; design inspection</t>
        </is>
      </c>
      <c r="E425" s="66" t="n"/>
      <c r="F425" s="66" t="inlineStr">
        <is>
          <t>Specification text against implementation description; provenance sections; objective card lines</t>
        </is>
      </c>
      <c r="G425" s="66" t="inlineStr">
        <is>
          <t>A — 100%</t>
        </is>
      </c>
      <c r="H425" s="67" t="n"/>
      <c r="I425" s="67" t="n"/>
      <c r="J425" s="67" t="n"/>
      <c r="K425" s="64">
        <f>IFERROR(INDEX('Status Map'!$B$2:$B$12,MATCH(C425,'Status Map'!$A$2:$A$12,0)),"UNDEFINED")</f>
        <v/>
      </c>
      <c r="L425" s="64">
        <f>IFERROR(INDEX('Status Map'!$C$2:$C$12,MATCH(C425,'Status Map'!$A$2:$A$12,0)),"UNDEFINED")</f>
        <v/>
      </c>
      <c r="M425" s="68" t="inlineStr">
        <is>
          <t>TEXT NOT IN REGISTRY</t>
        </is>
      </c>
      <c r="N425" s="68" t="n"/>
      <c r="O425" s="68" t="n"/>
      <c r="P425" s="64">
        <f>IF(O425&lt;&gt;"",O425,LEFT(D425,2))</f>
        <v/>
      </c>
      <c r="Q425" s="64">
        <f>IF(O425&lt;&gt;"","Standards §6",IF(M425="HEADING ONLY","Derived from heading — PROVISIONAL",IF(M425="TEXT NOT IN REGISTRY","No text to derive from — PROVISIONAL","Derived from registered statement")))</f>
        <v/>
      </c>
      <c r="R425" s="64">
        <f>IF(OR(LEFT(G425,1)="A",L425="COUNTS",ISNUMBER(SEARCH("V1",P425)),ISNUMBER(SEARCH("V2",P425)),ISNUMBER(SEARCH("V5",P425))),"A — 100%","B — sample ≥ 30%")</f>
        <v/>
      </c>
      <c r="S425" s="67" t="n"/>
      <c r="T425" s="67" t="n"/>
      <c r="U425" s="67" t="n"/>
      <c r="V425" s="67" t="n"/>
      <c r="W425" s="67" t="n"/>
      <c r="X425" s="67" t="n"/>
    </row>
    <row r="426" ht="22.35" customHeight="1" s="45">
      <c r="A426" s="65" t="inlineStr">
        <is>
          <t>S-18</t>
        </is>
      </c>
      <c r="B426" s="66" t="inlineStr">
        <is>
          <t>Security Assurance Set</t>
        </is>
      </c>
      <c r="C426" s="66" t="inlineStr">
        <is>
          <t>See xlsx</t>
        </is>
      </c>
      <c r="D426" s="66" t="inlineStr">
        <is>
          <t>V7 — Document &amp; design inspection</t>
        </is>
      </c>
      <c r="E426" s="66" t="n"/>
      <c r="F426" s="66" t="inlineStr">
        <is>
          <t>Specification text against implementation description; provenance sections; objective card lines</t>
        </is>
      </c>
      <c r="G426" s="66" t="inlineStr">
        <is>
          <t>A — 100%</t>
        </is>
      </c>
      <c r="H426" s="67" t="n"/>
      <c r="I426" s="67" t="n"/>
      <c r="J426" s="67" t="n"/>
      <c r="K426" s="64">
        <f>IFERROR(INDEX('Status Map'!$B$2:$B$12,MATCH(C426,'Status Map'!$A$2:$A$12,0)),"UNDEFINED")</f>
        <v/>
      </c>
      <c r="L426" s="64">
        <f>IFERROR(INDEX('Status Map'!$C$2:$C$12,MATCH(C426,'Status Map'!$A$2:$A$12,0)),"UNDEFINED")</f>
        <v/>
      </c>
      <c r="M426" s="68" t="inlineStr">
        <is>
          <t>TEXT NOT IN REGISTRY</t>
        </is>
      </c>
      <c r="N426" s="68" t="n"/>
      <c r="O426" s="68" t="n"/>
      <c r="P426" s="64">
        <f>IF(O426&lt;&gt;"",O426,LEFT(D426,2))</f>
        <v/>
      </c>
      <c r="Q426" s="64">
        <f>IF(O426&lt;&gt;"","Standards §6",IF(M426="HEADING ONLY","Derived from heading — PROVISIONAL",IF(M426="TEXT NOT IN REGISTRY","No text to derive from — PROVISIONAL","Derived from registered statement")))</f>
        <v/>
      </c>
      <c r="R426" s="64">
        <f>IF(OR(LEFT(G426,1)="A",L426="COUNTS",ISNUMBER(SEARCH("V1",P426)),ISNUMBER(SEARCH("V2",P426)),ISNUMBER(SEARCH("V5",P426))),"A — 100%","B — sample ≥ 30%")</f>
        <v/>
      </c>
      <c r="S426" s="67" t="n"/>
      <c r="T426" s="67" t="n"/>
      <c r="U426" s="67" t="n"/>
      <c r="V426" s="67" t="n"/>
      <c r="W426" s="67" t="n"/>
      <c r="X426" s="67" t="n"/>
    </row>
    <row r="427" ht="22.35" customHeight="1" s="45">
      <c r="A427" s="65" t="inlineStr">
        <is>
          <t>S-19</t>
        </is>
      </c>
      <c r="B427" s="66" t="inlineStr">
        <is>
          <t>Security Assurance Set</t>
        </is>
      </c>
      <c r="C427" s="66" t="inlineStr">
        <is>
          <t>See xlsx</t>
        </is>
      </c>
      <c r="D427" s="66" t="inlineStr">
        <is>
          <t>V7 — Document &amp; design inspection</t>
        </is>
      </c>
      <c r="E427" s="66" t="n"/>
      <c r="F427" s="66" t="inlineStr">
        <is>
          <t>Specification text against implementation description; provenance sections; objective card lines</t>
        </is>
      </c>
      <c r="G427" s="66" t="inlineStr">
        <is>
          <t>A — 100%</t>
        </is>
      </c>
      <c r="H427" s="67" t="n"/>
      <c r="I427" s="67" t="n"/>
      <c r="J427" s="67" t="n"/>
      <c r="K427" s="64">
        <f>IFERROR(INDEX('Status Map'!$B$2:$B$12,MATCH(C427,'Status Map'!$A$2:$A$12,0)),"UNDEFINED")</f>
        <v/>
      </c>
      <c r="L427" s="64">
        <f>IFERROR(INDEX('Status Map'!$C$2:$C$12,MATCH(C427,'Status Map'!$A$2:$A$12,0)),"UNDEFINED")</f>
        <v/>
      </c>
      <c r="M427" s="68" t="inlineStr">
        <is>
          <t>TEXT NOT IN REGISTRY</t>
        </is>
      </c>
      <c r="N427" s="68" t="n"/>
      <c r="O427" s="68" t="n"/>
      <c r="P427" s="64">
        <f>IF(O427&lt;&gt;"",O427,LEFT(D427,2))</f>
        <v/>
      </c>
      <c r="Q427" s="64">
        <f>IF(O427&lt;&gt;"","Standards §6",IF(M427="HEADING ONLY","Derived from heading — PROVISIONAL",IF(M427="TEXT NOT IN REGISTRY","No text to derive from — PROVISIONAL","Derived from registered statement")))</f>
        <v/>
      </c>
      <c r="R427" s="64">
        <f>IF(OR(LEFT(G427,1)="A",L427="COUNTS",ISNUMBER(SEARCH("V1",P427)),ISNUMBER(SEARCH("V2",P427)),ISNUMBER(SEARCH("V5",P427))),"A — 100%","B — sample ≥ 30%")</f>
        <v/>
      </c>
      <c r="S427" s="67" t="n"/>
      <c r="T427" s="67" t="n"/>
      <c r="U427" s="67" t="n"/>
      <c r="V427" s="67" t="n"/>
      <c r="W427" s="67" t="n"/>
      <c r="X427" s="67" t="n"/>
    </row>
    <row r="428" ht="22.35" customHeight="1" s="45">
      <c r="A428" s="65" t="inlineStr">
        <is>
          <t>S-20</t>
        </is>
      </c>
      <c r="B428" s="66" t="inlineStr">
        <is>
          <t>Security Assurance Set</t>
        </is>
      </c>
      <c r="C428" s="66" t="inlineStr">
        <is>
          <t>See xlsx</t>
        </is>
      </c>
      <c r="D428" s="66" t="inlineStr">
        <is>
          <t>V7 — Document &amp; design inspection</t>
        </is>
      </c>
      <c r="E428" s="66" t="n"/>
      <c r="F428" s="66" t="inlineStr">
        <is>
          <t>Specification text against implementation description; provenance sections; objective card lines</t>
        </is>
      </c>
      <c r="G428" s="66" t="inlineStr">
        <is>
          <t>A — 100%</t>
        </is>
      </c>
      <c r="H428" s="67" t="n"/>
      <c r="I428" s="67" t="n"/>
      <c r="J428" s="67" t="n"/>
      <c r="K428" s="64">
        <f>IFERROR(INDEX('Status Map'!$B$2:$B$12,MATCH(C428,'Status Map'!$A$2:$A$12,0)),"UNDEFINED")</f>
        <v/>
      </c>
      <c r="L428" s="64">
        <f>IFERROR(INDEX('Status Map'!$C$2:$C$12,MATCH(C428,'Status Map'!$A$2:$A$12,0)),"UNDEFINED")</f>
        <v/>
      </c>
      <c r="M428" s="68" t="inlineStr">
        <is>
          <t>TEXT NOT IN REGISTRY</t>
        </is>
      </c>
      <c r="N428" s="68" t="n"/>
      <c r="O428" s="68" t="n"/>
      <c r="P428" s="64">
        <f>IF(O428&lt;&gt;"",O428,LEFT(D428,2))</f>
        <v/>
      </c>
      <c r="Q428" s="64">
        <f>IF(O428&lt;&gt;"","Standards §6",IF(M428="HEADING ONLY","Derived from heading — PROVISIONAL",IF(M428="TEXT NOT IN REGISTRY","No text to derive from — PROVISIONAL","Derived from registered statement")))</f>
        <v/>
      </c>
      <c r="R428" s="64">
        <f>IF(OR(LEFT(G428,1)="A",L428="COUNTS",ISNUMBER(SEARCH("V1",P428)),ISNUMBER(SEARCH("V2",P428)),ISNUMBER(SEARCH("V5",P428))),"A — 100%","B — sample ≥ 30%")</f>
        <v/>
      </c>
      <c r="S428" s="67" t="n"/>
      <c r="T428" s="67" t="n"/>
      <c r="U428" s="67" t="n"/>
      <c r="V428" s="67" t="n"/>
      <c r="W428" s="67" t="n"/>
      <c r="X428" s="67" t="n"/>
    </row>
    <row r="429" ht="22.35" customHeight="1" s="45">
      <c r="A429" s="65" t="inlineStr">
        <is>
          <t>S-21</t>
        </is>
      </c>
      <c r="B429" s="66" t="inlineStr">
        <is>
          <t>Security Assurance Set</t>
        </is>
      </c>
      <c r="C429" s="66" t="inlineStr">
        <is>
          <t>See xlsx</t>
        </is>
      </c>
      <c r="D429" s="66" t="inlineStr">
        <is>
          <t>V7 — Document &amp; design inspection</t>
        </is>
      </c>
      <c r="E429" s="66" t="n"/>
      <c r="F429" s="66" t="inlineStr">
        <is>
          <t>Specification text against implementation description; provenance sections; objective card lines</t>
        </is>
      </c>
      <c r="G429" s="66" t="inlineStr">
        <is>
          <t>A — 100%</t>
        </is>
      </c>
      <c r="H429" s="67" t="n"/>
      <c r="I429" s="67" t="n"/>
      <c r="J429" s="67" t="n"/>
      <c r="K429" s="64">
        <f>IFERROR(INDEX('Status Map'!$B$2:$B$12,MATCH(C429,'Status Map'!$A$2:$A$12,0)),"UNDEFINED")</f>
        <v/>
      </c>
      <c r="L429" s="64">
        <f>IFERROR(INDEX('Status Map'!$C$2:$C$12,MATCH(C429,'Status Map'!$A$2:$A$12,0)),"UNDEFINED")</f>
        <v/>
      </c>
      <c r="M429" s="68" t="inlineStr">
        <is>
          <t>TEXT NOT IN REGISTRY</t>
        </is>
      </c>
      <c r="N429" s="68" t="n"/>
      <c r="O429" s="68" t="n"/>
      <c r="P429" s="64">
        <f>IF(O429&lt;&gt;"",O429,LEFT(D429,2))</f>
        <v/>
      </c>
      <c r="Q429" s="64">
        <f>IF(O429&lt;&gt;"","Standards §6",IF(M429="HEADING ONLY","Derived from heading — PROVISIONAL",IF(M429="TEXT NOT IN REGISTRY","No text to derive from — PROVISIONAL","Derived from registered statement")))</f>
        <v/>
      </c>
      <c r="R429" s="64">
        <f>IF(OR(LEFT(G429,1)="A",L429="COUNTS",ISNUMBER(SEARCH("V1",P429)),ISNUMBER(SEARCH("V2",P429)),ISNUMBER(SEARCH("V5",P429))),"A — 100%","B — sample ≥ 30%")</f>
        <v/>
      </c>
      <c r="S429" s="67" t="n"/>
      <c r="T429" s="67" t="n"/>
      <c r="U429" s="67" t="n"/>
      <c r="V429" s="67" t="n"/>
      <c r="W429" s="67" t="n"/>
      <c r="X429" s="67" t="n"/>
    </row>
    <row r="430" ht="22.35" customHeight="1" s="45">
      <c r="A430" s="65" t="inlineStr">
        <is>
          <t>S-22</t>
        </is>
      </c>
      <c r="B430" s="66" t="inlineStr">
        <is>
          <t>Security Assurance Set</t>
        </is>
      </c>
      <c r="C430" s="66" t="inlineStr">
        <is>
          <t>See xlsx</t>
        </is>
      </c>
      <c r="D430" s="66" t="inlineStr">
        <is>
          <t>V7 — Document &amp; design inspection</t>
        </is>
      </c>
      <c r="E430" s="66" t="n"/>
      <c r="F430" s="66" t="inlineStr">
        <is>
          <t>Specification text against implementation description; provenance sections; objective card lines</t>
        </is>
      </c>
      <c r="G430" s="66" t="inlineStr">
        <is>
          <t>A — 100%</t>
        </is>
      </c>
      <c r="H430" s="67" t="n"/>
      <c r="I430" s="67" t="n"/>
      <c r="J430" s="67" t="n"/>
      <c r="K430" s="64">
        <f>IFERROR(INDEX('Status Map'!$B$2:$B$12,MATCH(C430,'Status Map'!$A$2:$A$12,0)),"UNDEFINED")</f>
        <v/>
      </c>
      <c r="L430" s="64">
        <f>IFERROR(INDEX('Status Map'!$C$2:$C$12,MATCH(C430,'Status Map'!$A$2:$A$12,0)),"UNDEFINED")</f>
        <v/>
      </c>
      <c r="M430" s="68" t="inlineStr">
        <is>
          <t>TEXT NOT IN REGISTRY</t>
        </is>
      </c>
      <c r="N430" s="68" t="n"/>
      <c r="O430" s="68" t="n"/>
      <c r="P430" s="64">
        <f>IF(O430&lt;&gt;"",O430,LEFT(D430,2))</f>
        <v/>
      </c>
      <c r="Q430" s="64">
        <f>IF(O430&lt;&gt;"","Standards §6",IF(M430="HEADING ONLY","Derived from heading — PROVISIONAL",IF(M430="TEXT NOT IN REGISTRY","No text to derive from — PROVISIONAL","Derived from registered statement")))</f>
        <v/>
      </c>
      <c r="R430" s="64">
        <f>IF(OR(LEFT(G430,1)="A",L430="COUNTS",ISNUMBER(SEARCH("V1",P430)),ISNUMBER(SEARCH("V2",P430)),ISNUMBER(SEARCH("V5",P430))),"A — 100%","B — sample ≥ 30%")</f>
        <v/>
      </c>
      <c r="S430" s="67" t="n"/>
      <c r="T430" s="67" t="n"/>
      <c r="U430" s="67" t="n"/>
      <c r="V430" s="67" t="n"/>
      <c r="W430" s="67" t="n"/>
      <c r="X430" s="67" t="n"/>
    </row>
    <row r="431" ht="22.35" customHeight="1" s="45">
      <c r="A431" s="65" t="inlineStr">
        <is>
          <t>S-23</t>
        </is>
      </c>
      <c r="B431" s="66" t="inlineStr">
        <is>
          <t>Security Assurance Set</t>
        </is>
      </c>
      <c r="C431" s="66" t="inlineStr">
        <is>
          <t>See xlsx</t>
        </is>
      </c>
      <c r="D431" s="66" t="inlineStr">
        <is>
          <t>V7 — Document &amp; design inspection</t>
        </is>
      </c>
      <c r="E431" s="66" t="n"/>
      <c r="F431" s="66" t="inlineStr">
        <is>
          <t>Specification text against implementation description; provenance sections; objective card lines</t>
        </is>
      </c>
      <c r="G431" s="66" t="inlineStr">
        <is>
          <t>A — 100%</t>
        </is>
      </c>
      <c r="H431" s="67" t="n"/>
      <c r="I431" s="67" t="n"/>
      <c r="J431" s="67" t="n"/>
      <c r="K431" s="64">
        <f>IFERROR(INDEX('Status Map'!$B$2:$B$12,MATCH(C431,'Status Map'!$A$2:$A$12,0)),"UNDEFINED")</f>
        <v/>
      </c>
      <c r="L431" s="64">
        <f>IFERROR(INDEX('Status Map'!$C$2:$C$12,MATCH(C431,'Status Map'!$A$2:$A$12,0)),"UNDEFINED")</f>
        <v/>
      </c>
      <c r="M431" s="68" t="inlineStr">
        <is>
          <t>TEXT NOT IN REGISTRY</t>
        </is>
      </c>
      <c r="N431" s="68" t="n"/>
      <c r="O431" s="68" t="n"/>
      <c r="P431" s="64">
        <f>IF(O431&lt;&gt;"",O431,LEFT(D431,2))</f>
        <v/>
      </c>
      <c r="Q431" s="64">
        <f>IF(O431&lt;&gt;"","Standards §6",IF(M431="HEADING ONLY","Derived from heading — PROVISIONAL",IF(M431="TEXT NOT IN REGISTRY","No text to derive from — PROVISIONAL","Derived from registered statement")))</f>
        <v/>
      </c>
      <c r="R431" s="64">
        <f>IF(OR(LEFT(G431,1)="A",L431="COUNTS",ISNUMBER(SEARCH("V1",P431)),ISNUMBER(SEARCH("V2",P431)),ISNUMBER(SEARCH("V5",P431))),"A — 100%","B — sample ≥ 30%")</f>
        <v/>
      </c>
      <c r="S431" s="67" t="n"/>
      <c r="T431" s="67" t="n"/>
      <c r="U431" s="67" t="n"/>
      <c r="V431" s="67" t="n"/>
      <c r="W431" s="67" t="n"/>
      <c r="X431" s="67" t="n"/>
    </row>
    <row r="432" ht="22.35" customHeight="1" s="45">
      <c r="A432" s="65" t="inlineStr">
        <is>
          <t>S-24</t>
        </is>
      </c>
      <c r="B432" s="66" t="inlineStr">
        <is>
          <t>Security Assurance Set</t>
        </is>
      </c>
      <c r="C432" s="66" t="inlineStr">
        <is>
          <t>See xlsx</t>
        </is>
      </c>
      <c r="D432" s="66" t="inlineStr">
        <is>
          <t>V7 — Document &amp; design inspection</t>
        </is>
      </c>
      <c r="E432" s="66" t="n"/>
      <c r="F432" s="66" t="inlineStr">
        <is>
          <t>Specification text against implementation description; provenance sections; objective card lines</t>
        </is>
      </c>
      <c r="G432" s="66" t="inlineStr">
        <is>
          <t>A — 100%</t>
        </is>
      </c>
      <c r="H432" s="67" t="n"/>
      <c r="I432" s="67" t="n"/>
      <c r="J432" s="67" t="n"/>
      <c r="K432" s="64">
        <f>IFERROR(INDEX('Status Map'!$B$2:$B$12,MATCH(C432,'Status Map'!$A$2:$A$12,0)),"UNDEFINED")</f>
        <v/>
      </c>
      <c r="L432" s="64">
        <f>IFERROR(INDEX('Status Map'!$C$2:$C$12,MATCH(C432,'Status Map'!$A$2:$A$12,0)),"UNDEFINED")</f>
        <v/>
      </c>
      <c r="M432" s="68" t="inlineStr">
        <is>
          <t>TEXT NOT IN REGISTRY</t>
        </is>
      </c>
      <c r="N432" s="68" t="n"/>
      <c r="O432" s="68" t="n"/>
      <c r="P432" s="64">
        <f>IF(O432&lt;&gt;"",O432,LEFT(D432,2))</f>
        <v/>
      </c>
      <c r="Q432" s="64">
        <f>IF(O432&lt;&gt;"","Standards §6",IF(M432="HEADING ONLY","Derived from heading — PROVISIONAL",IF(M432="TEXT NOT IN REGISTRY","No text to derive from — PROVISIONAL","Derived from registered statement")))</f>
        <v/>
      </c>
      <c r="R432" s="64">
        <f>IF(OR(LEFT(G432,1)="A",L432="COUNTS",ISNUMBER(SEARCH("V1",P432)),ISNUMBER(SEARCH("V2",P432)),ISNUMBER(SEARCH("V5",P432))),"A — 100%","B — sample ≥ 30%")</f>
        <v/>
      </c>
      <c r="S432" s="67" t="n"/>
      <c r="T432" s="67" t="n"/>
      <c r="U432" s="67" t="n"/>
      <c r="V432" s="67" t="n"/>
      <c r="W432" s="67" t="n"/>
      <c r="X432" s="67" t="n"/>
    </row>
    <row r="433" ht="22.35" customHeight="1" s="45">
      <c r="A433" s="65" t="inlineStr">
        <is>
          <t>S-25</t>
        </is>
      </c>
      <c r="B433" s="66" t="inlineStr">
        <is>
          <t>Security Assurance Set</t>
        </is>
      </c>
      <c r="C433" s="66" t="inlineStr">
        <is>
          <t>See xlsx</t>
        </is>
      </c>
      <c r="D433" s="66" t="inlineStr">
        <is>
          <t>V7 — Document &amp; design inspection</t>
        </is>
      </c>
      <c r="E433" s="66" t="n"/>
      <c r="F433" s="66" t="inlineStr">
        <is>
          <t>Specification text against implementation description; provenance sections; objective card lines</t>
        </is>
      </c>
      <c r="G433" s="66" t="inlineStr">
        <is>
          <t>A — 100%</t>
        </is>
      </c>
      <c r="H433" s="67" t="n"/>
      <c r="I433" s="67" t="n"/>
      <c r="J433" s="67" t="n"/>
      <c r="K433" s="64">
        <f>IFERROR(INDEX('Status Map'!$B$2:$B$12,MATCH(C433,'Status Map'!$A$2:$A$12,0)),"UNDEFINED")</f>
        <v/>
      </c>
      <c r="L433" s="64">
        <f>IFERROR(INDEX('Status Map'!$C$2:$C$12,MATCH(C433,'Status Map'!$A$2:$A$12,0)),"UNDEFINED")</f>
        <v/>
      </c>
      <c r="M433" s="68" t="inlineStr">
        <is>
          <t>TEXT NOT IN REGISTRY</t>
        </is>
      </c>
      <c r="N433" s="68" t="n"/>
      <c r="O433" s="68" t="n"/>
      <c r="P433" s="64">
        <f>IF(O433&lt;&gt;"",O433,LEFT(D433,2))</f>
        <v/>
      </c>
      <c r="Q433" s="64">
        <f>IF(O433&lt;&gt;"","Standards §6",IF(M433="HEADING ONLY","Derived from heading — PROVISIONAL",IF(M433="TEXT NOT IN REGISTRY","No text to derive from — PROVISIONAL","Derived from registered statement")))</f>
        <v/>
      </c>
      <c r="R433" s="64">
        <f>IF(OR(LEFT(G433,1)="A",L433="COUNTS",ISNUMBER(SEARCH("V1",P433)),ISNUMBER(SEARCH("V2",P433)),ISNUMBER(SEARCH("V5",P433))),"A — 100%","B — sample ≥ 30%")</f>
        <v/>
      </c>
      <c r="S433" s="67" t="n"/>
      <c r="T433" s="67" t="n"/>
      <c r="U433" s="67" t="n"/>
      <c r="V433" s="67" t="n"/>
      <c r="W433" s="67" t="n"/>
      <c r="X433" s="67" t="n"/>
    </row>
    <row r="434" ht="22.35" customHeight="1" s="45">
      <c r="A434" s="65" t="inlineStr">
        <is>
          <t>AC-1</t>
        </is>
      </c>
      <c r="B434" s="66" t="inlineStr">
        <is>
          <t>Agent Containment spec</t>
        </is>
      </c>
      <c r="C434" s="66" t="inlineStr">
        <is>
          <t>PROPOSED</t>
        </is>
      </c>
      <c r="D434" s="66" t="inlineStr">
        <is>
          <t>V7 — Document &amp; design inspection</t>
        </is>
      </c>
      <c r="E434" s="66" t="n"/>
      <c r="F434" s="66" t="inlineStr">
        <is>
          <t>Specification text against implementation description; provenance sections; objective card lines</t>
        </is>
      </c>
      <c r="G434" s="66" t="inlineStr">
        <is>
          <t>A — 100%</t>
        </is>
      </c>
      <c r="H434" s="67" t="n"/>
      <c r="I434" s="67" t="n"/>
      <c r="J434" s="67" t="n"/>
      <c r="K434" s="64">
        <f>IFERROR(INDEX('Status Map'!$B$2:$B$12,MATCH(C434,'Status Map'!$A$2:$A$12,0)),"UNDEFINED")</f>
        <v/>
      </c>
      <c r="L434" s="64">
        <f>IFERROR(INDEX('Status Map'!$C$2:$C$12,MATCH(C434,'Status Map'!$A$2:$A$12,0)),"UNDEFINED")</f>
        <v/>
      </c>
      <c r="M434" s="68" t="inlineStr">
        <is>
          <t>STATEMENT AS REGISTERED</t>
        </is>
      </c>
      <c r="N434" s="68" t="inlineStr">
        <is>
          <t>C-6.14.1</t>
        </is>
      </c>
      <c r="O434" s="68" t="inlineStr">
        <is>
          <t>V2 + V5</t>
        </is>
      </c>
      <c r="P434" s="64">
        <f>IF(O434&lt;&gt;"",O434,LEFT(D434,2))</f>
        <v/>
      </c>
      <c r="Q434" s="64">
        <f>IF(O434&lt;&gt;"","Standards §6",IF(M434="HEADING ONLY","Derived from heading — PROVISIONAL",IF(M434="TEXT NOT IN REGISTRY","No text to derive from — PROVISIONAL","Derived from registered statement")))</f>
        <v/>
      </c>
      <c r="R434" s="64">
        <f>IF(OR(LEFT(G434,1)="A",L434="COUNTS",ISNUMBER(SEARCH("V1",P434)),ISNUMBER(SEARCH("V2",P434)),ISNUMBER(SEARCH("V5",P434))),"A — 100%","B — sample ≥ 30%")</f>
        <v/>
      </c>
      <c r="S434" s="67" t="n"/>
      <c r="T434" s="67" t="n"/>
      <c r="U434" s="67" t="n"/>
      <c r="V434" s="67" t="n"/>
      <c r="W434" s="67" t="n"/>
      <c r="X434" s="67" t="n"/>
    </row>
    <row r="435" ht="22.35" customHeight="1" s="45">
      <c r="A435" s="65" t="inlineStr">
        <is>
          <t>AC-2</t>
        </is>
      </c>
      <c r="B435" s="66" t="inlineStr">
        <is>
          <t>Agent Containment spec</t>
        </is>
      </c>
      <c r="C435" s="66" t="inlineStr">
        <is>
          <t>PROPOSED</t>
        </is>
      </c>
      <c r="D435" s="66" t="inlineStr">
        <is>
          <t>V4 — Governance-record evidence</t>
        </is>
      </c>
      <c r="E435" s="66" t="n"/>
      <c r="F435" s="66" t="inlineStr">
        <is>
          <t>DECISIONS.md entry; ceremony record with tier, countersign, countdown, apply, re-verify; canon_ref present</t>
        </is>
      </c>
      <c r="G435" s="66" t="inlineStr">
        <is>
          <t>A — 100%</t>
        </is>
      </c>
      <c r="H435" s="67" t="n"/>
      <c r="I435" s="67" t="n"/>
      <c r="J435" s="67" t="n"/>
      <c r="K435" s="64">
        <f>IFERROR(INDEX('Status Map'!$B$2:$B$12,MATCH(C435,'Status Map'!$A$2:$A$12,0)),"UNDEFINED")</f>
        <v/>
      </c>
      <c r="L435" s="64">
        <f>IFERROR(INDEX('Status Map'!$C$2:$C$12,MATCH(C435,'Status Map'!$A$2:$A$12,0)),"UNDEFINED")</f>
        <v/>
      </c>
      <c r="M435" s="68" t="inlineStr">
        <is>
          <t>STATEMENT AS REGISTERED</t>
        </is>
      </c>
      <c r="N435" s="68" t="inlineStr">
        <is>
          <t>C-6.14.2</t>
        </is>
      </c>
      <c r="O435" s="68" t="inlineStr">
        <is>
          <t>V4 + V5</t>
        </is>
      </c>
      <c r="P435" s="64">
        <f>IF(O435&lt;&gt;"",O435,LEFT(D435,2))</f>
        <v/>
      </c>
      <c r="Q435" s="64">
        <f>IF(O435&lt;&gt;"","Standards §6",IF(M435="HEADING ONLY","Derived from heading — PROVISIONAL",IF(M435="TEXT NOT IN REGISTRY","No text to derive from — PROVISIONAL","Derived from registered statement")))</f>
        <v/>
      </c>
      <c r="R435" s="64">
        <f>IF(OR(LEFT(G435,1)="A",L435="COUNTS",ISNUMBER(SEARCH("V1",P435)),ISNUMBER(SEARCH("V2",P435)),ISNUMBER(SEARCH("V5",P435))),"A — 100%","B — sample ≥ 30%")</f>
        <v/>
      </c>
      <c r="S435" s="67" t="n"/>
      <c r="T435" s="67" t="n"/>
      <c r="U435" s="67" t="n"/>
      <c r="V435" s="67" t="n"/>
      <c r="W435" s="67" t="n"/>
      <c r="X435" s="67" t="n"/>
    </row>
    <row r="436" ht="22.35" customHeight="1" s="45">
      <c r="A436" s="65" t="inlineStr">
        <is>
          <t>AC-3</t>
        </is>
      </c>
      <c r="B436" s="66" t="inlineStr">
        <is>
          <t>Agent Containment spec</t>
        </is>
      </c>
      <c r="C436" s="66" t="inlineStr">
        <is>
          <t>PROPOSED</t>
        </is>
      </c>
      <c r="D436" s="66" t="inlineStr">
        <is>
          <t>V7 — Document &amp; design inspection</t>
        </is>
      </c>
      <c r="E436" s="66" t="n"/>
      <c r="F436" s="66" t="inlineStr">
        <is>
          <t>Specification text against implementation description; provenance sections; objective card lines</t>
        </is>
      </c>
      <c r="G436" s="66" t="inlineStr">
        <is>
          <t>A — 100%</t>
        </is>
      </c>
      <c r="H436" s="67" t="n"/>
      <c r="I436" s="67" t="n"/>
      <c r="J436" s="67" t="n"/>
      <c r="K436" s="64">
        <f>IFERROR(INDEX('Status Map'!$B$2:$B$12,MATCH(C436,'Status Map'!$A$2:$A$12,0)),"UNDEFINED")</f>
        <v/>
      </c>
      <c r="L436" s="64">
        <f>IFERROR(INDEX('Status Map'!$C$2:$C$12,MATCH(C436,'Status Map'!$A$2:$A$12,0)),"UNDEFINED")</f>
        <v/>
      </c>
      <c r="M436" s="68" t="inlineStr">
        <is>
          <t>STATEMENT AS REGISTERED</t>
        </is>
      </c>
      <c r="N436" s="68" t="n"/>
      <c r="O436" s="68" t="n"/>
      <c r="P436" s="64">
        <f>IF(O436&lt;&gt;"",O436,LEFT(D436,2))</f>
        <v/>
      </c>
      <c r="Q436" s="64">
        <f>IF(O436&lt;&gt;"","Standards §6",IF(M436="HEADING ONLY","Derived from heading — PROVISIONAL",IF(M436="TEXT NOT IN REGISTRY","No text to derive from — PROVISIONAL","Derived from registered statement")))</f>
        <v/>
      </c>
      <c r="R436" s="64">
        <f>IF(OR(LEFT(G436,1)="A",L436="COUNTS",ISNUMBER(SEARCH("V1",P436)),ISNUMBER(SEARCH("V2",P436)),ISNUMBER(SEARCH("V5",P436))),"A — 100%","B — sample ≥ 30%")</f>
        <v/>
      </c>
      <c r="S436" s="67" t="n"/>
      <c r="T436" s="67" t="n"/>
      <c r="U436" s="67" t="n"/>
      <c r="V436" s="67" t="n"/>
      <c r="W436" s="67" t="n"/>
      <c r="X436" s="67" t="n"/>
    </row>
    <row r="437" ht="22.35" customHeight="1" s="45">
      <c r="A437" s="65" t="inlineStr">
        <is>
          <t>AC-4</t>
        </is>
      </c>
      <c r="B437" s="66" t="inlineStr">
        <is>
          <t>Agent Containment spec</t>
        </is>
      </c>
      <c r="C437" s="66" t="inlineStr">
        <is>
          <t>PROPOSED</t>
        </is>
      </c>
      <c r="D437" s="66" t="inlineStr">
        <is>
          <t>V7 — Document &amp; design inspection</t>
        </is>
      </c>
      <c r="E437" s="66" t="n"/>
      <c r="F437" s="66" t="inlineStr">
        <is>
          <t>Specification text against implementation description; provenance sections; objective card lines</t>
        </is>
      </c>
      <c r="G437" s="66" t="inlineStr">
        <is>
          <t>A — 100%</t>
        </is>
      </c>
      <c r="H437" s="67" t="n"/>
      <c r="I437" s="67" t="n"/>
      <c r="J437" s="67" t="n"/>
      <c r="K437" s="64">
        <f>IFERROR(INDEX('Status Map'!$B$2:$B$12,MATCH(C437,'Status Map'!$A$2:$A$12,0)),"UNDEFINED")</f>
        <v/>
      </c>
      <c r="L437" s="64">
        <f>IFERROR(INDEX('Status Map'!$C$2:$C$12,MATCH(C437,'Status Map'!$A$2:$A$12,0)),"UNDEFINED")</f>
        <v/>
      </c>
      <c r="M437" s="68" t="inlineStr">
        <is>
          <t>STATEMENT AS REGISTERED</t>
        </is>
      </c>
      <c r="N437" s="68" t="n"/>
      <c r="O437" s="68" t="n"/>
      <c r="P437" s="64">
        <f>IF(O437&lt;&gt;"",O437,LEFT(D437,2))</f>
        <v/>
      </c>
      <c r="Q437" s="64">
        <f>IF(O437&lt;&gt;"","Standards §6",IF(M437="HEADING ONLY","Derived from heading — PROVISIONAL",IF(M437="TEXT NOT IN REGISTRY","No text to derive from — PROVISIONAL","Derived from registered statement")))</f>
        <v/>
      </c>
      <c r="R437" s="64">
        <f>IF(OR(LEFT(G437,1)="A",L437="COUNTS",ISNUMBER(SEARCH("V1",P437)),ISNUMBER(SEARCH("V2",P437)),ISNUMBER(SEARCH("V5",P437))),"A — 100%","B — sample ≥ 30%")</f>
        <v/>
      </c>
      <c r="S437" s="67" t="n"/>
      <c r="T437" s="67" t="n"/>
      <c r="U437" s="67" t="n"/>
      <c r="V437" s="67" t="n"/>
      <c r="W437" s="67" t="n"/>
      <c r="X437" s="67" t="n"/>
    </row>
    <row r="438" ht="22.35" customHeight="1" s="45">
      <c r="A438" s="65" t="inlineStr">
        <is>
          <t>AC-5</t>
        </is>
      </c>
      <c r="B438" s="66" t="inlineStr">
        <is>
          <t>Agent Containment spec</t>
        </is>
      </c>
      <c r="C438" s="66" t="inlineStr">
        <is>
          <t>PROPOSED</t>
        </is>
      </c>
      <c r="D438" s="66" t="inlineStr">
        <is>
          <t>V7 — Document &amp; design inspection</t>
        </is>
      </c>
      <c r="E438" s="66" t="n"/>
      <c r="F438" s="66" t="inlineStr">
        <is>
          <t>Specification text against implementation description; provenance sections; objective card lines</t>
        </is>
      </c>
      <c r="G438" s="66" t="inlineStr">
        <is>
          <t>A — 100%</t>
        </is>
      </c>
      <c r="H438" s="67" t="n"/>
      <c r="I438" s="67" t="n"/>
      <c r="J438" s="67" t="n"/>
      <c r="K438" s="64">
        <f>IFERROR(INDEX('Status Map'!$B$2:$B$12,MATCH(C438,'Status Map'!$A$2:$A$12,0)),"UNDEFINED")</f>
        <v/>
      </c>
      <c r="L438" s="64">
        <f>IFERROR(INDEX('Status Map'!$C$2:$C$12,MATCH(C438,'Status Map'!$A$2:$A$12,0)),"UNDEFINED")</f>
        <v/>
      </c>
      <c r="M438" s="68" t="inlineStr">
        <is>
          <t>STATEMENT AS REGISTERED</t>
        </is>
      </c>
      <c r="N438" s="68" t="n"/>
      <c r="O438" s="68" t="n"/>
      <c r="P438" s="64">
        <f>IF(O438&lt;&gt;"",O438,LEFT(D438,2))</f>
        <v/>
      </c>
      <c r="Q438" s="64">
        <f>IF(O438&lt;&gt;"","Standards §6",IF(M438="HEADING ONLY","Derived from heading — PROVISIONAL",IF(M438="TEXT NOT IN REGISTRY","No text to derive from — PROVISIONAL","Derived from registered statement")))</f>
        <v/>
      </c>
      <c r="R438" s="64">
        <f>IF(OR(LEFT(G438,1)="A",L438="COUNTS",ISNUMBER(SEARCH("V1",P438)),ISNUMBER(SEARCH("V2",P438)),ISNUMBER(SEARCH("V5",P438))),"A — 100%","B — sample ≥ 30%")</f>
        <v/>
      </c>
      <c r="S438" s="67" t="n"/>
      <c r="T438" s="67" t="n"/>
      <c r="U438" s="67" t="n"/>
      <c r="V438" s="67" t="n"/>
      <c r="W438" s="67" t="n"/>
      <c r="X438" s="67" t="n"/>
    </row>
    <row r="439" ht="22.35" customHeight="1" s="45">
      <c r="A439" s="65" t="inlineStr">
        <is>
          <t>AC-6</t>
        </is>
      </c>
      <c r="B439" s="66" t="inlineStr">
        <is>
          <t>Agent Containment spec</t>
        </is>
      </c>
      <c r="C439" s="66" t="inlineStr">
        <is>
          <t>PROPOSED</t>
        </is>
      </c>
      <c r="D439" s="66" t="inlineStr">
        <is>
          <t>V7 — Document &amp; design inspection</t>
        </is>
      </c>
      <c r="E439" s="66" t="n"/>
      <c r="F439" s="66" t="inlineStr">
        <is>
          <t>Specification text against implementation description; provenance sections; objective card lines</t>
        </is>
      </c>
      <c r="G439" s="66" t="inlineStr">
        <is>
          <t>A — 100%</t>
        </is>
      </c>
      <c r="H439" s="67" t="n"/>
      <c r="I439" s="67" t="n"/>
      <c r="J439" s="67" t="n"/>
      <c r="K439" s="64">
        <f>IFERROR(INDEX('Status Map'!$B$2:$B$12,MATCH(C439,'Status Map'!$A$2:$A$12,0)),"UNDEFINED")</f>
        <v/>
      </c>
      <c r="L439" s="64">
        <f>IFERROR(INDEX('Status Map'!$C$2:$C$12,MATCH(C439,'Status Map'!$A$2:$A$12,0)),"UNDEFINED")</f>
        <v/>
      </c>
      <c r="M439" s="68" t="inlineStr">
        <is>
          <t>STATEMENT AS REGISTERED</t>
        </is>
      </c>
      <c r="N439" s="68" t="n"/>
      <c r="O439" s="68" t="n"/>
      <c r="P439" s="64">
        <f>IF(O439&lt;&gt;"",O439,LEFT(D439,2))</f>
        <v/>
      </c>
      <c r="Q439" s="64">
        <f>IF(O439&lt;&gt;"","Standards §6",IF(M439="HEADING ONLY","Derived from heading — PROVISIONAL",IF(M439="TEXT NOT IN REGISTRY","No text to derive from — PROVISIONAL","Derived from registered statement")))</f>
        <v/>
      </c>
      <c r="R439" s="64">
        <f>IF(OR(LEFT(G439,1)="A",L439="COUNTS",ISNUMBER(SEARCH("V1",P439)),ISNUMBER(SEARCH("V2",P439)),ISNUMBER(SEARCH("V5",P439))),"A — 100%","B — sample ≥ 30%")</f>
        <v/>
      </c>
      <c r="S439" s="67" t="n"/>
      <c r="T439" s="67" t="n"/>
      <c r="U439" s="67" t="n"/>
      <c r="V439" s="67" t="n"/>
      <c r="W439" s="67" t="n"/>
      <c r="X439" s="67" t="n"/>
    </row>
    <row r="440" ht="22.35" customHeight="1" s="45">
      <c r="A440" s="65" t="inlineStr">
        <is>
          <t>AC-7</t>
        </is>
      </c>
      <c r="B440" s="66" t="inlineStr">
        <is>
          <t>Agent Containment spec</t>
        </is>
      </c>
      <c r="C440" s="66" t="inlineStr">
        <is>
          <t>PROPOSED</t>
        </is>
      </c>
      <c r="D440" s="66" t="inlineStr">
        <is>
          <t>V7 — Document &amp; design inspection</t>
        </is>
      </c>
      <c r="E440" s="66" t="n"/>
      <c r="F440" s="66" t="inlineStr">
        <is>
          <t>Specification text against implementation description; provenance sections; objective card lines</t>
        </is>
      </c>
      <c r="G440" s="66" t="inlineStr">
        <is>
          <t>A — 100%</t>
        </is>
      </c>
      <c r="H440" s="67" t="n"/>
      <c r="I440" s="67" t="n"/>
      <c r="J440" s="67" t="n"/>
      <c r="K440" s="64">
        <f>IFERROR(INDEX('Status Map'!$B$2:$B$12,MATCH(C440,'Status Map'!$A$2:$A$12,0)),"UNDEFINED")</f>
        <v/>
      </c>
      <c r="L440" s="64">
        <f>IFERROR(INDEX('Status Map'!$C$2:$C$12,MATCH(C440,'Status Map'!$A$2:$A$12,0)),"UNDEFINED")</f>
        <v/>
      </c>
      <c r="M440" s="68" t="inlineStr">
        <is>
          <t>STATEMENT AS REGISTERED</t>
        </is>
      </c>
      <c r="N440" s="68" t="n"/>
      <c r="O440" s="68" t="n"/>
      <c r="P440" s="64">
        <f>IF(O440&lt;&gt;"",O440,LEFT(D440,2))</f>
        <v/>
      </c>
      <c r="Q440" s="64">
        <f>IF(O440&lt;&gt;"","Standards §6",IF(M440="HEADING ONLY","Derived from heading — PROVISIONAL",IF(M440="TEXT NOT IN REGISTRY","No text to derive from — PROVISIONAL","Derived from registered statement")))</f>
        <v/>
      </c>
      <c r="R440" s="64">
        <f>IF(OR(LEFT(G440,1)="A",L440="COUNTS",ISNUMBER(SEARCH("V1",P440)),ISNUMBER(SEARCH("V2",P440)),ISNUMBER(SEARCH("V5",P440))),"A — 100%","B — sample ≥ 30%")</f>
        <v/>
      </c>
      <c r="S440" s="67" t="n"/>
      <c r="T440" s="67" t="n"/>
      <c r="U440" s="67" t="n"/>
      <c r="V440" s="67" t="n"/>
      <c r="W440" s="67" t="n"/>
      <c r="X440" s="67" t="n"/>
    </row>
    <row r="441" ht="22.35" customHeight="1" s="45">
      <c r="A441" s="65" t="inlineStr">
        <is>
          <t>AC-8</t>
        </is>
      </c>
      <c r="B441" s="66" t="inlineStr">
        <is>
          <t>Agent Containment spec</t>
        </is>
      </c>
      <c r="C441" s="66" t="inlineStr">
        <is>
          <t>PROPOSED</t>
        </is>
      </c>
      <c r="D441" s="66" t="inlineStr">
        <is>
          <t>V7 — Document &amp; design inspection</t>
        </is>
      </c>
      <c r="E441" s="66" t="n"/>
      <c r="F441" s="66" t="inlineStr">
        <is>
          <t>Specification text against implementation description; provenance sections; objective card lines</t>
        </is>
      </c>
      <c r="G441" s="66" t="inlineStr">
        <is>
          <t>A — 100%</t>
        </is>
      </c>
      <c r="H441" s="67" t="n"/>
      <c r="I441" s="67" t="n"/>
      <c r="J441" s="67" t="n"/>
      <c r="K441" s="64">
        <f>IFERROR(INDEX('Status Map'!$B$2:$B$12,MATCH(C441,'Status Map'!$A$2:$A$12,0)),"UNDEFINED")</f>
        <v/>
      </c>
      <c r="L441" s="64">
        <f>IFERROR(INDEX('Status Map'!$C$2:$C$12,MATCH(C441,'Status Map'!$A$2:$A$12,0)),"UNDEFINED")</f>
        <v/>
      </c>
      <c r="M441" s="68" t="inlineStr">
        <is>
          <t>STATEMENT AS REGISTERED</t>
        </is>
      </c>
      <c r="N441" s="68" t="n"/>
      <c r="O441" s="68" t="n"/>
      <c r="P441" s="64">
        <f>IF(O441&lt;&gt;"",O441,LEFT(D441,2))</f>
        <v/>
      </c>
      <c r="Q441" s="64">
        <f>IF(O441&lt;&gt;"","Standards §6",IF(M441="HEADING ONLY","Derived from heading — PROVISIONAL",IF(M441="TEXT NOT IN REGISTRY","No text to derive from — PROVISIONAL","Derived from registered statement")))</f>
        <v/>
      </c>
      <c r="R441" s="64">
        <f>IF(OR(LEFT(G441,1)="A",L441="COUNTS",ISNUMBER(SEARCH("V1",P441)),ISNUMBER(SEARCH("V2",P441)),ISNUMBER(SEARCH("V5",P441))),"A — 100%","B — sample ≥ 30%")</f>
        <v/>
      </c>
      <c r="S441" s="67" t="n"/>
      <c r="T441" s="67" t="n"/>
      <c r="U441" s="67" t="n"/>
      <c r="V441" s="67" t="n"/>
      <c r="W441" s="67" t="n"/>
      <c r="X441" s="67" t="n"/>
    </row>
    <row r="442" ht="22.35" customHeight="1" s="45">
      <c r="A442" s="65" t="inlineStr">
        <is>
          <t>AC-9</t>
        </is>
      </c>
      <c r="B442" s="66" t="inlineStr">
        <is>
          <t>Agent Containment spec</t>
        </is>
      </c>
      <c r="C442" s="66" t="inlineStr">
        <is>
          <t>PROPOSED</t>
        </is>
      </c>
      <c r="D442" s="66" t="inlineStr">
        <is>
          <t>V7 — Document &amp; design inspection</t>
        </is>
      </c>
      <c r="E442" s="66" t="n"/>
      <c r="F442" s="66" t="inlineStr">
        <is>
          <t>Specification text against implementation description; provenance sections; objective card lines</t>
        </is>
      </c>
      <c r="G442" s="66" t="inlineStr">
        <is>
          <t>A — 100%</t>
        </is>
      </c>
      <c r="H442" s="67" t="n"/>
      <c r="I442" s="67" t="n"/>
      <c r="J442" s="67" t="n"/>
      <c r="K442" s="64">
        <f>IFERROR(INDEX('Status Map'!$B$2:$B$12,MATCH(C442,'Status Map'!$A$2:$A$12,0)),"UNDEFINED")</f>
        <v/>
      </c>
      <c r="L442" s="64">
        <f>IFERROR(INDEX('Status Map'!$C$2:$C$12,MATCH(C442,'Status Map'!$A$2:$A$12,0)),"UNDEFINED")</f>
        <v/>
      </c>
      <c r="M442" s="68" t="inlineStr">
        <is>
          <t>STATEMENT AS REGISTERED</t>
        </is>
      </c>
      <c r="N442" s="68" t="n"/>
      <c r="O442" s="68" t="n"/>
      <c r="P442" s="64">
        <f>IF(O442&lt;&gt;"",O442,LEFT(D442,2))</f>
        <v/>
      </c>
      <c r="Q442" s="64">
        <f>IF(O442&lt;&gt;"","Standards §6",IF(M442="HEADING ONLY","Derived from heading — PROVISIONAL",IF(M442="TEXT NOT IN REGISTRY","No text to derive from — PROVISIONAL","Derived from registered statement")))</f>
        <v/>
      </c>
      <c r="R442" s="64">
        <f>IF(OR(LEFT(G442,1)="A",L442="COUNTS",ISNUMBER(SEARCH("V1",P442)),ISNUMBER(SEARCH("V2",P442)),ISNUMBER(SEARCH("V5",P442))),"A — 100%","B — sample ≥ 30%")</f>
        <v/>
      </c>
      <c r="S442" s="67" t="n"/>
      <c r="T442" s="67" t="n"/>
      <c r="U442" s="67" t="n"/>
      <c r="V442" s="67" t="n"/>
      <c r="W442" s="67" t="n"/>
      <c r="X442" s="67" t="n"/>
    </row>
    <row r="443" ht="22.35" customHeight="1" s="45">
      <c r="A443" s="65" t="inlineStr">
        <is>
          <t>AC-10</t>
        </is>
      </c>
      <c r="B443" s="66" t="inlineStr">
        <is>
          <t>Agent Containment spec</t>
        </is>
      </c>
      <c r="C443" s="66" t="inlineStr">
        <is>
          <t>PROPOSED</t>
        </is>
      </c>
      <c r="D443" s="66" t="inlineStr">
        <is>
          <t>V7 — Document &amp; design inspection</t>
        </is>
      </c>
      <c r="E443" s="66" t="n"/>
      <c r="F443" s="66" t="inlineStr">
        <is>
          <t>Specification text against implementation description; provenance sections; objective card lines</t>
        </is>
      </c>
      <c r="G443" s="66" t="inlineStr">
        <is>
          <t>A — 100%</t>
        </is>
      </c>
      <c r="H443" s="67" t="n"/>
      <c r="I443" s="67" t="n"/>
      <c r="J443" s="67" t="n"/>
      <c r="K443" s="64">
        <f>IFERROR(INDEX('Status Map'!$B$2:$B$12,MATCH(C443,'Status Map'!$A$2:$A$12,0)),"UNDEFINED")</f>
        <v/>
      </c>
      <c r="L443" s="64">
        <f>IFERROR(INDEX('Status Map'!$C$2:$C$12,MATCH(C443,'Status Map'!$A$2:$A$12,0)),"UNDEFINED")</f>
        <v/>
      </c>
      <c r="M443" s="68" t="inlineStr">
        <is>
          <t>STATEMENT AS REGISTERED</t>
        </is>
      </c>
      <c r="N443" s="68" t="inlineStr">
        <is>
          <t>C-6.14.4</t>
        </is>
      </c>
      <c r="O443" s="68" t="inlineStr">
        <is>
          <t>V1</t>
        </is>
      </c>
      <c r="P443" s="64">
        <f>IF(O443&lt;&gt;"",O443,LEFT(D443,2))</f>
        <v/>
      </c>
      <c r="Q443" s="64">
        <f>IF(O443&lt;&gt;"","Standards §6",IF(M443="HEADING ONLY","Derived from heading — PROVISIONAL",IF(M443="TEXT NOT IN REGISTRY","No text to derive from — PROVISIONAL","Derived from registered statement")))</f>
        <v/>
      </c>
      <c r="R443" s="64">
        <f>IF(OR(LEFT(G443,1)="A",L443="COUNTS",ISNUMBER(SEARCH("V1",P443)),ISNUMBER(SEARCH("V2",P443)),ISNUMBER(SEARCH("V5",P443))),"A — 100%","B — sample ≥ 30%")</f>
        <v/>
      </c>
      <c r="S443" s="67" t="n"/>
      <c r="T443" s="67" t="n"/>
      <c r="U443" s="67" t="n"/>
      <c r="V443" s="67" t="n"/>
      <c r="W443" s="67" t="n"/>
      <c r="X443" s="67" t="n"/>
    </row>
    <row r="444" ht="22.35" customHeight="1" s="45">
      <c r="A444" s="65" t="inlineStr">
        <is>
          <t>AC-11</t>
        </is>
      </c>
      <c r="B444" s="66" t="inlineStr">
        <is>
          <t>Agent Containment spec</t>
        </is>
      </c>
      <c r="C444" s="66" t="inlineStr">
        <is>
          <t>PROPOSED</t>
        </is>
      </c>
      <c r="D444" s="66" t="inlineStr">
        <is>
          <t>V7 — Document &amp; design inspection</t>
        </is>
      </c>
      <c r="E444" s="66" t="n"/>
      <c r="F444" s="66" t="inlineStr">
        <is>
          <t>Specification text against implementation description; provenance sections; objective card lines</t>
        </is>
      </c>
      <c r="G444" s="66" t="inlineStr">
        <is>
          <t>A — 100%</t>
        </is>
      </c>
      <c r="H444" s="67" t="n"/>
      <c r="I444" s="67" t="n"/>
      <c r="J444" s="67" t="n"/>
      <c r="K444" s="64">
        <f>IFERROR(INDEX('Status Map'!$B$2:$B$12,MATCH(C444,'Status Map'!$A$2:$A$12,0)),"UNDEFINED")</f>
        <v/>
      </c>
      <c r="L444" s="64">
        <f>IFERROR(INDEX('Status Map'!$C$2:$C$12,MATCH(C444,'Status Map'!$A$2:$A$12,0)),"UNDEFINED")</f>
        <v/>
      </c>
      <c r="M444" s="68" t="inlineStr">
        <is>
          <t>STATEMENT AS REGISTERED</t>
        </is>
      </c>
      <c r="N444" s="68" t="n"/>
      <c r="O444" s="68" t="n"/>
      <c r="P444" s="64">
        <f>IF(O444&lt;&gt;"",O444,LEFT(D444,2))</f>
        <v/>
      </c>
      <c r="Q444" s="64">
        <f>IF(O444&lt;&gt;"","Standards §6",IF(M444="HEADING ONLY","Derived from heading — PROVISIONAL",IF(M444="TEXT NOT IN REGISTRY","No text to derive from — PROVISIONAL","Derived from registered statement")))</f>
        <v/>
      </c>
      <c r="R444" s="64">
        <f>IF(OR(LEFT(G444,1)="A",L444="COUNTS",ISNUMBER(SEARCH("V1",P444)),ISNUMBER(SEARCH("V2",P444)),ISNUMBER(SEARCH("V5",P444))),"A — 100%","B — sample ≥ 30%")</f>
        <v/>
      </c>
      <c r="S444" s="67" t="n"/>
      <c r="T444" s="67" t="n"/>
      <c r="U444" s="67" t="n"/>
      <c r="V444" s="67" t="n"/>
      <c r="W444" s="67" t="n"/>
      <c r="X444" s="67" t="n"/>
    </row>
    <row r="445" ht="22.35" customHeight="1" s="45">
      <c r="A445" s="65" t="inlineStr">
        <is>
          <t>AC-12</t>
        </is>
      </c>
      <c r="B445" s="66" t="inlineStr">
        <is>
          <t>Agent Containment spec</t>
        </is>
      </c>
      <c r="C445" s="66" t="inlineStr">
        <is>
          <t>PROPOSED</t>
        </is>
      </c>
      <c r="D445" s="66" t="inlineStr">
        <is>
          <t>V3 — Record evidence</t>
        </is>
      </c>
      <c r="E445" s="66" t="n"/>
      <c r="F445" s="66" t="inlineStr">
        <is>
          <t>Ledger rows inspected; hash-chain verifier receipt; refused operations present on identical terms</t>
        </is>
      </c>
      <c r="G445" s="66" t="inlineStr">
        <is>
          <t>A — 100%</t>
        </is>
      </c>
      <c r="H445" s="67" t="n"/>
      <c r="I445" s="67" t="n"/>
      <c r="J445" s="67" t="n"/>
      <c r="K445" s="64">
        <f>IFERROR(INDEX('Status Map'!$B$2:$B$12,MATCH(C445,'Status Map'!$A$2:$A$12,0)),"UNDEFINED")</f>
        <v/>
      </c>
      <c r="L445" s="64">
        <f>IFERROR(INDEX('Status Map'!$C$2:$C$12,MATCH(C445,'Status Map'!$A$2:$A$12,0)),"UNDEFINED")</f>
        <v/>
      </c>
      <c r="M445" s="68" t="inlineStr">
        <is>
          <t>STATEMENT AS REGISTERED</t>
        </is>
      </c>
      <c r="N445" s="68" t="n"/>
      <c r="O445" s="68" t="n"/>
      <c r="P445" s="64">
        <f>IF(O445&lt;&gt;"",O445,LEFT(D445,2))</f>
        <v/>
      </c>
      <c r="Q445" s="64">
        <f>IF(O445&lt;&gt;"","Standards §6",IF(M445="HEADING ONLY","Derived from heading — PROVISIONAL",IF(M445="TEXT NOT IN REGISTRY","No text to derive from — PROVISIONAL","Derived from registered statement")))</f>
        <v/>
      </c>
      <c r="R445" s="64">
        <f>IF(OR(LEFT(G445,1)="A",L445="COUNTS",ISNUMBER(SEARCH("V1",P445)),ISNUMBER(SEARCH("V2",P445)),ISNUMBER(SEARCH("V5",P445))),"A — 100%","B — sample ≥ 30%")</f>
        <v/>
      </c>
      <c r="S445" s="67" t="n"/>
      <c r="T445" s="67" t="n"/>
      <c r="U445" s="67" t="n"/>
      <c r="V445" s="67" t="n"/>
      <c r="W445" s="67" t="n"/>
      <c r="X445" s="67" t="n"/>
    </row>
    <row r="446" ht="22.35" customHeight="1" s="45">
      <c r="A446" s="65" t="inlineStr">
        <is>
          <t>SEC-1</t>
        </is>
      </c>
      <c r="B446" s="66" t="inlineStr">
        <is>
          <t>security_architecture_v1</t>
        </is>
      </c>
      <c r="C446" s="66" t="inlineStr">
        <is>
          <t>PROPOSED</t>
        </is>
      </c>
      <c r="D446" s="66" t="inlineStr">
        <is>
          <t>V1 — Test evidence</t>
        </is>
      </c>
      <c r="E446" s="66" t="inlineStr">
        <is>
          <t>V3</t>
        </is>
      </c>
      <c r="F446" s="66" t="inlineStr">
        <is>
          <t>Golden-input, byte-identical output; RED-first test ID; ratchet manifest entry</t>
        </is>
      </c>
      <c r="G446" s="66" t="inlineStr">
        <is>
          <t>A — 100%</t>
        </is>
      </c>
      <c r="H446" s="67" t="n"/>
      <c r="I446" s="67" t="n"/>
      <c r="J446" s="67" t="n"/>
      <c r="K446" s="64">
        <f>IFERROR(INDEX('Status Map'!$B$2:$B$12,MATCH(C446,'Status Map'!$A$2:$A$12,0)),"UNDEFINED")</f>
        <v/>
      </c>
      <c r="L446" s="64">
        <f>IFERROR(INDEX('Status Map'!$C$2:$C$12,MATCH(C446,'Status Map'!$A$2:$A$12,0)),"UNDEFINED")</f>
        <v/>
      </c>
      <c r="M446" s="68" t="inlineStr">
        <is>
          <t>STATEMENT AS REGISTERED</t>
        </is>
      </c>
      <c r="N446" s="68" t="inlineStr">
        <is>
          <t>C-6.3.5</t>
        </is>
      </c>
      <c r="O446" s="68" t="inlineStr">
        <is>
          <t>V5</t>
        </is>
      </c>
      <c r="P446" s="64">
        <f>IF(O446&lt;&gt;"",O446,LEFT(D446,2))</f>
        <v/>
      </c>
      <c r="Q446" s="64">
        <f>IF(O446&lt;&gt;"","Standards §6",IF(M446="HEADING ONLY","Derived from heading — PROVISIONAL",IF(M446="TEXT NOT IN REGISTRY","No text to derive from — PROVISIONAL","Derived from registered statement")))</f>
        <v/>
      </c>
      <c r="R446" s="64">
        <f>IF(OR(LEFT(G446,1)="A",L446="COUNTS",ISNUMBER(SEARCH("V1",P446)),ISNUMBER(SEARCH("V2",P446)),ISNUMBER(SEARCH("V5",P446))),"A — 100%","B — sample ≥ 30%")</f>
        <v/>
      </c>
      <c r="S446" s="67" t="n"/>
      <c r="T446" s="67" t="n"/>
      <c r="U446" s="67" t="n"/>
      <c r="V446" s="67" t="n"/>
      <c r="W446" s="67" t="n"/>
      <c r="X446" s="67" t="n"/>
    </row>
    <row r="447" ht="22.35" customHeight="1" s="45">
      <c r="A447" s="65" t="inlineStr">
        <is>
          <t>SEC-2</t>
        </is>
      </c>
      <c r="B447" s="66" t="inlineStr">
        <is>
          <t>security_architecture_v1</t>
        </is>
      </c>
      <c r="C447" s="66" t="inlineStr">
        <is>
          <t>PROPOSED</t>
        </is>
      </c>
      <c r="D447" s="66" t="inlineStr">
        <is>
          <t>V7 — Document &amp; design inspection</t>
        </is>
      </c>
      <c r="E447" s="66" t="n"/>
      <c r="F447" s="66" t="inlineStr">
        <is>
          <t>Specification text against implementation description; provenance sections; objective card lines</t>
        </is>
      </c>
      <c r="G447" s="66" t="inlineStr">
        <is>
          <t>A — 100%</t>
        </is>
      </c>
      <c r="H447" s="67" t="n"/>
      <c r="I447" s="67" t="n"/>
      <c r="J447" s="67" t="n"/>
      <c r="K447" s="64">
        <f>IFERROR(INDEX('Status Map'!$B$2:$B$12,MATCH(C447,'Status Map'!$A$2:$A$12,0)),"UNDEFINED")</f>
        <v/>
      </c>
      <c r="L447" s="64">
        <f>IFERROR(INDEX('Status Map'!$C$2:$C$12,MATCH(C447,'Status Map'!$A$2:$A$12,0)),"UNDEFINED")</f>
        <v/>
      </c>
      <c r="M447" s="68" t="inlineStr">
        <is>
          <t>STATEMENT AS REGISTERED</t>
        </is>
      </c>
      <c r="N447" s="68" t="n"/>
      <c r="O447" s="68" t="n"/>
      <c r="P447" s="64">
        <f>IF(O447&lt;&gt;"",O447,LEFT(D447,2))</f>
        <v/>
      </c>
      <c r="Q447" s="64">
        <f>IF(O447&lt;&gt;"","Standards §6",IF(M447="HEADING ONLY","Derived from heading — PROVISIONAL",IF(M447="TEXT NOT IN REGISTRY","No text to derive from — PROVISIONAL","Derived from registered statement")))</f>
        <v/>
      </c>
      <c r="R447" s="64">
        <f>IF(OR(LEFT(G447,1)="A",L447="COUNTS",ISNUMBER(SEARCH("V1",P447)),ISNUMBER(SEARCH("V2",P447)),ISNUMBER(SEARCH("V5",P447))),"A — 100%","B — sample ≥ 30%")</f>
        <v/>
      </c>
      <c r="S447" s="67" t="n"/>
      <c r="T447" s="67" t="n"/>
      <c r="U447" s="67" t="n"/>
      <c r="V447" s="67" t="n"/>
      <c r="W447" s="67" t="n"/>
      <c r="X447" s="67" t="n"/>
    </row>
    <row r="448" ht="22.35" customHeight="1" s="45">
      <c r="A448" s="65" t="inlineStr">
        <is>
          <t>SEC-3</t>
        </is>
      </c>
      <c r="B448" s="66" t="inlineStr">
        <is>
          <t>security_architecture_v1</t>
        </is>
      </c>
      <c r="C448" s="66" t="inlineStr">
        <is>
          <t>PROPOSED</t>
        </is>
      </c>
      <c r="D448" s="66" t="inlineStr">
        <is>
          <t>V7 — Document &amp; design inspection</t>
        </is>
      </c>
      <c r="E448" s="66" t="n"/>
      <c r="F448" s="66" t="inlineStr">
        <is>
          <t>Specification text against implementation description; provenance sections; objective card lines</t>
        </is>
      </c>
      <c r="G448" s="66" t="inlineStr">
        <is>
          <t>A — 100%</t>
        </is>
      </c>
      <c r="H448" s="67" t="n"/>
      <c r="I448" s="67" t="n"/>
      <c r="J448" s="67" t="n"/>
      <c r="K448" s="64">
        <f>IFERROR(INDEX('Status Map'!$B$2:$B$12,MATCH(C448,'Status Map'!$A$2:$A$12,0)),"UNDEFINED")</f>
        <v/>
      </c>
      <c r="L448" s="64">
        <f>IFERROR(INDEX('Status Map'!$C$2:$C$12,MATCH(C448,'Status Map'!$A$2:$A$12,0)),"UNDEFINED")</f>
        <v/>
      </c>
      <c r="M448" s="68" t="inlineStr">
        <is>
          <t>STATEMENT AS REGISTERED</t>
        </is>
      </c>
      <c r="N448" s="68" t="n"/>
      <c r="O448" s="68" t="n"/>
      <c r="P448" s="64">
        <f>IF(O448&lt;&gt;"",O448,LEFT(D448,2))</f>
        <v/>
      </c>
      <c r="Q448" s="64">
        <f>IF(O448&lt;&gt;"","Standards §6",IF(M448="HEADING ONLY","Derived from heading — PROVISIONAL",IF(M448="TEXT NOT IN REGISTRY","No text to derive from — PROVISIONAL","Derived from registered statement")))</f>
        <v/>
      </c>
      <c r="R448" s="64">
        <f>IF(OR(LEFT(G448,1)="A",L448="COUNTS",ISNUMBER(SEARCH("V1",P448)),ISNUMBER(SEARCH("V2",P448)),ISNUMBER(SEARCH("V5",P448))),"A — 100%","B — sample ≥ 30%")</f>
        <v/>
      </c>
      <c r="S448" s="67" t="n"/>
      <c r="T448" s="67" t="n"/>
      <c r="U448" s="67" t="n"/>
      <c r="V448" s="67" t="n"/>
      <c r="W448" s="67" t="n"/>
      <c r="X448" s="67" t="n"/>
    </row>
    <row r="449" ht="32.8" customHeight="1" s="45">
      <c r="A449" s="65" t="inlineStr">
        <is>
          <t>SEC-4</t>
        </is>
      </c>
      <c r="B449" s="66" t="inlineStr">
        <is>
          <t>security_architecture_v1</t>
        </is>
      </c>
      <c r="C449" s="66" t="inlineStr">
        <is>
          <t>PROPOSED</t>
        </is>
      </c>
      <c r="D449" s="66" t="inlineStr">
        <is>
          <t>V5 — Failure-injection demonstration</t>
        </is>
      </c>
      <c r="E449" s="66" t="n"/>
      <c r="F449" s="66" t="inlineStr">
        <is>
          <t>Dependency made unreachable or check made to error; observed refusal; no result returned; stale marker where degradation is the ruled posture</t>
        </is>
      </c>
      <c r="G449" s="66" t="inlineStr">
        <is>
          <t>A — 100%</t>
        </is>
      </c>
      <c r="H449" s="67" t="n"/>
      <c r="I449" s="67" t="n"/>
      <c r="J449" s="67" t="n"/>
      <c r="K449" s="64">
        <f>IFERROR(INDEX('Status Map'!$B$2:$B$12,MATCH(C449,'Status Map'!$A$2:$A$12,0)),"UNDEFINED")</f>
        <v/>
      </c>
      <c r="L449" s="64">
        <f>IFERROR(INDEX('Status Map'!$C$2:$C$12,MATCH(C449,'Status Map'!$A$2:$A$12,0)),"UNDEFINED")</f>
        <v/>
      </c>
      <c r="M449" s="68" t="inlineStr">
        <is>
          <t>STATEMENT AS REGISTERED</t>
        </is>
      </c>
      <c r="N449" s="68" t="n"/>
      <c r="O449" s="68" t="n"/>
      <c r="P449" s="64">
        <f>IF(O449&lt;&gt;"",O449,LEFT(D449,2))</f>
        <v/>
      </c>
      <c r="Q449" s="64">
        <f>IF(O449&lt;&gt;"","Standards §6",IF(M449="HEADING ONLY","Derived from heading — PROVISIONAL",IF(M449="TEXT NOT IN REGISTRY","No text to derive from — PROVISIONAL","Derived from registered statement")))</f>
        <v/>
      </c>
      <c r="R449" s="64">
        <f>IF(OR(LEFT(G449,1)="A",L449="COUNTS",ISNUMBER(SEARCH("V1",P449)),ISNUMBER(SEARCH("V2",P449)),ISNUMBER(SEARCH("V5",P449))),"A — 100%","B — sample ≥ 30%")</f>
        <v/>
      </c>
      <c r="S449" s="67" t="n"/>
      <c r="T449" s="67" t="n"/>
      <c r="U449" s="67" t="n"/>
      <c r="V449" s="67" t="n"/>
      <c r="W449" s="67" t="n"/>
      <c r="X449" s="67" t="n"/>
    </row>
    <row r="450" ht="22.35" customHeight="1" s="45">
      <c r="A450" s="65" t="inlineStr">
        <is>
          <t>SEC-5</t>
        </is>
      </c>
      <c r="B450" s="66" t="inlineStr">
        <is>
          <t>security_architecture_v1</t>
        </is>
      </c>
      <c r="C450" s="66" t="inlineStr">
        <is>
          <t>PROPOSED</t>
        </is>
      </c>
      <c r="D450" s="66" t="inlineStr">
        <is>
          <t>V2 — Structural evidence</t>
        </is>
      </c>
      <c r="E450" s="66" t="n"/>
      <c r="F450" s="66" t="inlineStr">
        <is>
          <t>Negative-scan or AST rule present, named, and green in CI; scan surface stated</t>
        </is>
      </c>
      <c r="G450" s="66" t="inlineStr">
        <is>
          <t>A — 100%</t>
        </is>
      </c>
      <c r="H450" s="67" t="n"/>
      <c r="I450" s="67" t="n"/>
      <c r="J450" s="67" t="n"/>
      <c r="K450" s="64">
        <f>IFERROR(INDEX('Status Map'!$B$2:$B$12,MATCH(C450,'Status Map'!$A$2:$A$12,0)),"UNDEFINED")</f>
        <v/>
      </c>
      <c r="L450" s="64">
        <f>IFERROR(INDEX('Status Map'!$C$2:$C$12,MATCH(C450,'Status Map'!$A$2:$A$12,0)),"UNDEFINED")</f>
        <v/>
      </c>
      <c r="M450" s="68" t="inlineStr">
        <is>
          <t>STATEMENT AS REGISTERED</t>
        </is>
      </c>
      <c r="N450" s="68" t="n"/>
      <c r="O450" s="68" t="n"/>
      <c r="P450" s="64">
        <f>IF(O450&lt;&gt;"",O450,LEFT(D450,2))</f>
        <v/>
      </c>
      <c r="Q450" s="64">
        <f>IF(O450&lt;&gt;"","Standards §6",IF(M450="HEADING ONLY","Derived from heading — PROVISIONAL",IF(M450="TEXT NOT IN REGISTRY","No text to derive from — PROVISIONAL","Derived from registered statement")))</f>
        <v/>
      </c>
      <c r="R450" s="64">
        <f>IF(OR(LEFT(G450,1)="A",L450="COUNTS",ISNUMBER(SEARCH("V1",P450)),ISNUMBER(SEARCH("V2",P450)),ISNUMBER(SEARCH("V5",P450))),"A — 100%","B — sample ≥ 30%")</f>
        <v/>
      </c>
      <c r="S450" s="67" t="n"/>
      <c r="T450" s="67" t="n"/>
      <c r="U450" s="67" t="n"/>
      <c r="V450" s="67" t="n"/>
      <c r="W450" s="67" t="n"/>
      <c r="X450" s="67" t="n"/>
    </row>
    <row r="451" ht="22.35" customHeight="1" s="45">
      <c r="A451" s="65" t="inlineStr">
        <is>
          <t>SEC-6</t>
        </is>
      </c>
      <c r="B451" s="66" t="inlineStr">
        <is>
          <t>security_architecture_v1</t>
        </is>
      </c>
      <c r="C451" s="66" t="inlineStr">
        <is>
          <t>PROPOSED</t>
        </is>
      </c>
      <c r="D451" s="66" t="inlineStr">
        <is>
          <t>V1 — Test evidence</t>
        </is>
      </c>
      <c r="E451" s="66" t="inlineStr">
        <is>
          <t>V5</t>
        </is>
      </c>
      <c r="F451" s="66" t="inlineStr">
        <is>
          <t>Golden-input, byte-identical output; RED-first test ID; ratchet manifest entry</t>
        </is>
      </c>
      <c r="G451" s="66" t="inlineStr">
        <is>
          <t>A — 100%</t>
        </is>
      </c>
      <c r="H451" s="67" t="n"/>
      <c r="I451" s="67" t="n"/>
      <c r="J451" s="67" t="n"/>
      <c r="K451" s="64">
        <f>IFERROR(INDEX('Status Map'!$B$2:$B$12,MATCH(C451,'Status Map'!$A$2:$A$12,0)),"UNDEFINED")</f>
        <v/>
      </c>
      <c r="L451" s="64">
        <f>IFERROR(INDEX('Status Map'!$C$2:$C$12,MATCH(C451,'Status Map'!$A$2:$A$12,0)),"UNDEFINED")</f>
        <v/>
      </c>
      <c r="M451" s="68" t="inlineStr">
        <is>
          <t>STATEMENT AS REGISTERED</t>
        </is>
      </c>
      <c r="N451" s="68" t="n"/>
      <c r="O451" s="68" t="n"/>
      <c r="P451" s="64">
        <f>IF(O451&lt;&gt;"",O451,LEFT(D451,2))</f>
        <v/>
      </c>
      <c r="Q451" s="64">
        <f>IF(O451&lt;&gt;"","Standards §6",IF(M451="HEADING ONLY","Derived from heading — PROVISIONAL",IF(M451="TEXT NOT IN REGISTRY","No text to derive from — PROVISIONAL","Derived from registered statement")))</f>
        <v/>
      </c>
      <c r="R451" s="64">
        <f>IF(OR(LEFT(G451,1)="A",L451="COUNTS",ISNUMBER(SEARCH("V1",P451)),ISNUMBER(SEARCH("V2",P451)),ISNUMBER(SEARCH("V5",P451))),"A — 100%","B — sample ≥ 30%")</f>
        <v/>
      </c>
      <c r="S451" s="67" t="n"/>
      <c r="T451" s="67" t="n"/>
      <c r="U451" s="67" t="n"/>
      <c r="V451" s="67" t="n"/>
      <c r="W451" s="67" t="n"/>
      <c r="X451" s="67" t="n"/>
    </row>
    <row r="452" ht="32.8" customHeight="1" s="45">
      <c r="A452" s="65" t="inlineStr">
        <is>
          <t>SEC-7</t>
        </is>
      </c>
      <c r="B452" s="66" t="inlineStr">
        <is>
          <t>security_architecture_v1</t>
        </is>
      </c>
      <c r="C452" s="66" t="inlineStr">
        <is>
          <t>PROPOSED</t>
        </is>
      </c>
      <c r="D452" s="66" t="inlineStr">
        <is>
          <t>V5 — Failure-injection demonstration</t>
        </is>
      </c>
      <c r="E452" s="66" t="n"/>
      <c r="F452" s="66" t="inlineStr">
        <is>
          <t>Dependency made unreachable or check made to error; observed refusal; no result returned; stale marker where degradation is the ruled posture</t>
        </is>
      </c>
      <c r="G452" s="66" t="inlineStr">
        <is>
          <t>A — 100%</t>
        </is>
      </c>
      <c r="H452" s="67" t="n"/>
      <c r="I452" s="67" t="n"/>
      <c r="J452" s="67" t="n"/>
      <c r="K452" s="64">
        <f>IFERROR(INDEX('Status Map'!$B$2:$B$12,MATCH(C452,'Status Map'!$A$2:$A$12,0)),"UNDEFINED")</f>
        <v/>
      </c>
      <c r="L452" s="64">
        <f>IFERROR(INDEX('Status Map'!$C$2:$C$12,MATCH(C452,'Status Map'!$A$2:$A$12,0)),"UNDEFINED")</f>
        <v/>
      </c>
      <c r="M452" s="68" t="inlineStr">
        <is>
          <t>STATEMENT AS REGISTERED</t>
        </is>
      </c>
      <c r="N452" s="68" t="n"/>
      <c r="O452" s="68" t="n"/>
      <c r="P452" s="64">
        <f>IF(O452&lt;&gt;"",O452,LEFT(D452,2))</f>
        <v/>
      </c>
      <c r="Q452" s="64">
        <f>IF(O452&lt;&gt;"","Standards §6",IF(M452="HEADING ONLY","Derived from heading — PROVISIONAL",IF(M452="TEXT NOT IN REGISTRY","No text to derive from — PROVISIONAL","Derived from registered statement")))</f>
        <v/>
      </c>
      <c r="R452" s="64">
        <f>IF(OR(LEFT(G452,1)="A",L452="COUNTS",ISNUMBER(SEARCH("V1",P452)),ISNUMBER(SEARCH("V2",P452)),ISNUMBER(SEARCH("V5",P452))),"A — 100%","B — sample ≥ 30%")</f>
        <v/>
      </c>
      <c r="S452" s="67" t="n"/>
      <c r="T452" s="67" t="n"/>
      <c r="U452" s="67" t="n"/>
      <c r="V452" s="67" t="n"/>
      <c r="W452" s="67" t="n"/>
      <c r="X452" s="67" t="n"/>
    </row>
    <row r="453" ht="22.35" customHeight="1" s="45">
      <c r="A453" s="65" t="inlineStr">
        <is>
          <t>DET-1</t>
        </is>
      </c>
      <c r="B453" s="66" t="inlineStr">
        <is>
          <t>determinism_inventory_v1</t>
        </is>
      </c>
      <c r="C453" s="66" t="inlineStr">
        <is>
          <t>OPEN</t>
        </is>
      </c>
      <c r="D453" s="66" t="inlineStr">
        <is>
          <t>V7 — Document &amp; design inspection</t>
        </is>
      </c>
      <c r="E453" s="66" t="n"/>
      <c r="F453" s="66" t="inlineStr">
        <is>
          <t>Specification text against implementation description; provenance sections; objective card lines</t>
        </is>
      </c>
      <c r="G453" s="66" t="inlineStr">
        <is>
          <t>A — 100%</t>
        </is>
      </c>
      <c r="H453" s="67" t="n"/>
      <c r="I453" s="67" t="n"/>
      <c r="J453" s="67" t="n"/>
      <c r="K453" s="64">
        <f>IFERROR(INDEX('Status Map'!$B$2:$B$12,MATCH(C453,'Status Map'!$A$2:$A$12,0)),"UNDEFINED")</f>
        <v/>
      </c>
      <c r="L453" s="64">
        <f>IFERROR(INDEX('Status Map'!$C$2:$C$12,MATCH(C453,'Status Map'!$A$2:$A$12,0)),"UNDEFINED")</f>
        <v/>
      </c>
      <c r="M453" s="68" t="inlineStr">
        <is>
          <t>STATEMENT AS REGISTERED</t>
        </is>
      </c>
      <c r="N453" s="68" t="n"/>
      <c r="O453" s="68" t="n"/>
      <c r="P453" s="64">
        <f>IF(O453&lt;&gt;"",O453,LEFT(D453,2))</f>
        <v/>
      </c>
      <c r="Q453" s="64">
        <f>IF(O453&lt;&gt;"","Standards §6",IF(M453="HEADING ONLY","Derived from heading — PROVISIONAL",IF(M453="TEXT NOT IN REGISTRY","No text to derive from — PROVISIONAL","Derived from registered statement")))</f>
        <v/>
      </c>
      <c r="R453" s="64">
        <f>IF(OR(LEFT(G453,1)="A",L453="COUNTS",ISNUMBER(SEARCH("V1",P453)),ISNUMBER(SEARCH("V2",P453)),ISNUMBER(SEARCH("V5",P453))),"A — 100%","B — sample ≥ 30%")</f>
        <v/>
      </c>
      <c r="S453" s="67" t="n"/>
      <c r="T453" s="67" t="n"/>
      <c r="U453" s="67" t="n"/>
      <c r="V453" s="67" t="n"/>
      <c r="W453" s="67" t="n"/>
      <c r="X453" s="67" t="n"/>
    </row>
    <row r="454" ht="22.35" customHeight="1" s="45">
      <c r="A454" s="65" t="inlineStr">
        <is>
          <t>DET-2</t>
        </is>
      </c>
      <c r="B454" s="66" t="inlineStr">
        <is>
          <t>determinism_inventory_v1</t>
        </is>
      </c>
      <c r="C454" s="66" t="inlineStr">
        <is>
          <t>PROPOSED</t>
        </is>
      </c>
      <c r="D454" s="66" t="inlineStr">
        <is>
          <t>V1 — Test evidence</t>
        </is>
      </c>
      <c r="E454" s="66" t="n"/>
      <c r="F454" s="66" t="inlineStr">
        <is>
          <t>Golden-input, byte-identical output; RED-first test ID; ratchet manifest entry</t>
        </is>
      </c>
      <c r="G454" s="66" t="inlineStr">
        <is>
          <t>A — 100%</t>
        </is>
      </c>
      <c r="H454" s="67" t="n"/>
      <c r="I454" s="67" t="n"/>
      <c r="J454" s="67" t="n"/>
      <c r="K454" s="64">
        <f>IFERROR(INDEX('Status Map'!$B$2:$B$12,MATCH(C454,'Status Map'!$A$2:$A$12,0)),"UNDEFINED")</f>
        <v/>
      </c>
      <c r="L454" s="64">
        <f>IFERROR(INDEX('Status Map'!$C$2:$C$12,MATCH(C454,'Status Map'!$A$2:$A$12,0)),"UNDEFINED")</f>
        <v/>
      </c>
      <c r="M454" s="68" t="inlineStr">
        <is>
          <t>STATEMENT AS REGISTERED</t>
        </is>
      </c>
      <c r="N454" s="68" t="n"/>
      <c r="O454" s="68" t="n"/>
      <c r="P454" s="64">
        <f>IF(O454&lt;&gt;"",O454,LEFT(D454,2))</f>
        <v/>
      </c>
      <c r="Q454" s="64">
        <f>IF(O454&lt;&gt;"","Standards §6",IF(M454="HEADING ONLY","Derived from heading — PROVISIONAL",IF(M454="TEXT NOT IN REGISTRY","No text to derive from — PROVISIONAL","Derived from registered statement")))</f>
        <v/>
      </c>
      <c r="R454" s="64">
        <f>IF(OR(LEFT(G454,1)="A",L454="COUNTS",ISNUMBER(SEARCH("V1",P454)),ISNUMBER(SEARCH("V2",P454)),ISNUMBER(SEARCH("V5",P454))),"A — 100%","B — sample ≥ 30%")</f>
        <v/>
      </c>
      <c r="S454" s="67" t="n"/>
      <c r="T454" s="67" t="n"/>
      <c r="U454" s="67" t="n"/>
      <c r="V454" s="67" t="n"/>
      <c r="W454" s="67" t="n"/>
      <c r="X454" s="67" t="n"/>
    </row>
    <row r="455" ht="32.8" customHeight="1" s="45">
      <c r="A455" s="65" t="inlineStr">
        <is>
          <t>FP-1</t>
        </is>
      </c>
      <c r="B455" s="66" t="inlineStr">
        <is>
          <t>failure_posture_v1</t>
        </is>
      </c>
      <c r="C455" s="66" t="inlineStr">
        <is>
          <t>PROPOSED</t>
        </is>
      </c>
      <c r="D455" s="66" t="inlineStr">
        <is>
          <t>V5 — Failure-injection demonstration</t>
        </is>
      </c>
      <c r="E455" s="66" t="n"/>
      <c r="F455" s="66" t="inlineStr">
        <is>
          <t>Dependency made unreachable or check made to error; observed refusal; no result returned; stale marker where degradation is the ruled posture</t>
        </is>
      </c>
      <c r="G455" s="66" t="inlineStr">
        <is>
          <t>A — 100%</t>
        </is>
      </c>
      <c r="H455" s="67" t="n"/>
      <c r="I455" s="67" t="n"/>
      <c r="J455" s="67" t="n"/>
      <c r="K455" s="64">
        <f>IFERROR(INDEX('Status Map'!$B$2:$B$12,MATCH(C455,'Status Map'!$A$2:$A$12,0)),"UNDEFINED")</f>
        <v/>
      </c>
      <c r="L455" s="64">
        <f>IFERROR(INDEX('Status Map'!$C$2:$C$12,MATCH(C455,'Status Map'!$A$2:$A$12,0)),"UNDEFINED")</f>
        <v/>
      </c>
      <c r="M455" s="68" t="inlineStr">
        <is>
          <t>STATEMENT AS REGISTERED</t>
        </is>
      </c>
      <c r="N455" s="68" t="inlineStr">
        <is>
          <t>C-6.2.4</t>
        </is>
      </c>
      <c r="O455" s="68" t="inlineStr">
        <is>
          <t>V5</t>
        </is>
      </c>
      <c r="P455" s="64">
        <f>IF(O455&lt;&gt;"",O455,LEFT(D455,2))</f>
        <v/>
      </c>
      <c r="Q455" s="64">
        <f>IF(O455&lt;&gt;"","Standards §6",IF(M455="HEADING ONLY","Derived from heading — PROVISIONAL",IF(M455="TEXT NOT IN REGISTRY","No text to derive from — PROVISIONAL","Derived from registered statement")))</f>
        <v/>
      </c>
      <c r="R455" s="64">
        <f>IF(OR(LEFT(G455,1)="A",L455="COUNTS",ISNUMBER(SEARCH("V1",P455)),ISNUMBER(SEARCH("V2",P455)),ISNUMBER(SEARCH("V5",P455))),"A — 100%","B — sample ≥ 30%")</f>
        <v/>
      </c>
      <c r="S455" s="67" t="n"/>
      <c r="T455" s="67" t="n"/>
      <c r="U455" s="67" t="n"/>
      <c r="V455" s="67" t="n"/>
      <c r="W455" s="67" t="n"/>
      <c r="X455" s="67" t="n"/>
    </row>
    <row r="456" ht="32.8" customHeight="1" s="45">
      <c r="A456" s="65" t="inlineStr">
        <is>
          <t>FP-2</t>
        </is>
      </c>
      <c r="B456" s="66" t="inlineStr">
        <is>
          <t>failure_posture_v1</t>
        </is>
      </c>
      <c r="C456" s="66" t="inlineStr">
        <is>
          <t>PROPOSED</t>
        </is>
      </c>
      <c r="D456" s="66" t="inlineStr">
        <is>
          <t>V5 — Failure-injection demonstration</t>
        </is>
      </c>
      <c r="E456" s="66" t="n"/>
      <c r="F456" s="66" t="inlineStr">
        <is>
          <t>Dependency made unreachable or check made to error; observed refusal; no result returned; stale marker where degradation is the ruled posture</t>
        </is>
      </c>
      <c r="G456" s="66" t="inlineStr">
        <is>
          <t>A — 100%</t>
        </is>
      </c>
      <c r="H456" s="67" t="n"/>
      <c r="I456" s="67" t="n"/>
      <c r="J456" s="67" t="n"/>
      <c r="K456" s="64">
        <f>IFERROR(INDEX('Status Map'!$B$2:$B$12,MATCH(C456,'Status Map'!$A$2:$A$12,0)),"UNDEFINED")</f>
        <v/>
      </c>
      <c r="L456" s="64">
        <f>IFERROR(INDEX('Status Map'!$C$2:$C$12,MATCH(C456,'Status Map'!$A$2:$A$12,0)),"UNDEFINED")</f>
        <v/>
      </c>
      <c r="M456" s="68" t="inlineStr">
        <is>
          <t>STATEMENT AS REGISTERED</t>
        </is>
      </c>
      <c r="N456" s="68" t="inlineStr">
        <is>
          <t>C-6.2.4</t>
        </is>
      </c>
      <c r="O456" s="68" t="inlineStr">
        <is>
          <t>V5</t>
        </is>
      </c>
      <c r="P456" s="64">
        <f>IF(O456&lt;&gt;"",O456,LEFT(D456,2))</f>
        <v/>
      </c>
      <c r="Q456" s="64">
        <f>IF(O456&lt;&gt;"","Standards §6",IF(M456="HEADING ONLY","Derived from heading — PROVISIONAL",IF(M456="TEXT NOT IN REGISTRY","No text to derive from — PROVISIONAL","Derived from registered statement")))</f>
        <v/>
      </c>
      <c r="R456" s="64">
        <f>IF(OR(LEFT(G456,1)="A",L456="COUNTS",ISNUMBER(SEARCH("V1",P456)),ISNUMBER(SEARCH("V2",P456)),ISNUMBER(SEARCH("V5",P456))),"A — 100%","B — sample ≥ 30%")</f>
        <v/>
      </c>
      <c r="S456" s="67" t="n"/>
      <c r="T456" s="67" t="n"/>
      <c r="U456" s="67" t="n"/>
      <c r="V456" s="67" t="n"/>
      <c r="W456" s="67" t="n"/>
      <c r="X456" s="67" t="n"/>
    </row>
    <row r="457" ht="22.35" customHeight="1" s="45">
      <c r="A457" s="65" t="inlineStr">
        <is>
          <t>FP-3</t>
        </is>
      </c>
      <c r="B457" s="66" t="inlineStr">
        <is>
          <t>failure_posture_v1</t>
        </is>
      </c>
      <c r="C457" s="66" t="inlineStr">
        <is>
          <t>PROPOSED</t>
        </is>
      </c>
      <c r="D457" s="66" t="inlineStr">
        <is>
          <t>V7 — Document &amp; design inspection</t>
        </is>
      </c>
      <c r="E457" s="66" t="n"/>
      <c r="F457" s="66" t="inlineStr">
        <is>
          <t>Specification text against implementation description; provenance sections; objective card lines</t>
        </is>
      </c>
      <c r="G457" s="66" t="inlineStr">
        <is>
          <t>A — 100%</t>
        </is>
      </c>
      <c r="H457" s="67" t="n"/>
      <c r="I457" s="67" t="n"/>
      <c r="J457" s="67" t="n"/>
      <c r="K457" s="64">
        <f>IFERROR(INDEX('Status Map'!$B$2:$B$12,MATCH(C457,'Status Map'!$A$2:$A$12,0)),"UNDEFINED")</f>
        <v/>
      </c>
      <c r="L457" s="64">
        <f>IFERROR(INDEX('Status Map'!$C$2:$C$12,MATCH(C457,'Status Map'!$A$2:$A$12,0)),"UNDEFINED")</f>
        <v/>
      </c>
      <c r="M457" s="68" t="inlineStr">
        <is>
          <t>STATEMENT AS REGISTERED</t>
        </is>
      </c>
      <c r="N457" s="68" t="n"/>
      <c r="O457" s="68" t="n"/>
      <c r="P457" s="64">
        <f>IF(O457&lt;&gt;"",O457,LEFT(D457,2))</f>
        <v/>
      </c>
      <c r="Q457" s="64">
        <f>IF(O457&lt;&gt;"","Standards §6",IF(M457="HEADING ONLY","Derived from heading — PROVISIONAL",IF(M457="TEXT NOT IN REGISTRY","No text to derive from — PROVISIONAL","Derived from registered statement")))</f>
        <v/>
      </c>
      <c r="R457" s="64">
        <f>IF(OR(LEFT(G457,1)="A",L457="COUNTS",ISNUMBER(SEARCH("V1",P457)),ISNUMBER(SEARCH("V2",P457)),ISNUMBER(SEARCH("V5",P457))),"A — 100%","B — sample ≥ 30%")</f>
        <v/>
      </c>
      <c r="S457" s="67" t="n"/>
      <c r="T457" s="67" t="n"/>
      <c r="U457" s="67" t="n"/>
      <c r="V457" s="67" t="n"/>
      <c r="W457" s="67" t="n"/>
      <c r="X457" s="67" t="n"/>
    </row>
    <row r="458" ht="32.8" customHeight="1" s="45">
      <c r="A458" s="65" t="inlineStr">
        <is>
          <t>FP-4</t>
        </is>
      </c>
      <c r="B458" s="66" t="inlineStr">
        <is>
          <t>failure_posture_v1</t>
        </is>
      </c>
      <c r="C458" s="66" t="inlineStr">
        <is>
          <t>PROPOSED</t>
        </is>
      </c>
      <c r="D458" s="66" t="inlineStr">
        <is>
          <t>V5 — Failure-injection demonstration</t>
        </is>
      </c>
      <c r="E458" s="66" t="n"/>
      <c r="F458" s="66" t="inlineStr">
        <is>
          <t>Dependency made unreachable or check made to error; observed refusal; no result returned; stale marker where degradation is the ruled posture</t>
        </is>
      </c>
      <c r="G458" s="66" t="inlineStr">
        <is>
          <t>A — 100%</t>
        </is>
      </c>
      <c r="H458" s="67" t="n"/>
      <c r="I458" s="67" t="n"/>
      <c r="J458" s="67" t="n"/>
      <c r="K458" s="64">
        <f>IFERROR(INDEX('Status Map'!$B$2:$B$12,MATCH(C458,'Status Map'!$A$2:$A$12,0)),"UNDEFINED")</f>
        <v/>
      </c>
      <c r="L458" s="64">
        <f>IFERROR(INDEX('Status Map'!$C$2:$C$12,MATCH(C458,'Status Map'!$A$2:$A$12,0)),"UNDEFINED")</f>
        <v/>
      </c>
      <c r="M458" s="68" t="inlineStr">
        <is>
          <t>STATEMENT AS REGISTERED</t>
        </is>
      </c>
      <c r="N458" s="68" t="n"/>
      <c r="O458" s="68" t="n"/>
      <c r="P458" s="64">
        <f>IF(O458&lt;&gt;"",O458,LEFT(D458,2))</f>
        <v/>
      </c>
      <c r="Q458" s="64">
        <f>IF(O458&lt;&gt;"","Standards §6",IF(M458="HEADING ONLY","Derived from heading — PROVISIONAL",IF(M458="TEXT NOT IN REGISTRY","No text to derive from — PROVISIONAL","Derived from registered statement")))</f>
        <v/>
      </c>
      <c r="R458" s="64">
        <f>IF(OR(LEFT(G458,1)="A",L458="COUNTS",ISNUMBER(SEARCH("V1",P458)),ISNUMBER(SEARCH("V2",P458)),ISNUMBER(SEARCH("V5",P458))),"A — 100%","B — sample ≥ 30%")</f>
        <v/>
      </c>
      <c r="S458" s="67" t="n"/>
      <c r="T458" s="67" t="n"/>
      <c r="U458" s="67" t="n"/>
      <c r="V458" s="67" t="n"/>
      <c r="W458" s="67" t="n"/>
      <c r="X458" s="67" t="n"/>
    </row>
    <row r="459" ht="22.35" customHeight="1" s="45">
      <c r="A459" s="65" t="inlineStr">
        <is>
          <t>TD-1</t>
        </is>
      </c>
      <c r="B459" s="66" t="inlineStr">
        <is>
          <t>trust_domains_v1</t>
        </is>
      </c>
      <c r="C459" s="66" t="inlineStr">
        <is>
          <t>PROPOSED</t>
        </is>
      </c>
      <c r="D459" s="66" t="inlineStr">
        <is>
          <t>V3 — Record evidence</t>
        </is>
      </c>
      <c r="E459" s="66" t="n"/>
      <c r="F459" s="66" t="inlineStr">
        <is>
          <t>Ledger rows inspected; hash-chain verifier receipt; refused operations present on identical terms</t>
        </is>
      </c>
      <c r="G459" s="66" t="inlineStr">
        <is>
          <t>A — 100%</t>
        </is>
      </c>
      <c r="H459" s="67" t="n"/>
      <c r="I459" s="67" t="n"/>
      <c r="J459" s="67" t="n"/>
      <c r="K459" s="64">
        <f>IFERROR(INDEX('Status Map'!$B$2:$B$12,MATCH(C459,'Status Map'!$A$2:$A$12,0)),"UNDEFINED")</f>
        <v/>
      </c>
      <c r="L459" s="64">
        <f>IFERROR(INDEX('Status Map'!$C$2:$C$12,MATCH(C459,'Status Map'!$A$2:$A$12,0)),"UNDEFINED")</f>
        <v/>
      </c>
      <c r="M459" s="68" t="inlineStr">
        <is>
          <t>STATEMENT AS REGISTERED</t>
        </is>
      </c>
      <c r="N459" s="68" t="n"/>
      <c r="O459" s="68" t="n"/>
      <c r="P459" s="64">
        <f>IF(O459&lt;&gt;"",O459,LEFT(D459,2))</f>
        <v/>
      </c>
      <c r="Q459" s="64">
        <f>IF(O459&lt;&gt;"","Standards §6",IF(M459="HEADING ONLY","Derived from heading — PROVISIONAL",IF(M459="TEXT NOT IN REGISTRY","No text to derive from — PROVISIONAL","Derived from registered statement")))</f>
        <v/>
      </c>
      <c r="R459" s="64">
        <f>IF(OR(LEFT(G459,1)="A",L459="COUNTS",ISNUMBER(SEARCH("V1",P459)),ISNUMBER(SEARCH("V2",P459)),ISNUMBER(SEARCH("V5",P459))),"A — 100%","B — sample ≥ 30%")</f>
        <v/>
      </c>
      <c r="S459" s="67" t="n"/>
      <c r="T459" s="67" t="n"/>
      <c r="U459" s="67" t="n"/>
      <c r="V459" s="67" t="n"/>
      <c r="W459" s="67" t="n"/>
      <c r="X459" s="67" t="n"/>
    </row>
    <row r="460" ht="22.35" customHeight="1" s="45">
      <c r="A460" s="65" t="inlineStr">
        <is>
          <t>TD-2</t>
        </is>
      </c>
      <c r="B460" s="66" t="inlineStr">
        <is>
          <t>trust_domains_v1</t>
        </is>
      </c>
      <c r="C460" s="66" t="inlineStr">
        <is>
          <t>PROPOSED</t>
        </is>
      </c>
      <c r="D460" s="66" t="inlineStr">
        <is>
          <t>V2 — Structural evidence</t>
        </is>
      </c>
      <c r="E460" s="66" t="n"/>
      <c r="F460" s="66" t="inlineStr">
        <is>
          <t>Negative-scan or AST rule present, named, and green in CI; scan surface stated</t>
        </is>
      </c>
      <c r="G460" s="66" t="inlineStr">
        <is>
          <t>A — 100%</t>
        </is>
      </c>
      <c r="H460" s="67" t="n"/>
      <c r="I460" s="67" t="n"/>
      <c r="J460" s="67" t="n"/>
      <c r="K460" s="64">
        <f>IFERROR(INDEX('Status Map'!$B$2:$B$12,MATCH(C460,'Status Map'!$A$2:$A$12,0)),"UNDEFINED")</f>
        <v/>
      </c>
      <c r="L460" s="64">
        <f>IFERROR(INDEX('Status Map'!$C$2:$C$12,MATCH(C460,'Status Map'!$A$2:$A$12,0)),"UNDEFINED")</f>
        <v/>
      </c>
      <c r="M460" s="68" t="inlineStr">
        <is>
          <t>STATEMENT AS REGISTERED</t>
        </is>
      </c>
      <c r="N460" s="68" t="n"/>
      <c r="O460" s="68" t="n"/>
      <c r="P460" s="64">
        <f>IF(O460&lt;&gt;"",O460,LEFT(D460,2))</f>
        <v/>
      </c>
      <c r="Q460" s="64">
        <f>IF(O460&lt;&gt;"","Standards §6",IF(M460="HEADING ONLY","Derived from heading — PROVISIONAL",IF(M460="TEXT NOT IN REGISTRY","No text to derive from — PROVISIONAL","Derived from registered statement")))</f>
        <v/>
      </c>
      <c r="R460" s="64">
        <f>IF(OR(LEFT(G460,1)="A",L460="COUNTS",ISNUMBER(SEARCH("V1",P460)),ISNUMBER(SEARCH("V2",P460)),ISNUMBER(SEARCH("V5",P460))),"A — 100%","B — sample ≥ 30%")</f>
        <v/>
      </c>
      <c r="S460" s="67" t="n"/>
      <c r="T460" s="67" t="n"/>
      <c r="U460" s="67" t="n"/>
      <c r="V460" s="67" t="n"/>
      <c r="W460" s="67" t="n"/>
      <c r="X460" s="67" t="n"/>
    </row>
    <row r="461" ht="22.35" customHeight="1" s="45">
      <c r="A461" s="65" t="inlineStr">
        <is>
          <t>TD-3</t>
        </is>
      </c>
      <c r="B461" s="66" t="inlineStr">
        <is>
          <t>trust_domains_v1</t>
        </is>
      </c>
      <c r="C461" s="66" t="inlineStr">
        <is>
          <t>PROPOSED</t>
        </is>
      </c>
      <c r="D461" s="66" t="inlineStr">
        <is>
          <t>V7 — Document &amp; design inspection</t>
        </is>
      </c>
      <c r="E461" s="66" t="n"/>
      <c r="F461" s="66" t="inlineStr">
        <is>
          <t>Specification text against implementation description; provenance sections; objective card lines</t>
        </is>
      </c>
      <c r="G461" s="66" t="inlineStr">
        <is>
          <t>A — 100%</t>
        </is>
      </c>
      <c r="H461" s="67" t="n"/>
      <c r="I461" s="67" t="n"/>
      <c r="J461" s="67" t="n"/>
      <c r="K461" s="64">
        <f>IFERROR(INDEX('Status Map'!$B$2:$B$12,MATCH(C461,'Status Map'!$A$2:$A$12,0)),"UNDEFINED")</f>
        <v/>
      </c>
      <c r="L461" s="64">
        <f>IFERROR(INDEX('Status Map'!$C$2:$C$12,MATCH(C461,'Status Map'!$A$2:$A$12,0)),"UNDEFINED")</f>
        <v/>
      </c>
      <c r="M461" s="68" t="inlineStr">
        <is>
          <t>STATEMENT AS REGISTERED</t>
        </is>
      </c>
      <c r="N461" s="68" t="n"/>
      <c r="O461" s="68" t="n"/>
      <c r="P461" s="64">
        <f>IF(O461&lt;&gt;"",O461,LEFT(D461,2))</f>
        <v/>
      </c>
      <c r="Q461" s="64">
        <f>IF(O461&lt;&gt;"","Standards §6",IF(M461="HEADING ONLY","Derived from heading — PROVISIONAL",IF(M461="TEXT NOT IN REGISTRY","No text to derive from — PROVISIONAL","Derived from registered statement")))</f>
        <v/>
      </c>
      <c r="R461" s="64">
        <f>IF(OR(LEFT(G461,1)="A",L461="COUNTS",ISNUMBER(SEARCH("V1",P461)),ISNUMBER(SEARCH("V2",P461)),ISNUMBER(SEARCH("V5",P461))),"A — 100%","B — sample ≥ 30%")</f>
        <v/>
      </c>
      <c r="S461" s="67" t="n"/>
      <c r="T461" s="67" t="n"/>
      <c r="U461" s="67" t="n"/>
      <c r="V461" s="67" t="n"/>
      <c r="W461" s="67" t="n"/>
      <c r="X461" s="67" t="n"/>
    </row>
    <row r="462" ht="22.35" customHeight="1" s="45">
      <c r="A462" s="65" t="inlineStr">
        <is>
          <t>HR-1</t>
        </is>
      </c>
      <c r="B462" s="66" t="inlineStr">
        <is>
          <t>handoff_registry_v1</t>
        </is>
      </c>
      <c r="C462" s="66" t="inlineStr">
        <is>
          <t>PROPOSED</t>
        </is>
      </c>
      <c r="D462" s="66" t="inlineStr">
        <is>
          <t>V2 — Structural evidence</t>
        </is>
      </c>
      <c r="E462" s="66" t="n"/>
      <c r="F462" s="66" t="inlineStr">
        <is>
          <t>Negative-scan or AST rule present, named, and green in CI; scan surface stated</t>
        </is>
      </c>
      <c r="G462" s="66" t="inlineStr">
        <is>
          <t>A — 100%</t>
        </is>
      </c>
      <c r="H462" s="67" t="n"/>
      <c r="I462" s="67" t="n"/>
      <c r="J462" s="67" t="n"/>
      <c r="K462" s="64">
        <f>IFERROR(INDEX('Status Map'!$B$2:$B$12,MATCH(C462,'Status Map'!$A$2:$A$12,0)),"UNDEFINED")</f>
        <v/>
      </c>
      <c r="L462" s="64">
        <f>IFERROR(INDEX('Status Map'!$C$2:$C$12,MATCH(C462,'Status Map'!$A$2:$A$12,0)),"UNDEFINED")</f>
        <v/>
      </c>
      <c r="M462" s="68" t="inlineStr">
        <is>
          <t>STATEMENT AS REGISTERED</t>
        </is>
      </c>
      <c r="N462" s="68" t="n"/>
      <c r="O462" s="68" t="n"/>
      <c r="P462" s="64">
        <f>IF(O462&lt;&gt;"",O462,LEFT(D462,2))</f>
        <v/>
      </c>
      <c r="Q462" s="64">
        <f>IF(O462&lt;&gt;"","Standards §6",IF(M462="HEADING ONLY","Derived from heading — PROVISIONAL",IF(M462="TEXT NOT IN REGISTRY","No text to derive from — PROVISIONAL","Derived from registered statement")))</f>
        <v/>
      </c>
      <c r="R462" s="64">
        <f>IF(OR(LEFT(G462,1)="A",L462="COUNTS",ISNUMBER(SEARCH("V1",P462)),ISNUMBER(SEARCH("V2",P462)),ISNUMBER(SEARCH("V5",P462))),"A — 100%","B — sample ≥ 30%")</f>
        <v/>
      </c>
      <c r="S462" s="67" t="n"/>
      <c r="T462" s="67" t="n"/>
      <c r="U462" s="67" t="n"/>
      <c r="V462" s="67" t="n"/>
      <c r="W462" s="67" t="n"/>
      <c r="X462" s="67" t="n"/>
    </row>
    <row r="463" ht="22.35" customHeight="1" s="45">
      <c r="A463" s="65" t="inlineStr">
        <is>
          <t>HR-2</t>
        </is>
      </c>
      <c r="B463" s="66" t="inlineStr">
        <is>
          <t>handoff_registry_v1</t>
        </is>
      </c>
      <c r="C463" s="66" t="inlineStr">
        <is>
          <t>PROPOSED</t>
        </is>
      </c>
      <c r="D463" s="66" t="inlineStr">
        <is>
          <t>V3 — Record evidence</t>
        </is>
      </c>
      <c r="E463" s="66" t="n"/>
      <c r="F463" s="66" t="inlineStr">
        <is>
          <t>Ledger rows inspected; hash-chain verifier receipt; refused operations present on identical terms</t>
        </is>
      </c>
      <c r="G463" s="66" t="inlineStr">
        <is>
          <t>B — sample ≥ 30%</t>
        </is>
      </c>
      <c r="H463" s="67" t="n"/>
      <c r="I463" s="67" t="n"/>
      <c r="J463" s="67" t="n"/>
      <c r="K463" s="64">
        <f>IFERROR(INDEX('Status Map'!$B$2:$B$12,MATCH(C463,'Status Map'!$A$2:$A$12,0)),"UNDEFINED")</f>
        <v/>
      </c>
      <c r="L463" s="64">
        <f>IFERROR(INDEX('Status Map'!$C$2:$C$12,MATCH(C463,'Status Map'!$A$2:$A$12,0)),"UNDEFINED")</f>
        <v/>
      </c>
      <c r="M463" s="68" t="inlineStr">
        <is>
          <t>STATEMENT AS REGISTERED</t>
        </is>
      </c>
      <c r="N463" s="68" t="n"/>
      <c r="O463" s="68" t="n"/>
      <c r="P463" s="64">
        <f>IF(O463&lt;&gt;"",O463,LEFT(D463,2))</f>
        <v/>
      </c>
      <c r="Q463" s="64">
        <f>IF(O463&lt;&gt;"","Standards §6",IF(M463="HEADING ONLY","Derived from heading — PROVISIONAL",IF(M463="TEXT NOT IN REGISTRY","No text to derive from — PROVISIONAL","Derived from registered statement")))</f>
        <v/>
      </c>
      <c r="R463" s="64">
        <f>IF(OR(LEFT(G463,1)="A",L463="COUNTS",ISNUMBER(SEARCH("V1",P463)),ISNUMBER(SEARCH("V2",P463)),ISNUMBER(SEARCH("V5",P463))),"A — 100%","B — sample ≥ 30%")</f>
        <v/>
      </c>
      <c r="S463" s="67" t="n"/>
      <c r="T463" s="67" t="n"/>
      <c r="U463" s="67" t="n"/>
      <c r="V463" s="67" t="n"/>
      <c r="W463" s="67" t="n"/>
      <c r="X463" s="67" t="n"/>
    </row>
    <row r="464" ht="32.8" customHeight="1" s="45">
      <c r="A464" s="65" t="inlineStr">
        <is>
          <t>HR-3</t>
        </is>
      </c>
      <c r="B464" s="66" t="inlineStr">
        <is>
          <t>handoff_registry_v1</t>
        </is>
      </c>
      <c r="C464" s="66" t="inlineStr">
        <is>
          <t>PROPOSED</t>
        </is>
      </c>
      <c r="D464" s="66" t="inlineStr">
        <is>
          <t>V5 — Failure-injection demonstration</t>
        </is>
      </c>
      <c r="E464" s="66" t="inlineStr">
        <is>
          <t>V6</t>
        </is>
      </c>
      <c r="F464" s="66" t="inlineStr">
        <is>
          <t>Dependency made unreachable or check made to error; observed refusal; no result returned; stale marker where degradation is the ruled posture</t>
        </is>
      </c>
      <c r="G464" s="66" t="inlineStr">
        <is>
          <t>A — 100%</t>
        </is>
      </c>
      <c r="H464" s="67" t="n"/>
      <c r="I464" s="67" t="n"/>
      <c r="J464" s="67" t="n"/>
      <c r="K464" s="64">
        <f>IFERROR(INDEX('Status Map'!$B$2:$B$12,MATCH(C464,'Status Map'!$A$2:$A$12,0)),"UNDEFINED")</f>
        <v/>
      </c>
      <c r="L464" s="64">
        <f>IFERROR(INDEX('Status Map'!$C$2:$C$12,MATCH(C464,'Status Map'!$A$2:$A$12,0)),"UNDEFINED")</f>
        <v/>
      </c>
      <c r="M464" s="68" t="inlineStr">
        <is>
          <t>STATEMENT AS REGISTERED</t>
        </is>
      </c>
      <c r="N464" s="68" t="n"/>
      <c r="O464" s="68" t="n"/>
      <c r="P464" s="64">
        <f>IF(O464&lt;&gt;"",O464,LEFT(D464,2))</f>
        <v/>
      </c>
      <c r="Q464" s="64">
        <f>IF(O464&lt;&gt;"","Standards §6",IF(M464="HEADING ONLY","Derived from heading — PROVISIONAL",IF(M464="TEXT NOT IN REGISTRY","No text to derive from — PROVISIONAL","Derived from registered statement")))</f>
        <v/>
      </c>
      <c r="R464" s="64">
        <f>IF(OR(LEFT(G464,1)="A",L464="COUNTS",ISNUMBER(SEARCH("V1",P464)),ISNUMBER(SEARCH("V2",P464)),ISNUMBER(SEARCH("V5",P464))),"A — 100%","B — sample ≥ 30%")</f>
        <v/>
      </c>
      <c r="S464" s="67" t="n"/>
      <c r="T464" s="67" t="n"/>
      <c r="U464" s="67" t="n"/>
      <c r="V464" s="67" t="n"/>
      <c r="W464" s="67" t="n"/>
      <c r="X464" s="67" t="n"/>
    </row>
    <row r="465" ht="32.8" customHeight="1" s="45">
      <c r="A465" s="65" t="inlineStr">
        <is>
          <t>HR-4</t>
        </is>
      </c>
      <c r="B465" s="66" t="inlineStr">
        <is>
          <t>handoff_registry_v1</t>
        </is>
      </c>
      <c r="C465" s="66" t="inlineStr">
        <is>
          <t>PROPOSED</t>
        </is>
      </c>
      <c r="D465" s="66" t="inlineStr">
        <is>
          <t>V5 — Failure-injection demonstration</t>
        </is>
      </c>
      <c r="E465" s="66" t="n"/>
      <c r="F465" s="66" t="inlineStr">
        <is>
          <t>Dependency made unreachable or check made to error; observed refusal; no result returned; stale marker where degradation is the ruled posture</t>
        </is>
      </c>
      <c r="G465" s="66" t="inlineStr">
        <is>
          <t>A — 100%</t>
        </is>
      </c>
      <c r="H465" s="67" t="n"/>
      <c r="I465" s="67" t="n"/>
      <c r="J465" s="67" t="n"/>
      <c r="K465" s="64">
        <f>IFERROR(INDEX('Status Map'!$B$2:$B$12,MATCH(C465,'Status Map'!$A$2:$A$12,0)),"UNDEFINED")</f>
        <v/>
      </c>
      <c r="L465" s="64">
        <f>IFERROR(INDEX('Status Map'!$C$2:$C$12,MATCH(C465,'Status Map'!$A$2:$A$12,0)),"UNDEFINED")</f>
        <v/>
      </c>
      <c r="M465" s="68" t="inlineStr">
        <is>
          <t>STATEMENT AS REGISTERED</t>
        </is>
      </c>
      <c r="N465" s="68" t="n"/>
      <c r="O465" s="68" t="n"/>
      <c r="P465" s="64">
        <f>IF(O465&lt;&gt;"",O465,LEFT(D465,2))</f>
        <v/>
      </c>
      <c r="Q465" s="64">
        <f>IF(O465&lt;&gt;"","Standards §6",IF(M465="HEADING ONLY","Derived from heading — PROVISIONAL",IF(M465="TEXT NOT IN REGISTRY","No text to derive from — PROVISIONAL","Derived from registered statement")))</f>
        <v/>
      </c>
      <c r="R465" s="64">
        <f>IF(OR(LEFT(G465,1)="A",L465="COUNTS",ISNUMBER(SEARCH("V1",P465)),ISNUMBER(SEARCH("V2",P465)),ISNUMBER(SEARCH("V5",P465))),"A — 100%","B — sample ≥ 30%")</f>
        <v/>
      </c>
      <c r="S465" s="67" t="n"/>
      <c r="T465" s="67" t="n"/>
      <c r="U465" s="67" t="n"/>
      <c r="V465" s="67" t="n"/>
      <c r="W465" s="67" t="n"/>
      <c r="X465" s="67" t="n"/>
    </row>
    <row r="466" ht="22.35" customHeight="1" s="45">
      <c r="A466" s="65" t="inlineStr">
        <is>
          <t>HR-5</t>
        </is>
      </c>
      <c r="B466" s="66" t="inlineStr">
        <is>
          <t>handoff_registry_v1</t>
        </is>
      </c>
      <c r="C466" s="66" t="inlineStr">
        <is>
          <t>PROPOSED</t>
        </is>
      </c>
      <c r="D466" s="66" t="inlineStr">
        <is>
          <t>V7 — Document &amp; design inspection</t>
        </is>
      </c>
      <c r="E466" s="66" t="n"/>
      <c r="F466" s="66" t="inlineStr">
        <is>
          <t>Specification text against implementation description; provenance sections; objective card lines</t>
        </is>
      </c>
      <c r="G466" s="66" t="inlineStr">
        <is>
          <t>B — sample ≥ 30%</t>
        </is>
      </c>
      <c r="H466" s="67" t="n"/>
      <c r="I466" s="67" t="n"/>
      <c r="J466" s="67" t="n"/>
      <c r="K466" s="64">
        <f>IFERROR(INDEX('Status Map'!$B$2:$B$12,MATCH(C466,'Status Map'!$A$2:$A$12,0)),"UNDEFINED")</f>
        <v/>
      </c>
      <c r="L466" s="64">
        <f>IFERROR(INDEX('Status Map'!$C$2:$C$12,MATCH(C466,'Status Map'!$A$2:$A$12,0)),"UNDEFINED")</f>
        <v/>
      </c>
      <c r="M466" s="68" t="inlineStr">
        <is>
          <t>STATEMENT AS REGISTERED</t>
        </is>
      </c>
      <c r="N466" s="68" t="n"/>
      <c r="O466" s="68" t="n"/>
      <c r="P466" s="64">
        <f>IF(O466&lt;&gt;"",O466,LEFT(D466,2))</f>
        <v/>
      </c>
      <c r="Q466" s="64">
        <f>IF(O466&lt;&gt;"","Standards §6",IF(M466="HEADING ONLY","Derived from heading — PROVISIONAL",IF(M466="TEXT NOT IN REGISTRY","No text to derive from — PROVISIONAL","Derived from registered statement")))</f>
        <v/>
      </c>
      <c r="R466" s="64">
        <f>IF(OR(LEFT(G466,1)="A",L466="COUNTS",ISNUMBER(SEARCH("V1",P466)),ISNUMBER(SEARCH("V2",P466)),ISNUMBER(SEARCH("V5",P466))),"A — 100%","B — sample ≥ 30%")</f>
        <v/>
      </c>
      <c r="S466" s="67" t="n"/>
      <c r="T466" s="67" t="n"/>
      <c r="U466" s="67" t="n"/>
      <c r="V466" s="67" t="n"/>
      <c r="W466" s="67" t="n"/>
      <c r="X466" s="67" t="n"/>
    </row>
    <row r="467" ht="22.35" customHeight="1" s="45">
      <c r="A467" s="65" t="inlineStr">
        <is>
          <t>HR-6</t>
        </is>
      </c>
      <c r="B467" s="66" t="inlineStr">
        <is>
          <t>handoff_registry_v1</t>
        </is>
      </c>
      <c r="C467" s="66" t="inlineStr">
        <is>
          <t>PROPOSED</t>
        </is>
      </c>
      <c r="D467" s="66" t="inlineStr">
        <is>
          <t>V7 — Document &amp; design inspection</t>
        </is>
      </c>
      <c r="E467" s="66" t="n"/>
      <c r="F467" s="66" t="inlineStr">
        <is>
          <t>Specification text against implementation description; provenance sections; objective card lines</t>
        </is>
      </c>
      <c r="G467" s="66" t="inlineStr">
        <is>
          <t>B — sample ≥ 30%</t>
        </is>
      </c>
      <c r="H467" s="67" t="n"/>
      <c r="I467" s="67" t="n"/>
      <c r="J467" s="67" t="n"/>
      <c r="K467" s="64">
        <f>IFERROR(INDEX('Status Map'!$B$2:$B$12,MATCH(C467,'Status Map'!$A$2:$A$12,0)),"UNDEFINED")</f>
        <v/>
      </c>
      <c r="L467" s="64">
        <f>IFERROR(INDEX('Status Map'!$C$2:$C$12,MATCH(C467,'Status Map'!$A$2:$A$12,0)),"UNDEFINED")</f>
        <v/>
      </c>
      <c r="M467" s="68" t="inlineStr">
        <is>
          <t>STATEMENT AS REGISTERED</t>
        </is>
      </c>
      <c r="N467" s="68" t="n"/>
      <c r="O467" s="68" t="n"/>
      <c r="P467" s="64">
        <f>IF(O467&lt;&gt;"",O467,LEFT(D467,2))</f>
        <v/>
      </c>
      <c r="Q467" s="64">
        <f>IF(O467&lt;&gt;"","Standards §6",IF(M467="HEADING ONLY","Derived from heading — PROVISIONAL",IF(M467="TEXT NOT IN REGISTRY","No text to derive from — PROVISIONAL","Derived from registered statement")))</f>
        <v/>
      </c>
      <c r="R467" s="64">
        <f>IF(OR(LEFT(G467,1)="A",L467="COUNTS",ISNUMBER(SEARCH("V1",P467)),ISNUMBER(SEARCH("V2",P467)),ISNUMBER(SEARCH("V5",P467))),"A — 100%","B — sample ≥ 30%")</f>
        <v/>
      </c>
      <c r="S467" s="67" t="n"/>
      <c r="T467" s="67" t="n"/>
      <c r="U467" s="67" t="n"/>
      <c r="V467" s="67" t="n"/>
      <c r="W467" s="67" t="n"/>
      <c r="X467" s="67" t="n"/>
    </row>
    <row r="468" ht="32.8" customHeight="1" s="45">
      <c r="A468" s="65" t="inlineStr">
        <is>
          <t>HR-7</t>
        </is>
      </c>
      <c r="B468" s="66" t="inlineStr">
        <is>
          <t>handoff_registry_v1</t>
        </is>
      </c>
      <c r="C468" s="66" t="inlineStr">
        <is>
          <t>PROPOSED</t>
        </is>
      </c>
      <c r="D468" s="66" t="inlineStr">
        <is>
          <t>V5 — Failure-injection demonstration</t>
        </is>
      </c>
      <c r="E468" s="66" t="inlineStr">
        <is>
          <t>V3</t>
        </is>
      </c>
      <c r="F468" s="66" t="inlineStr">
        <is>
          <t>Dependency made unreachable or check made to error; observed refusal; no result returned; stale marker where degradation is the ruled posture</t>
        </is>
      </c>
      <c r="G468" s="66" t="inlineStr">
        <is>
          <t>A — 100%</t>
        </is>
      </c>
      <c r="H468" s="67" t="n"/>
      <c r="I468" s="67" t="n"/>
      <c r="J468" s="67" t="n"/>
      <c r="K468" s="64">
        <f>IFERROR(INDEX('Status Map'!$B$2:$B$12,MATCH(C468,'Status Map'!$A$2:$A$12,0)),"UNDEFINED")</f>
        <v/>
      </c>
      <c r="L468" s="64">
        <f>IFERROR(INDEX('Status Map'!$C$2:$C$12,MATCH(C468,'Status Map'!$A$2:$A$12,0)),"UNDEFINED")</f>
        <v/>
      </c>
      <c r="M468" s="68" t="inlineStr">
        <is>
          <t>STATEMENT AS REGISTERED</t>
        </is>
      </c>
      <c r="N468" s="68" t="n"/>
      <c r="O468" s="68" t="n"/>
      <c r="P468" s="64">
        <f>IF(O468&lt;&gt;"",O468,LEFT(D468,2))</f>
        <v/>
      </c>
      <c r="Q468" s="64">
        <f>IF(O468&lt;&gt;"","Standards §6",IF(M468="HEADING ONLY","Derived from heading — PROVISIONAL",IF(M468="TEXT NOT IN REGISTRY","No text to derive from — PROVISIONAL","Derived from registered statement")))</f>
        <v/>
      </c>
      <c r="R468" s="64">
        <f>IF(OR(LEFT(G468,1)="A",L468="COUNTS",ISNUMBER(SEARCH("V1",P468)),ISNUMBER(SEARCH("V2",P468)),ISNUMBER(SEARCH("V5",P468))),"A — 100%","B — sample ≥ 30%")</f>
        <v/>
      </c>
      <c r="S468" s="67" t="n"/>
      <c r="T468" s="67" t="n"/>
      <c r="U468" s="67" t="n"/>
      <c r="V468" s="67" t="n"/>
      <c r="W468" s="67" t="n"/>
      <c r="X468" s="67" t="n"/>
    </row>
    <row r="469" ht="22.35" customHeight="1" s="45">
      <c r="A469" s="65" t="inlineStr">
        <is>
          <t>BC-1</t>
        </is>
      </c>
      <c r="B469" s="66" t="inlineStr">
        <is>
          <t>business_continuity_v1</t>
        </is>
      </c>
      <c r="C469" s="66" t="inlineStr">
        <is>
          <t>PROPOSED</t>
        </is>
      </c>
      <c r="D469" s="66" t="inlineStr">
        <is>
          <t>V1 — Test evidence</t>
        </is>
      </c>
      <c r="E469" s="66" t="inlineStr">
        <is>
          <t>V3</t>
        </is>
      </c>
      <c r="F469" s="66" t="inlineStr">
        <is>
          <t>Golden-input, byte-identical output; RED-first test ID; ratchet manifest entry</t>
        </is>
      </c>
      <c r="G469" s="66" t="inlineStr">
        <is>
          <t>A — 100%</t>
        </is>
      </c>
      <c r="H469" s="67" t="n"/>
      <c r="I469" s="67" t="n"/>
      <c r="J469" s="67" t="n"/>
      <c r="K469" s="64">
        <f>IFERROR(INDEX('Status Map'!$B$2:$B$12,MATCH(C469,'Status Map'!$A$2:$A$12,0)),"UNDEFINED")</f>
        <v/>
      </c>
      <c r="L469" s="64">
        <f>IFERROR(INDEX('Status Map'!$C$2:$C$12,MATCH(C469,'Status Map'!$A$2:$A$12,0)),"UNDEFINED")</f>
        <v/>
      </c>
      <c r="M469" s="68" t="inlineStr">
        <is>
          <t>STATEMENT AS REGISTERED</t>
        </is>
      </c>
      <c r="N469" s="68" t="n"/>
      <c r="O469" s="68" t="n"/>
      <c r="P469" s="64">
        <f>IF(O469&lt;&gt;"",O469,LEFT(D469,2))</f>
        <v/>
      </c>
      <c r="Q469" s="64">
        <f>IF(O469&lt;&gt;"","Standards §6",IF(M469="HEADING ONLY","Derived from heading — PROVISIONAL",IF(M469="TEXT NOT IN REGISTRY","No text to derive from — PROVISIONAL","Derived from registered statement")))</f>
        <v/>
      </c>
      <c r="R469" s="64">
        <f>IF(OR(LEFT(G469,1)="A",L469="COUNTS",ISNUMBER(SEARCH("V1",P469)),ISNUMBER(SEARCH("V2",P469)),ISNUMBER(SEARCH("V5",P469))),"A — 100%","B — sample ≥ 30%")</f>
        <v/>
      </c>
      <c r="S469" s="67" t="n"/>
      <c r="T469" s="67" t="n"/>
      <c r="U469" s="67" t="n"/>
      <c r="V469" s="67" t="n"/>
      <c r="W469" s="67" t="n"/>
      <c r="X469" s="67" t="n"/>
    </row>
    <row r="470" ht="22.35" customHeight="1" s="45">
      <c r="A470" s="65" t="inlineStr">
        <is>
          <t>BC-2</t>
        </is>
      </c>
      <c r="B470" s="66" t="inlineStr">
        <is>
          <t>business_continuity_v1</t>
        </is>
      </c>
      <c r="C470" s="66" t="inlineStr">
        <is>
          <t>PROPOSED</t>
        </is>
      </c>
      <c r="D470" s="66" t="inlineStr">
        <is>
          <t>V3 — Record evidence</t>
        </is>
      </c>
      <c r="E470" s="66" t="n"/>
      <c r="F470" s="66" t="inlineStr">
        <is>
          <t>Ledger rows inspected; hash-chain verifier receipt; refused operations present on identical terms</t>
        </is>
      </c>
      <c r="G470" s="66" t="inlineStr">
        <is>
          <t>B — sample ≥ 30%</t>
        </is>
      </c>
      <c r="H470" s="67" t="n"/>
      <c r="I470" s="67" t="n"/>
      <c r="J470" s="67" t="n"/>
      <c r="K470" s="64">
        <f>IFERROR(INDEX('Status Map'!$B$2:$B$12,MATCH(C470,'Status Map'!$A$2:$A$12,0)),"UNDEFINED")</f>
        <v/>
      </c>
      <c r="L470" s="64">
        <f>IFERROR(INDEX('Status Map'!$C$2:$C$12,MATCH(C470,'Status Map'!$A$2:$A$12,0)),"UNDEFINED")</f>
        <v/>
      </c>
      <c r="M470" s="68" t="inlineStr">
        <is>
          <t>STATEMENT AS REGISTERED</t>
        </is>
      </c>
      <c r="N470" s="68" t="n"/>
      <c r="O470" s="68" t="n"/>
      <c r="P470" s="64">
        <f>IF(O470&lt;&gt;"",O470,LEFT(D470,2))</f>
        <v/>
      </c>
      <c r="Q470" s="64">
        <f>IF(O470&lt;&gt;"","Standards §6",IF(M470="HEADING ONLY","Derived from heading — PROVISIONAL",IF(M470="TEXT NOT IN REGISTRY","No text to derive from — PROVISIONAL","Derived from registered statement")))</f>
        <v/>
      </c>
      <c r="R470" s="64">
        <f>IF(OR(LEFT(G470,1)="A",L470="COUNTS",ISNUMBER(SEARCH("V1",P470)),ISNUMBER(SEARCH("V2",P470)),ISNUMBER(SEARCH("V5",P470))),"A — 100%","B — sample ≥ 30%")</f>
        <v/>
      </c>
      <c r="S470" s="67" t="n"/>
      <c r="T470" s="67" t="n"/>
      <c r="U470" s="67" t="n"/>
      <c r="V470" s="67" t="n"/>
      <c r="W470" s="67" t="n"/>
      <c r="X470" s="67" t="n"/>
    </row>
    <row r="471" ht="22.35" customHeight="1" s="45">
      <c r="A471" s="65" t="inlineStr">
        <is>
          <t>BC-3</t>
        </is>
      </c>
      <c r="B471" s="66" t="inlineStr">
        <is>
          <t>business_continuity_v1</t>
        </is>
      </c>
      <c r="C471" s="66" t="inlineStr">
        <is>
          <t>OPEN</t>
        </is>
      </c>
      <c r="D471" s="66" t="inlineStr">
        <is>
          <t>V7 — Document &amp; design inspection</t>
        </is>
      </c>
      <c r="E471" s="66" t="n"/>
      <c r="F471" s="66" t="inlineStr">
        <is>
          <t>Specification text against implementation description; provenance sections; objective card lines</t>
        </is>
      </c>
      <c r="G471" s="66" t="inlineStr">
        <is>
          <t>B — sample ≥ 30%</t>
        </is>
      </c>
      <c r="H471" s="67" t="n"/>
      <c r="I471" s="67" t="n"/>
      <c r="J471" s="67" t="n"/>
      <c r="K471" s="64">
        <f>IFERROR(INDEX('Status Map'!$B$2:$B$12,MATCH(C471,'Status Map'!$A$2:$A$12,0)),"UNDEFINED")</f>
        <v/>
      </c>
      <c r="L471" s="64">
        <f>IFERROR(INDEX('Status Map'!$C$2:$C$12,MATCH(C471,'Status Map'!$A$2:$A$12,0)),"UNDEFINED")</f>
        <v/>
      </c>
      <c r="M471" s="68" t="inlineStr">
        <is>
          <t>STATEMENT AS REGISTERED</t>
        </is>
      </c>
      <c r="N471" s="68" t="n"/>
      <c r="O471" s="68" t="n"/>
      <c r="P471" s="64">
        <f>IF(O471&lt;&gt;"",O471,LEFT(D471,2))</f>
        <v/>
      </c>
      <c r="Q471" s="64">
        <f>IF(O471&lt;&gt;"","Standards §6",IF(M471="HEADING ONLY","Derived from heading — PROVISIONAL",IF(M471="TEXT NOT IN REGISTRY","No text to derive from — PROVISIONAL","Derived from registered statement")))</f>
        <v/>
      </c>
      <c r="R471" s="64">
        <f>IF(OR(LEFT(G471,1)="A",L471="COUNTS",ISNUMBER(SEARCH("V1",P471)),ISNUMBER(SEARCH("V2",P471)),ISNUMBER(SEARCH("V5",P471))),"A — 100%","B — sample ≥ 30%")</f>
        <v/>
      </c>
      <c r="S471" s="67" t="n"/>
      <c r="T471" s="67" t="n"/>
      <c r="U471" s="67" t="n"/>
      <c r="V471" s="67" t="n"/>
      <c r="W471" s="67" t="n"/>
      <c r="X471" s="67" t="n"/>
    </row>
    <row r="472" ht="22.35" customHeight="1" s="45">
      <c r="A472" s="65" t="inlineStr">
        <is>
          <t>BC-4</t>
        </is>
      </c>
      <c r="B472" s="66" t="inlineStr">
        <is>
          <t>business_continuity_v1</t>
        </is>
      </c>
      <c r="C472" s="66" t="inlineStr">
        <is>
          <t>OPEN</t>
        </is>
      </c>
      <c r="D472" s="66" t="inlineStr">
        <is>
          <t>V3 — Record evidence</t>
        </is>
      </c>
      <c r="E472" s="66" t="n"/>
      <c r="F472" s="66" t="inlineStr">
        <is>
          <t>Ledger rows inspected; hash-chain verifier receipt; refused operations present on identical terms</t>
        </is>
      </c>
      <c r="G472" s="66" t="inlineStr">
        <is>
          <t>B — sample ≥ 30%</t>
        </is>
      </c>
      <c r="H472" s="67" t="n"/>
      <c r="I472" s="67" t="n"/>
      <c r="J472" s="67" t="n"/>
      <c r="K472" s="64">
        <f>IFERROR(INDEX('Status Map'!$B$2:$B$12,MATCH(C472,'Status Map'!$A$2:$A$12,0)),"UNDEFINED")</f>
        <v/>
      </c>
      <c r="L472" s="64">
        <f>IFERROR(INDEX('Status Map'!$C$2:$C$12,MATCH(C472,'Status Map'!$A$2:$A$12,0)),"UNDEFINED")</f>
        <v/>
      </c>
      <c r="M472" s="68" t="inlineStr">
        <is>
          <t>STATEMENT AS REGISTERED</t>
        </is>
      </c>
      <c r="N472" s="68" t="n"/>
      <c r="O472" s="68" t="n"/>
      <c r="P472" s="64">
        <f>IF(O472&lt;&gt;"",O472,LEFT(D472,2))</f>
        <v/>
      </c>
      <c r="Q472" s="64">
        <f>IF(O472&lt;&gt;"","Standards §6",IF(M472="HEADING ONLY","Derived from heading — PROVISIONAL",IF(M472="TEXT NOT IN REGISTRY","No text to derive from — PROVISIONAL","Derived from registered statement")))</f>
        <v/>
      </c>
      <c r="R472" s="64">
        <f>IF(OR(LEFT(G472,1)="A",L472="COUNTS",ISNUMBER(SEARCH("V1",P472)),ISNUMBER(SEARCH("V2",P472)),ISNUMBER(SEARCH("V5",P472))),"A — 100%","B — sample ≥ 30%")</f>
        <v/>
      </c>
      <c r="S472" s="67" t="n"/>
      <c r="T472" s="67" t="n"/>
      <c r="U472" s="67" t="n"/>
      <c r="V472" s="67" t="n"/>
      <c r="W472" s="67" t="n"/>
      <c r="X472" s="67" t="n"/>
    </row>
    <row r="473" ht="32.8" customHeight="1" s="45">
      <c r="A473" s="65" t="inlineStr">
        <is>
          <t>DAP-37</t>
        </is>
      </c>
      <c r="B473" s="66" t="inlineStr">
        <is>
          <t>Pruning &amp; Unlearning Amendment</t>
        </is>
      </c>
      <c r="C473" s="66" t="inlineStr">
        <is>
          <t>PROPOSED</t>
        </is>
      </c>
      <c r="D473" s="66" t="inlineStr">
        <is>
          <t>V1 — Test evidence</t>
        </is>
      </c>
      <c r="E473" s="66" t="inlineStr">
        <is>
          <t>V4</t>
        </is>
      </c>
      <c r="F473" s="66" t="inlineStr">
        <is>
          <t>Golden-input, byte-identical output; RED-first test ID; ratchet manifest entry</t>
        </is>
      </c>
      <c r="G473" s="66" t="inlineStr">
        <is>
          <t>A — 100%</t>
        </is>
      </c>
      <c r="H473" s="67" t="n"/>
      <c r="I473" s="67" t="n"/>
      <c r="J473" s="67" t="n"/>
      <c r="K473" s="64">
        <f>IFERROR(INDEX('Status Map'!$B$2:$B$12,MATCH(C473,'Status Map'!$A$2:$A$12,0)),"UNDEFINED")</f>
        <v/>
      </c>
      <c r="L473" s="64">
        <f>IFERROR(INDEX('Status Map'!$C$2:$C$12,MATCH(C473,'Status Map'!$A$2:$A$12,0)),"UNDEFINED")</f>
        <v/>
      </c>
      <c r="M473" s="68" t="inlineStr">
        <is>
          <t>STATEMENT AS REGISTERED</t>
        </is>
      </c>
      <c r="N473" s="68" t="n"/>
      <c r="O473" s="68" t="n"/>
      <c r="P473" s="64">
        <f>IF(O473&lt;&gt;"",O473,LEFT(D473,2))</f>
        <v/>
      </c>
      <c r="Q473" s="64">
        <f>IF(O473&lt;&gt;"","Standards §6",IF(M473="HEADING ONLY","Derived from heading — PROVISIONAL",IF(M473="TEXT NOT IN REGISTRY","No text to derive from — PROVISIONAL","Derived from registered statement")))</f>
        <v/>
      </c>
      <c r="R473" s="64">
        <f>IF(OR(LEFT(G473,1)="A",L473="COUNTS",ISNUMBER(SEARCH("V1",P473)),ISNUMBER(SEARCH("V2",P473)),ISNUMBER(SEARCH("V5",P473))),"A — 100%","B — sample ≥ 30%")</f>
        <v/>
      </c>
      <c r="S473" s="67" t="n"/>
      <c r="T473" s="67" t="n"/>
      <c r="U473" s="67" t="n"/>
      <c r="V473" s="67" t="n"/>
      <c r="W473" s="67" t="n"/>
      <c r="X473" s="67" t="n"/>
    </row>
    <row r="474" ht="32.8" customHeight="1" s="45">
      <c r="A474" s="65" t="inlineStr">
        <is>
          <t>DAP-38</t>
        </is>
      </c>
      <c r="B474" s="66" t="inlineStr">
        <is>
          <t>Pruning &amp; Unlearning Amendment</t>
        </is>
      </c>
      <c r="C474" s="66" t="inlineStr">
        <is>
          <t>PROPOSED</t>
        </is>
      </c>
      <c r="D474" s="66" t="inlineStr">
        <is>
          <t>V3 — Record evidence</t>
        </is>
      </c>
      <c r="E474" s="66" t="n"/>
      <c r="F474" s="66" t="inlineStr">
        <is>
          <t>Ledger rows inspected; hash-chain verifier receipt; refused operations present on identical terms</t>
        </is>
      </c>
      <c r="G474" s="66" t="inlineStr">
        <is>
          <t>B — sample ≥ 30%</t>
        </is>
      </c>
      <c r="H474" s="67" t="n"/>
      <c r="I474" s="67" t="n"/>
      <c r="J474" s="67" t="n"/>
      <c r="K474" s="64">
        <f>IFERROR(INDEX('Status Map'!$B$2:$B$12,MATCH(C474,'Status Map'!$A$2:$A$12,0)),"UNDEFINED")</f>
        <v/>
      </c>
      <c r="L474" s="64">
        <f>IFERROR(INDEX('Status Map'!$C$2:$C$12,MATCH(C474,'Status Map'!$A$2:$A$12,0)),"UNDEFINED")</f>
        <v/>
      </c>
      <c r="M474" s="68" t="inlineStr">
        <is>
          <t>STATEMENT AS REGISTERED</t>
        </is>
      </c>
      <c r="N474" s="68" t="inlineStr">
        <is>
          <t>C-6.7.11, C-6.15.2</t>
        </is>
      </c>
      <c r="O474" s="68" t="inlineStr">
        <is>
          <t>V3 + V5</t>
        </is>
      </c>
      <c r="P474" s="64">
        <f>IF(O474&lt;&gt;"",O474,LEFT(D474,2))</f>
        <v/>
      </c>
      <c r="Q474" s="64">
        <f>IF(O474&lt;&gt;"","Standards §6",IF(M474="HEADING ONLY","Derived from heading — PROVISIONAL",IF(M474="TEXT NOT IN REGISTRY","No text to derive from — PROVISIONAL","Derived from registered statement")))</f>
        <v/>
      </c>
      <c r="R474" s="64">
        <f>IF(OR(LEFT(G474,1)="A",L474="COUNTS",ISNUMBER(SEARCH("V1",P474)),ISNUMBER(SEARCH("V2",P474)),ISNUMBER(SEARCH("V5",P474))),"A — 100%","B — sample ≥ 30%")</f>
        <v/>
      </c>
      <c r="S474" s="67" t="n"/>
      <c r="T474" s="67" t="n"/>
      <c r="U474" s="67" t="n"/>
      <c r="V474" s="67" t="n"/>
      <c r="W474" s="67" t="n"/>
      <c r="X474" s="67" t="n"/>
    </row>
    <row r="475" ht="22.35" customHeight="1" s="45">
      <c r="A475" s="65" t="inlineStr">
        <is>
          <t>A20.15</t>
        </is>
      </c>
      <c r="B475" s="66" t="inlineStr">
        <is>
          <t>serving_integrity_v1</t>
        </is>
      </c>
      <c r="C475" s="66" t="inlineStr">
        <is>
          <t>PROPOSED</t>
        </is>
      </c>
      <c r="D475" s="66" t="inlineStr">
        <is>
          <t>V1 — Test evidence</t>
        </is>
      </c>
      <c r="E475" s="66" t="inlineStr">
        <is>
          <t>V2</t>
        </is>
      </c>
      <c r="F475" s="66" t="inlineStr">
        <is>
          <t>Golden-input, byte-identical output; RED-first test ID; ratchet manifest entry</t>
        </is>
      </c>
      <c r="G475" s="66" t="inlineStr">
        <is>
          <t>A — 100%</t>
        </is>
      </c>
      <c r="H475" s="67" t="n"/>
      <c r="I475" s="67" t="n"/>
      <c r="J475" s="67" t="n"/>
      <c r="K475" s="64">
        <f>IFERROR(INDEX('Status Map'!$B$2:$B$12,MATCH(C475,'Status Map'!$A$2:$A$12,0)),"UNDEFINED")</f>
        <v/>
      </c>
      <c r="L475" s="64">
        <f>IFERROR(INDEX('Status Map'!$C$2:$C$12,MATCH(C475,'Status Map'!$A$2:$A$12,0)),"UNDEFINED")</f>
        <v/>
      </c>
      <c r="M475" s="68" t="inlineStr">
        <is>
          <t>STATEMENT AS REGISTERED</t>
        </is>
      </c>
      <c r="N475" s="68" t="inlineStr">
        <is>
          <t>C-6.9.1</t>
        </is>
      </c>
      <c r="O475" s="68" t="inlineStr">
        <is>
          <t>V1</t>
        </is>
      </c>
      <c r="P475" s="64">
        <f>IF(O475&lt;&gt;"",O475,LEFT(D475,2))</f>
        <v/>
      </c>
      <c r="Q475" s="64">
        <f>IF(O475&lt;&gt;"","Standards §6",IF(M475="HEADING ONLY","Derived from heading — PROVISIONAL",IF(M475="TEXT NOT IN REGISTRY","No text to derive from — PROVISIONAL","Derived from registered statement")))</f>
        <v/>
      </c>
      <c r="R475" s="64">
        <f>IF(OR(LEFT(G475,1)="A",L475="COUNTS",ISNUMBER(SEARCH("V1",P475)),ISNUMBER(SEARCH("V2",P475)),ISNUMBER(SEARCH("V5",P475))),"A — 100%","B — sample ≥ 30%")</f>
        <v/>
      </c>
      <c r="S475" s="67" t="n"/>
      <c r="T475" s="67" t="n"/>
      <c r="U475" s="67" t="n"/>
      <c r="V475" s="67" t="n"/>
      <c r="W475" s="67" t="n"/>
      <c r="X475" s="67" t="n"/>
    </row>
    <row r="476" ht="32.8" customHeight="1" s="45">
      <c r="A476" s="65" t="inlineStr">
        <is>
          <t>SFP-8</t>
        </is>
      </c>
      <c r="B476" s="66" t="inlineStr">
        <is>
          <t>serving_integrity_v1</t>
        </is>
      </c>
      <c r="C476" s="66" t="inlineStr">
        <is>
          <t>PROPOSED</t>
        </is>
      </c>
      <c r="D476" s="66" t="inlineStr">
        <is>
          <t>V5 — Failure-injection demonstration</t>
        </is>
      </c>
      <c r="E476" s="66" t="n"/>
      <c r="F476" s="66" t="inlineStr">
        <is>
          <t>Dependency made unreachable or check made to error; observed refusal; no result returned; stale marker where degradation is the ruled posture</t>
        </is>
      </c>
      <c r="G476" s="66" t="inlineStr">
        <is>
          <t>A — 100%</t>
        </is>
      </c>
      <c r="H476" s="67" t="n"/>
      <c r="I476" s="67" t="n"/>
      <c r="J476" s="67" t="n"/>
      <c r="K476" s="64">
        <f>IFERROR(INDEX('Status Map'!$B$2:$B$12,MATCH(C476,'Status Map'!$A$2:$A$12,0)),"UNDEFINED")</f>
        <v/>
      </c>
      <c r="L476" s="64">
        <f>IFERROR(INDEX('Status Map'!$C$2:$C$12,MATCH(C476,'Status Map'!$A$2:$A$12,0)),"UNDEFINED")</f>
        <v/>
      </c>
      <c r="M476" s="68" t="inlineStr">
        <is>
          <t>STATEMENT AS REGISTERED</t>
        </is>
      </c>
      <c r="N476" s="68" t="inlineStr">
        <is>
          <t>C-6.9.1, C-6.9.2</t>
        </is>
      </c>
      <c r="O476" s="68" t="inlineStr">
        <is>
          <t>V1 + V5</t>
        </is>
      </c>
      <c r="P476" s="64">
        <f>IF(O476&lt;&gt;"",O476,LEFT(D476,2))</f>
        <v/>
      </c>
      <c r="Q476" s="64">
        <f>IF(O476&lt;&gt;"","Standards §6",IF(M476="HEADING ONLY","Derived from heading — PROVISIONAL",IF(M476="TEXT NOT IN REGISTRY","No text to derive from — PROVISIONAL","Derived from registered statement")))</f>
        <v/>
      </c>
      <c r="R476" s="64">
        <f>IF(OR(LEFT(G476,1)="A",L476="COUNTS",ISNUMBER(SEARCH("V1",P476)),ISNUMBER(SEARCH("V2",P476)),ISNUMBER(SEARCH("V5",P476))),"A — 100%","B — sample ≥ 30%")</f>
        <v/>
      </c>
      <c r="S476" s="67" t="n"/>
      <c r="T476" s="67" t="n"/>
      <c r="U476" s="67" t="n"/>
      <c r="V476" s="67" t="n"/>
      <c r="W476" s="67" t="n"/>
      <c r="X476" s="67" t="n"/>
    </row>
    <row r="477" ht="22.35" customHeight="1" s="45">
      <c r="A477" s="65" t="inlineStr">
        <is>
          <t>AC-13</t>
        </is>
      </c>
      <c r="B477" s="66" t="inlineStr">
        <is>
          <t>serving_integrity_v1</t>
        </is>
      </c>
      <c r="C477" s="66" t="inlineStr">
        <is>
          <t>PROPOSED</t>
        </is>
      </c>
      <c r="D477" s="66" t="inlineStr">
        <is>
          <t>V3 — Record evidence</t>
        </is>
      </c>
      <c r="E477" s="66" t="n"/>
      <c r="F477" s="66" t="inlineStr">
        <is>
          <t>Ledger rows inspected; hash-chain verifier receipt; refused operations present on identical terms</t>
        </is>
      </c>
      <c r="G477" s="66" t="inlineStr">
        <is>
          <t>A — 100%</t>
        </is>
      </c>
      <c r="H477" s="67" t="n"/>
      <c r="I477" s="67" t="n"/>
      <c r="J477" s="67" t="n"/>
      <c r="K477" s="64">
        <f>IFERROR(INDEX('Status Map'!$B$2:$B$12,MATCH(C477,'Status Map'!$A$2:$A$12,0)),"UNDEFINED")</f>
        <v/>
      </c>
      <c r="L477" s="64">
        <f>IFERROR(INDEX('Status Map'!$C$2:$C$12,MATCH(C477,'Status Map'!$A$2:$A$12,0)),"UNDEFINED")</f>
        <v/>
      </c>
      <c r="M477" s="68" t="inlineStr">
        <is>
          <t>STATEMENT AS REGISTERED</t>
        </is>
      </c>
      <c r="N477" s="68" t="inlineStr">
        <is>
          <t>C-6.4.6, C-6.14.5</t>
        </is>
      </c>
      <c r="O477" s="68" t="inlineStr">
        <is>
          <t>V5</t>
        </is>
      </c>
      <c r="P477" s="64">
        <f>IF(O477&lt;&gt;"",O477,LEFT(D477,2))</f>
        <v/>
      </c>
      <c r="Q477" s="64">
        <f>IF(O477&lt;&gt;"","Standards §6",IF(M477="HEADING ONLY","Derived from heading — PROVISIONAL",IF(M477="TEXT NOT IN REGISTRY","No text to derive from — PROVISIONAL","Derived from registered statement")))</f>
        <v/>
      </c>
      <c r="R477" s="64">
        <f>IF(OR(LEFT(G477,1)="A",L477="COUNTS",ISNUMBER(SEARCH("V1",P477)),ISNUMBER(SEARCH("V2",P477)),ISNUMBER(SEARCH("V5",P477))),"A — 100%","B — sample ≥ 30%")</f>
        <v/>
      </c>
      <c r="S477" s="67" t="n"/>
      <c r="T477" s="67" t="n"/>
      <c r="U477" s="67" t="n"/>
      <c r="V477" s="67" t="n"/>
      <c r="W477" s="67" t="n"/>
      <c r="X477" s="67" t="n"/>
    </row>
    <row r="478" ht="22.35" customHeight="1" s="45">
      <c r="A478" s="65" t="inlineStr">
        <is>
          <t>AC-14</t>
        </is>
      </c>
      <c r="B478" s="66" t="inlineStr">
        <is>
          <t>serving_integrity_v1</t>
        </is>
      </c>
      <c r="C478" s="66" t="inlineStr">
        <is>
          <t>PROPOSED</t>
        </is>
      </c>
      <c r="D478" s="66" t="inlineStr">
        <is>
          <t>V7 — Document &amp; design inspection</t>
        </is>
      </c>
      <c r="E478" s="66" t="n"/>
      <c r="F478" s="66" t="inlineStr">
        <is>
          <t>Specification text against implementation description; provenance sections; objective card lines</t>
        </is>
      </c>
      <c r="G478" s="66" t="inlineStr">
        <is>
          <t>A — 100%</t>
        </is>
      </c>
      <c r="H478" s="67" t="n"/>
      <c r="I478" s="67" t="n"/>
      <c r="J478" s="67" t="n"/>
      <c r="K478" s="64">
        <f>IFERROR(INDEX('Status Map'!$B$2:$B$12,MATCH(C478,'Status Map'!$A$2:$A$12,0)),"UNDEFINED")</f>
        <v/>
      </c>
      <c r="L478" s="64">
        <f>IFERROR(INDEX('Status Map'!$C$2:$C$12,MATCH(C478,'Status Map'!$A$2:$A$12,0)),"UNDEFINED")</f>
        <v/>
      </c>
      <c r="M478" s="68" t="inlineStr">
        <is>
          <t>STATEMENT AS REGISTERED</t>
        </is>
      </c>
      <c r="N478" s="68" t="inlineStr">
        <is>
          <t>C-6.14.5</t>
        </is>
      </c>
      <c r="O478" s="68" t="inlineStr">
        <is>
          <t>V5</t>
        </is>
      </c>
      <c r="P478" s="64">
        <f>IF(O478&lt;&gt;"",O478,LEFT(D478,2))</f>
        <v/>
      </c>
      <c r="Q478" s="64">
        <f>IF(O478&lt;&gt;"","Standards §6",IF(M478="HEADING ONLY","Derived from heading — PROVISIONAL",IF(M478="TEXT NOT IN REGISTRY","No text to derive from — PROVISIONAL","Derived from registered statement")))</f>
        <v/>
      </c>
      <c r="R478" s="64">
        <f>IF(OR(LEFT(G478,1)="A",L478="COUNTS",ISNUMBER(SEARCH("V1",P478)),ISNUMBER(SEARCH("V2",P478)),ISNUMBER(SEARCH("V5",P478))),"A — 100%","B — sample ≥ 30%")</f>
        <v/>
      </c>
      <c r="S478" s="67" t="n"/>
      <c r="T478" s="67" t="n"/>
      <c r="U478" s="67" t="n"/>
      <c r="V478" s="67" t="n"/>
      <c r="W478" s="67" t="n"/>
      <c r="X478" s="67" t="n"/>
    </row>
    <row r="479" ht="22.35" customHeight="1" s="45">
      <c r="A479" s="65" t="inlineStr">
        <is>
          <t>A5.19</t>
        </is>
      </c>
      <c r="B479" s="66" t="inlineStr">
        <is>
          <t>watch_learning_v1</t>
        </is>
      </c>
      <c r="C479" s="66" t="inlineStr">
        <is>
          <t>PROPOSED</t>
        </is>
      </c>
      <c r="D479" s="66" t="inlineStr">
        <is>
          <t>V1 — Test evidence</t>
        </is>
      </c>
      <c r="E479" s="66" t="inlineStr">
        <is>
          <t>V2</t>
        </is>
      </c>
      <c r="F479" s="66" t="inlineStr">
        <is>
          <t>Golden-input, byte-identical output; RED-first test ID; ratchet manifest entry</t>
        </is>
      </c>
      <c r="G479" s="66" t="inlineStr">
        <is>
          <t>A — 100%</t>
        </is>
      </c>
      <c r="H479" s="67" t="n"/>
      <c r="I479" s="67" t="n"/>
      <c r="J479" s="67" t="n"/>
      <c r="K479" s="64">
        <f>IFERROR(INDEX('Status Map'!$B$2:$B$12,MATCH(C479,'Status Map'!$A$2:$A$12,0)),"UNDEFINED")</f>
        <v/>
      </c>
      <c r="L479" s="64">
        <f>IFERROR(INDEX('Status Map'!$C$2:$C$12,MATCH(C479,'Status Map'!$A$2:$A$12,0)),"UNDEFINED")</f>
        <v/>
      </c>
      <c r="M479" s="68" t="inlineStr">
        <is>
          <t>STATEMENT AS REGISTERED</t>
        </is>
      </c>
      <c r="N479" s="68" t="inlineStr">
        <is>
          <t>C-6.4.3</t>
        </is>
      </c>
      <c r="O479" s="68" t="inlineStr">
        <is>
          <t>V2 + V6</t>
        </is>
      </c>
      <c r="P479" s="64">
        <f>IF(O479&lt;&gt;"",O479,LEFT(D479,2))</f>
        <v/>
      </c>
      <c r="Q479" s="64">
        <f>IF(O479&lt;&gt;"","Standards §6",IF(M479="HEADING ONLY","Derived from heading — PROVISIONAL",IF(M479="TEXT NOT IN REGISTRY","No text to derive from — PROVISIONAL","Derived from registered statement")))</f>
        <v/>
      </c>
      <c r="R479" s="64">
        <f>IF(OR(LEFT(G479,1)="A",L479="COUNTS",ISNUMBER(SEARCH("V1",P479)),ISNUMBER(SEARCH("V2",P479)),ISNUMBER(SEARCH("V5",P479))),"A — 100%","B — sample ≥ 30%")</f>
        <v/>
      </c>
      <c r="S479" s="67" t="n"/>
      <c r="T479" s="67" t="n"/>
      <c r="U479" s="67" t="n"/>
      <c r="V479" s="67" t="n"/>
      <c r="W479" s="67" t="n"/>
      <c r="X479" s="67" t="n"/>
    </row>
    <row r="480" ht="22.35" customHeight="1" s="45">
      <c r="A480" s="65" t="inlineStr">
        <is>
          <t>A5.20</t>
        </is>
      </c>
      <c r="B480" s="66" t="inlineStr">
        <is>
          <t>watch_learning_v1</t>
        </is>
      </c>
      <c r="C480" s="66" t="inlineStr">
        <is>
          <t>PROPOSED</t>
        </is>
      </c>
      <c r="D480" s="66" t="inlineStr">
        <is>
          <t>V1 — Test evidence</t>
        </is>
      </c>
      <c r="E480" s="66" t="inlineStr">
        <is>
          <t>V4</t>
        </is>
      </c>
      <c r="F480" s="66" t="inlineStr">
        <is>
          <t>Golden-input, byte-identical output; RED-first test ID; ratchet manifest entry</t>
        </is>
      </c>
      <c r="G480" s="66" t="inlineStr">
        <is>
          <t>A — 100%</t>
        </is>
      </c>
      <c r="H480" s="67" t="n"/>
      <c r="I480" s="67" t="n"/>
      <c r="J480" s="67" t="n"/>
      <c r="K480" s="64">
        <f>IFERROR(INDEX('Status Map'!$B$2:$B$12,MATCH(C480,'Status Map'!$A$2:$A$12,0)),"UNDEFINED")</f>
        <v/>
      </c>
      <c r="L480" s="64">
        <f>IFERROR(INDEX('Status Map'!$C$2:$C$12,MATCH(C480,'Status Map'!$A$2:$A$12,0)),"UNDEFINED")</f>
        <v/>
      </c>
      <c r="M480" s="68" t="inlineStr">
        <is>
          <t>STATEMENT AS REGISTERED</t>
        </is>
      </c>
      <c r="N480" s="68" t="inlineStr">
        <is>
          <t>C-6.4.4, C-6.4.8</t>
        </is>
      </c>
      <c r="O480" s="68" t="inlineStr">
        <is>
          <t>V4</t>
        </is>
      </c>
      <c r="P480" s="64">
        <f>IF(O480&lt;&gt;"",O480,LEFT(D480,2))</f>
        <v/>
      </c>
      <c r="Q480" s="64">
        <f>IF(O480&lt;&gt;"","Standards §6",IF(M480="HEADING ONLY","Derived from heading — PROVISIONAL",IF(M480="TEXT NOT IN REGISTRY","No text to derive from — PROVISIONAL","Derived from registered statement")))</f>
        <v/>
      </c>
      <c r="R480" s="64">
        <f>IF(OR(LEFT(G480,1)="A",L480="COUNTS",ISNUMBER(SEARCH("V1",P480)),ISNUMBER(SEARCH("V2",P480)),ISNUMBER(SEARCH("V5",P480))),"A — 100%","B — sample ≥ 30%")</f>
        <v/>
      </c>
      <c r="S480" s="67" t="n"/>
      <c r="T480" s="67" t="n"/>
      <c r="U480" s="67" t="n"/>
      <c r="V480" s="67" t="n"/>
      <c r="W480" s="67" t="n"/>
      <c r="X480" s="67" t="n"/>
    </row>
    <row r="481" ht="22.35" customHeight="1" s="45">
      <c r="A481" s="65" t="inlineStr">
        <is>
          <t>A5.21</t>
        </is>
      </c>
      <c r="B481" s="66" t="inlineStr">
        <is>
          <t>watch_learning_v1</t>
        </is>
      </c>
      <c r="C481" s="66" t="inlineStr">
        <is>
          <t>PROPOSED</t>
        </is>
      </c>
      <c r="D481" s="66" t="inlineStr">
        <is>
          <t>V4 — Governance-record evidence</t>
        </is>
      </c>
      <c r="E481" s="66" t="n"/>
      <c r="F481" s="66" t="inlineStr">
        <is>
          <t>DECISIONS.md entry; ceremony record with tier, countersign, countdown, apply, re-verify; canon_ref present</t>
        </is>
      </c>
      <c r="G481" s="66" t="inlineStr">
        <is>
          <t>B — sample ≥ 30%</t>
        </is>
      </c>
      <c r="H481" s="67" t="n"/>
      <c r="I481" s="67" t="n"/>
      <c r="J481" s="67" t="n"/>
      <c r="K481" s="64">
        <f>IFERROR(INDEX('Status Map'!$B$2:$B$12,MATCH(C481,'Status Map'!$A$2:$A$12,0)),"UNDEFINED")</f>
        <v/>
      </c>
      <c r="L481" s="64">
        <f>IFERROR(INDEX('Status Map'!$C$2:$C$12,MATCH(C481,'Status Map'!$A$2:$A$12,0)),"UNDEFINED")</f>
        <v/>
      </c>
      <c r="M481" s="68" t="inlineStr">
        <is>
          <t>STATEMENT AS REGISTERED</t>
        </is>
      </c>
      <c r="N481" s="68" t="n"/>
      <c r="O481" s="68" t="n"/>
      <c r="P481" s="64">
        <f>IF(O481&lt;&gt;"",O481,LEFT(D481,2))</f>
        <v/>
      </c>
      <c r="Q481" s="64">
        <f>IF(O481&lt;&gt;"","Standards §6",IF(M481="HEADING ONLY","Derived from heading — PROVISIONAL",IF(M481="TEXT NOT IN REGISTRY","No text to derive from — PROVISIONAL","Derived from registered statement")))</f>
        <v/>
      </c>
      <c r="R481" s="64">
        <f>IF(OR(LEFT(G481,1)="A",L481="COUNTS",ISNUMBER(SEARCH("V1",P481)),ISNUMBER(SEARCH("V2",P481)),ISNUMBER(SEARCH("V5",P481))),"A — 100%","B — sample ≥ 30%")</f>
        <v/>
      </c>
      <c r="S481" s="67" t="n"/>
      <c r="T481" s="67" t="n"/>
      <c r="U481" s="67" t="n"/>
      <c r="V481" s="67" t="n"/>
      <c r="W481" s="67" t="n"/>
      <c r="X481" s="67" t="n"/>
    </row>
    <row r="482" ht="22.35" customHeight="1" s="45">
      <c r="A482" s="65" t="inlineStr">
        <is>
          <t>A5.22</t>
        </is>
      </c>
      <c r="B482" s="66" t="inlineStr">
        <is>
          <t>watch_learning_v1</t>
        </is>
      </c>
      <c r="C482" s="66" t="inlineStr">
        <is>
          <t>PROPOSED</t>
        </is>
      </c>
      <c r="D482" s="66" t="inlineStr">
        <is>
          <t>V1 — Test evidence</t>
        </is>
      </c>
      <c r="E482" s="66" t="inlineStr">
        <is>
          <t>V4</t>
        </is>
      </c>
      <c r="F482" s="66" t="inlineStr">
        <is>
          <t>Golden-input, byte-identical output; RED-first test ID; ratchet manifest entry</t>
        </is>
      </c>
      <c r="G482" s="66" t="inlineStr">
        <is>
          <t>A — 100%</t>
        </is>
      </c>
      <c r="H482" s="67" t="n"/>
      <c r="I482" s="67" t="n"/>
      <c r="J482" s="67" t="n"/>
      <c r="K482" s="64">
        <f>IFERROR(INDEX('Status Map'!$B$2:$B$12,MATCH(C482,'Status Map'!$A$2:$A$12,0)),"UNDEFINED")</f>
        <v/>
      </c>
      <c r="L482" s="64">
        <f>IFERROR(INDEX('Status Map'!$C$2:$C$12,MATCH(C482,'Status Map'!$A$2:$A$12,0)),"UNDEFINED")</f>
        <v/>
      </c>
      <c r="M482" s="68" t="inlineStr">
        <is>
          <t>STATEMENT AS REGISTERED</t>
        </is>
      </c>
      <c r="N482" s="68" t="n"/>
      <c r="O482" s="68" t="n"/>
      <c r="P482" s="64">
        <f>IF(O482&lt;&gt;"",O482,LEFT(D482,2))</f>
        <v/>
      </c>
      <c r="Q482" s="64">
        <f>IF(O482&lt;&gt;"","Standards §6",IF(M482="HEADING ONLY","Derived from heading — PROVISIONAL",IF(M482="TEXT NOT IN REGISTRY","No text to derive from — PROVISIONAL","Derived from registered statement")))</f>
        <v/>
      </c>
      <c r="R482" s="64">
        <f>IF(OR(LEFT(G482,1)="A",L482="COUNTS",ISNUMBER(SEARCH("V1",P482)),ISNUMBER(SEARCH("V2",P482)),ISNUMBER(SEARCH("V5",P482))),"A — 100%","B — sample ≥ 30%")</f>
        <v/>
      </c>
      <c r="S482" s="67" t="n"/>
      <c r="T482" s="67" t="n"/>
      <c r="U482" s="67" t="n"/>
      <c r="V482" s="67" t="n"/>
      <c r="W482" s="67" t="n"/>
      <c r="X482" s="67" t="n"/>
    </row>
    <row r="483" ht="22.35" customHeight="1" s="45">
      <c r="A483" s="65" t="inlineStr">
        <is>
          <t>RBM-23</t>
        </is>
      </c>
      <c r="B483" s="66" t="inlineStr">
        <is>
          <t>watch_learning_v1</t>
        </is>
      </c>
      <c r="C483" s="66" t="inlineStr">
        <is>
          <t>PROPOSED</t>
        </is>
      </c>
      <c r="D483" s="66" t="inlineStr">
        <is>
          <t>V3 — Record evidence</t>
        </is>
      </c>
      <c r="E483" s="66" t="inlineStr">
        <is>
          <t>V4</t>
        </is>
      </c>
      <c r="F483" s="66" t="inlineStr">
        <is>
          <t>Ledger rows inspected; hash-chain verifier receipt; refused operations present on identical terms</t>
        </is>
      </c>
      <c r="G483" s="66" t="inlineStr">
        <is>
          <t>A — 100%</t>
        </is>
      </c>
      <c r="H483" s="67" t="n"/>
      <c r="I483" s="67" t="n"/>
      <c r="J483" s="67" t="n"/>
      <c r="K483" s="64">
        <f>IFERROR(INDEX('Status Map'!$B$2:$B$12,MATCH(C483,'Status Map'!$A$2:$A$12,0)),"UNDEFINED")</f>
        <v/>
      </c>
      <c r="L483" s="64">
        <f>IFERROR(INDEX('Status Map'!$C$2:$C$12,MATCH(C483,'Status Map'!$A$2:$A$12,0)),"UNDEFINED")</f>
        <v/>
      </c>
      <c r="M483" s="68" t="inlineStr">
        <is>
          <t>STATEMENT AS REGISTERED</t>
        </is>
      </c>
      <c r="N483" s="68" t="inlineStr">
        <is>
          <t>C-6.4.4</t>
        </is>
      </c>
      <c r="O483" s="68" t="inlineStr">
        <is>
          <t>V4</t>
        </is>
      </c>
      <c r="P483" s="64">
        <f>IF(O483&lt;&gt;"",O483,LEFT(D483,2))</f>
        <v/>
      </c>
      <c r="Q483" s="64">
        <f>IF(O483&lt;&gt;"","Standards §6",IF(M483="HEADING ONLY","Derived from heading — PROVISIONAL",IF(M483="TEXT NOT IN REGISTRY","No text to derive from — PROVISIONAL","Derived from registered statement")))</f>
        <v/>
      </c>
      <c r="R483" s="64">
        <f>IF(OR(LEFT(G483,1)="A",L483="COUNTS",ISNUMBER(SEARCH("V1",P483)),ISNUMBER(SEARCH("V2",P483)),ISNUMBER(SEARCH("V5",P483))),"A — 100%","B — sample ≥ 30%")</f>
        <v/>
      </c>
      <c r="S483" s="67" t="n"/>
      <c r="T483" s="67" t="n"/>
      <c r="U483" s="67" t="n"/>
      <c r="V483" s="67" t="n"/>
      <c r="W483" s="67" t="n"/>
      <c r="X483" s="67" t="n"/>
    </row>
    <row r="484" ht="22.35" customHeight="1" s="45">
      <c r="A484" s="65" t="inlineStr">
        <is>
          <t>A20.16</t>
        </is>
      </c>
      <c r="B484" s="66" t="inlineStr">
        <is>
          <t>watch_learning_v1</t>
        </is>
      </c>
      <c r="C484" s="66" t="inlineStr">
        <is>
          <t>PROPOSED</t>
        </is>
      </c>
      <c r="D484" s="66" t="inlineStr">
        <is>
          <t>V1 — Test evidence</t>
        </is>
      </c>
      <c r="E484" s="66" t="inlineStr">
        <is>
          <t>V4</t>
        </is>
      </c>
      <c r="F484" s="66" t="inlineStr">
        <is>
          <t>Golden-input, byte-identical output; RED-first test ID; ratchet manifest entry</t>
        </is>
      </c>
      <c r="G484" s="66" t="inlineStr">
        <is>
          <t>A — 100%</t>
        </is>
      </c>
      <c r="H484" s="67" t="n"/>
      <c r="I484" s="67" t="n"/>
      <c r="J484" s="67" t="n"/>
      <c r="K484" s="64">
        <f>IFERROR(INDEX('Status Map'!$B$2:$B$12,MATCH(C484,'Status Map'!$A$2:$A$12,0)),"UNDEFINED")</f>
        <v/>
      </c>
      <c r="L484" s="64">
        <f>IFERROR(INDEX('Status Map'!$C$2:$C$12,MATCH(C484,'Status Map'!$A$2:$A$12,0)),"UNDEFINED")</f>
        <v/>
      </c>
      <c r="M484" s="68" t="inlineStr">
        <is>
          <t>STATEMENT AS REGISTERED</t>
        </is>
      </c>
      <c r="N484" s="68" t="inlineStr">
        <is>
          <t>C-6.14.1, C-6.14.3</t>
        </is>
      </c>
      <c r="O484" s="68" t="inlineStr">
        <is>
          <t>V2 + V3 + V5</t>
        </is>
      </c>
      <c r="P484" s="64">
        <f>IF(O484&lt;&gt;"",O484,LEFT(D484,2))</f>
        <v/>
      </c>
      <c r="Q484" s="64">
        <f>IF(O484&lt;&gt;"","Standards §6",IF(M484="HEADING ONLY","Derived from heading — PROVISIONAL",IF(M484="TEXT NOT IN REGISTRY","No text to derive from — PROVISIONAL","Derived from registered statement")))</f>
        <v/>
      </c>
      <c r="R484" s="64">
        <f>IF(OR(LEFT(G484,1)="A",L484="COUNTS",ISNUMBER(SEARCH("V1",P484)),ISNUMBER(SEARCH("V2",P484)),ISNUMBER(SEARCH("V5",P484))),"A — 100%","B — sample ≥ 30%")</f>
        <v/>
      </c>
      <c r="S484" s="67" t="n"/>
      <c r="T484" s="67" t="n"/>
      <c r="U484" s="67" t="n"/>
      <c r="V484" s="67" t="n"/>
      <c r="W484" s="67" t="n"/>
      <c r="X484" s="67" t="n"/>
    </row>
    <row r="485" ht="22.35" customHeight="1" s="45">
      <c r="A485" s="65" t="inlineStr">
        <is>
          <t>AC-15</t>
        </is>
      </c>
      <c r="B485" s="66" t="inlineStr">
        <is>
          <t>watch_learning_v1</t>
        </is>
      </c>
      <c r="C485" s="66" t="inlineStr">
        <is>
          <t>PROPOSED</t>
        </is>
      </c>
      <c r="D485" s="66" t="inlineStr">
        <is>
          <t>V4 — Governance-record evidence</t>
        </is>
      </c>
      <c r="E485" s="66" t="n"/>
      <c r="F485" s="66" t="inlineStr">
        <is>
          <t>DECISIONS.md entry; ceremony record with tier, countersign, countdown, apply, re-verify; canon_ref present</t>
        </is>
      </c>
      <c r="G485" s="66" t="inlineStr">
        <is>
          <t>A — 100%</t>
        </is>
      </c>
      <c r="H485" s="67" t="n"/>
      <c r="I485" s="67" t="n"/>
      <c r="J485" s="67" t="n"/>
      <c r="K485" s="64">
        <f>IFERROR(INDEX('Status Map'!$B$2:$B$12,MATCH(C485,'Status Map'!$A$2:$A$12,0)),"UNDEFINED")</f>
        <v/>
      </c>
      <c r="L485" s="64">
        <f>IFERROR(INDEX('Status Map'!$C$2:$C$12,MATCH(C485,'Status Map'!$A$2:$A$12,0)),"UNDEFINED")</f>
        <v/>
      </c>
      <c r="M485" s="68" t="inlineStr">
        <is>
          <t>STATEMENT AS REGISTERED</t>
        </is>
      </c>
      <c r="N485" s="68" t="n"/>
      <c r="O485" s="68" t="n"/>
      <c r="P485" s="64">
        <f>IF(O485&lt;&gt;"",O485,LEFT(D485,2))</f>
        <v/>
      </c>
      <c r="Q485" s="64">
        <f>IF(O485&lt;&gt;"","Standards §6",IF(M485="HEADING ONLY","Derived from heading — PROVISIONAL",IF(M485="TEXT NOT IN REGISTRY","No text to derive from — PROVISIONAL","Derived from registered statement")))</f>
        <v/>
      </c>
      <c r="R485" s="64">
        <f>IF(OR(LEFT(G485,1)="A",L485="COUNTS",ISNUMBER(SEARCH("V1",P485)),ISNUMBER(SEARCH("V2",P485)),ISNUMBER(SEARCH("V5",P485))),"A — 100%","B — sample ≥ 30%")</f>
        <v/>
      </c>
      <c r="S485" s="67" t="n"/>
      <c r="T485" s="67" t="n"/>
      <c r="U485" s="67" t="n"/>
      <c r="V485" s="67" t="n"/>
      <c r="W485" s="67" t="n"/>
      <c r="X485" s="67" t="n"/>
    </row>
    <row r="486" ht="22.35" customHeight="1" s="45">
      <c r="A486" s="65" t="inlineStr">
        <is>
          <t>AC-16</t>
        </is>
      </c>
      <c r="B486" s="66" t="inlineStr">
        <is>
          <t>watch_learning_v1</t>
        </is>
      </c>
      <c r="C486" s="66" t="inlineStr">
        <is>
          <t>PROPOSED</t>
        </is>
      </c>
      <c r="D486" s="66" t="inlineStr">
        <is>
          <t>V4 — Governance-record evidence</t>
        </is>
      </c>
      <c r="E486" s="66" t="n"/>
      <c r="F486" s="66" t="inlineStr">
        <is>
          <t>DECISIONS.md entry; ceremony record with tier, countersign, countdown, apply, re-verify; canon_ref present</t>
        </is>
      </c>
      <c r="G486" s="66" t="inlineStr">
        <is>
          <t>A — 100%</t>
        </is>
      </c>
      <c r="H486" s="67" t="n"/>
      <c r="I486" s="67" t="n"/>
      <c r="J486" s="67" t="n"/>
      <c r="K486" s="64">
        <f>IFERROR(INDEX('Status Map'!$B$2:$B$12,MATCH(C486,'Status Map'!$A$2:$A$12,0)),"UNDEFINED")</f>
        <v/>
      </c>
      <c r="L486" s="64">
        <f>IFERROR(INDEX('Status Map'!$C$2:$C$12,MATCH(C486,'Status Map'!$A$2:$A$12,0)),"UNDEFINED")</f>
        <v/>
      </c>
      <c r="M486" s="68" t="inlineStr">
        <is>
          <t>STATEMENT AS REGISTERED</t>
        </is>
      </c>
      <c r="N486" s="68" t="n"/>
      <c r="O486" s="68" t="n"/>
      <c r="P486" s="64">
        <f>IF(O486&lt;&gt;"",O486,LEFT(D486,2))</f>
        <v/>
      </c>
      <c r="Q486" s="64">
        <f>IF(O486&lt;&gt;"","Standards §6",IF(M486="HEADING ONLY","Derived from heading — PROVISIONAL",IF(M486="TEXT NOT IN REGISTRY","No text to derive from — PROVISIONAL","Derived from registered statement")))</f>
        <v/>
      </c>
      <c r="R486" s="64">
        <f>IF(OR(LEFT(G486,1)="A",L486="COUNTS",ISNUMBER(SEARCH("V1",P486)),ISNUMBER(SEARCH("V2",P486)),ISNUMBER(SEARCH("V5",P486))),"A — 100%","B — sample ≥ 30%")</f>
        <v/>
      </c>
      <c r="S486" s="67" t="n"/>
      <c r="T486" s="67" t="n"/>
      <c r="U486" s="67" t="n"/>
      <c r="V486" s="67" t="n"/>
      <c r="W486" s="67" t="n"/>
      <c r="X486" s="67" t="n"/>
    </row>
    <row r="487" ht="22.35" customHeight="1" s="45">
      <c r="A487" s="65" t="inlineStr">
        <is>
          <t>AC-17</t>
        </is>
      </c>
      <c r="B487" s="66" t="inlineStr">
        <is>
          <t>watch_learning_v1</t>
        </is>
      </c>
      <c r="C487" s="66" t="inlineStr">
        <is>
          <t>PROPOSED</t>
        </is>
      </c>
      <c r="D487" s="66" t="inlineStr">
        <is>
          <t>V7 — Document &amp; design inspection</t>
        </is>
      </c>
      <c r="E487" s="66" t="n"/>
      <c r="F487" s="66" t="inlineStr">
        <is>
          <t>Specification text against implementation description; provenance sections; objective card lines</t>
        </is>
      </c>
      <c r="G487" s="66" t="inlineStr">
        <is>
          <t>A — 100%</t>
        </is>
      </c>
      <c r="H487" s="67" t="n"/>
      <c r="I487" s="67" t="n"/>
      <c r="J487" s="67" t="n"/>
      <c r="K487" s="64">
        <f>IFERROR(INDEX('Status Map'!$B$2:$B$12,MATCH(C487,'Status Map'!$A$2:$A$12,0)),"UNDEFINED")</f>
        <v/>
      </c>
      <c r="L487" s="64">
        <f>IFERROR(INDEX('Status Map'!$C$2:$C$12,MATCH(C487,'Status Map'!$A$2:$A$12,0)),"UNDEFINED")</f>
        <v/>
      </c>
      <c r="M487" s="68" t="inlineStr">
        <is>
          <t>STATEMENT AS REGISTERED</t>
        </is>
      </c>
      <c r="N487" s="68" t="inlineStr">
        <is>
          <t>C-6.14.3</t>
        </is>
      </c>
      <c r="O487" s="68" t="inlineStr">
        <is>
          <t>V3</t>
        </is>
      </c>
      <c r="P487" s="64">
        <f>IF(O487&lt;&gt;"",O487,LEFT(D487,2))</f>
        <v/>
      </c>
      <c r="Q487" s="64">
        <f>IF(O487&lt;&gt;"","Standards §6",IF(M487="HEADING ONLY","Derived from heading — PROVISIONAL",IF(M487="TEXT NOT IN REGISTRY","No text to derive from — PROVISIONAL","Derived from registered statement")))</f>
        <v/>
      </c>
      <c r="R487" s="64">
        <f>IF(OR(LEFT(G487,1)="A",L487="COUNTS",ISNUMBER(SEARCH("V1",P487)),ISNUMBER(SEARCH("V2",P487)),ISNUMBER(SEARCH("V5",P487))),"A — 100%","B — sample ≥ 30%")</f>
        <v/>
      </c>
      <c r="S487" s="67" t="n"/>
      <c r="T487" s="67" t="n"/>
      <c r="U487" s="67" t="n"/>
      <c r="V487" s="67" t="n"/>
      <c r="W487" s="67" t="n"/>
      <c r="X487" s="67" t="n"/>
    </row>
    <row r="488" ht="22.35" customHeight="1" s="45">
      <c r="A488" s="65" t="inlineStr">
        <is>
          <t>AC-18</t>
        </is>
      </c>
      <c r="B488" s="66" t="inlineStr">
        <is>
          <t>watch_learning_v1</t>
        </is>
      </c>
      <c r="C488" s="66" t="inlineStr">
        <is>
          <t>PROPOSED</t>
        </is>
      </c>
      <c r="D488" s="66" t="inlineStr">
        <is>
          <t>V2 — Structural evidence</t>
        </is>
      </c>
      <c r="E488" s="66" t="inlineStr">
        <is>
          <t>V4</t>
        </is>
      </c>
      <c r="F488" s="66" t="inlineStr">
        <is>
          <t>Negative-scan or AST rule present, named, and green in CI; scan surface stated</t>
        </is>
      </c>
      <c r="G488" s="66" t="inlineStr">
        <is>
          <t>A — 100%</t>
        </is>
      </c>
      <c r="H488" s="67" t="n"/>
      <c r="I488" s="67" t="n"/>
      <c r="J488" s="67" t="n"/>
      <c r="K488" s="64">
        <f>IFERROR(INDEX('Status Map'!$B$2:$B$12,MATCH(C488,'Status Map'!$A$2:$A$12,0)),"UNDEFINED")</f>
        <v/>
      </c>
      <c r="L488" s="64">
        <f>IFERROR(INDEX('Status Map'!$C$2:$C$12,MATCH(C488,'Status Map'!$A$2:$A$12,0)),"UNDEFINED")</f>
        <v/>
      </c>
      <c r="M488" s="68" t="inlineStr">
        <is>
          <t>STATEMENT AS REGISTERED</t>
        </is>
      </c>
      <c r="N488" s="68" t="inlineStr">
        <is>
          <t>C-6.14.3</t>
        </is>
      </c>
      <c r="O488" s="68" t="inlineStr">
        <is>
          <t>V3</t>
        </is>
      </c>
      <c r="P488" s="64">
        <f>IF(O488&lt;&gt;"",O488,LEFT(D488,2))</f>
        <v/>
      </c>
      <c r="Q488" s="64">
        <f>IF(O488&lt;&gt;"","Standards §6",IF(M488="HEADING ONLY","Derived from heading — PROVISIONAL",IF(M488="TEXT NOT IN REGISTRY","No text to derive from — PROVISIONAL","Derived from registered statement")))</f>
        <v/>
      </c>
      <c r="R488" s="64">
        <f>IF(OR(LEFT(G488,1)="A",L488="COUNTS",ISNUMBER(SEARCH("V1",P488)),ISNUMBER(SEARCH("V2",P488)),ISNUMBER(SEARCH("V5",P488))),"A — 100%","B — sample ≥ 30%")</f>
        <v/>
      </c>
      <c r="S488" s="67" t="n"/>
      <c r="T488" s="67" t="n"/>
      <c r="U488" s="67" t="n"/>
      <c r="V488" s="67" t="n"/>
      <c r="W488" s="67" t="n"/>
      <c r="X488" s="67" t="n"/>
    </row>
    <row r="489" ht="22.35" customHeight="1" s="45">
      <c r="A489" s="65" t="inlineStr">
        <is>
          <t>S-26</t>
        </is>
      </c>
      <c r="B489" s="66" t="inlineStr">
        <is>
          <t>Security Assurance Promise Set</t>
        </is>
      </c>
      <c r="C489" s="66" t="inlineStr">
        <is>
          <t>PROPOSED</t>
        </is>
      </c>
      <c r="D489" s="66" t="inlineStr">
        <is>
          <t>V7 — Document &amp; design inspection</t>
        </is>
      </c>
      <c r="E489" s="66" t="n"/>
      <c r="F489" s="66" t="inlineStr">
        <is>
          <t>Specification text against implementation description; provenance sections; objective card lines</t>
        </is>
      </c>
      <c r="G489" s="66" t="inlineStr">
        <is>
          <t>A — 100%</t>
        </is>
      </c>
      <c r="H489" s="67" t="n"/>
      <c r="I489" s="67" t="n"/>
      <c r="J489" s="67" t="n"/>
      <c r="K489" s="64">
        <f>IFERROR(INDEX('Status Map'!$B$2:$B$12,MATCH(C489,'Status Map'!$A$2:$A$12,0)),"UNDEFINED")</f>
        <v/>
      </c>
      <c r="L489" s="64">
        <f>IFERROR(INDEX('Status Map'!$C$2:$C$12,MATCH(C489,'Status Map'!$A$2:$A$12,0)),"UNDEFINED")</f>
        <v/>
      </c>
      <c r="M489" s="68" t="inlineStr">
        <is>
          <t>STATEMENT AS REGISTERED</t>
        </is>
      </c>
      <c r="N489" s="68" t="n"/>
      <c r="O489" s="68" t="n"/>
      <c r="P489" s="64">
        <f>IF(O489&lt;&gt;"",O489,LEFT(D489,2))</f>
        <v/>
      </c>
      <c r="Q489" s="64">
        <f>IF(O489&lt;&gt;"","Standards §6",IF(M489="HEADING ONLY","Derived from heading — PROVISIONAL",IF(M489="TEXT NOT IN REGISTRY","No text to derive from — PROVISIONAL","Derived from registered statement")))</f>
        <v/>
      </c>
      <c r="R489" s="64">
        <f>IF(OR(LEFT(G489,1)="A",L489="COUNTS",ISNUMBER(SEARCH("V1",P489)),ISNUMBER(SEARCH("V2",P489)),ISNUMBER(SEARCH("V5",P489))),"A — 100%","B — sample ≥ 30%")</f>
        <v/>
      </c>
      <c r="S489" s="67" t="n"/>
      <c r="T489" s="67" t="n"/>
      <c r="U489" s="67" t="n"/>
      <c r="V489" s="67" t="n"/>
      <c r="W489" s="67" t="n"/>
      <c r="X489" s="67" t="n"/>
    </row>
    <row r="490" ht="22.35" customHeight="1" s="45">
      <c r="A490" s="65" t="inlineStr">
        <is>
          <t>S-27</t>
        </is>
      </c>
      <c r="B490" s="66" t="inlineStr">
        <is>
          <t>Security Assurance Promise Set</t>
        </is>
      </c>
      <c r="C490" s="66" t="inlineStr">
        <is>
          <t>PROPOSED</t>
        </is>
      </c>
      <c r="D490" s="66" t="inlineStr">
        <is>
          <t>V7 — Document &amp; design inspection</t>
        </is>
      </c>
      <c r="E490" s="66" t="n"/>
      <c r="F490" s="66" t="inlineStr">
        <is>
          <t>Specification text against implementation description; provenance sections; objective card lines</t>
        </is>
      </c>
      <c r="G490" s="66" t="inlineStr">
        <is>
          <t>A — 100%</t>
        </is>
      </c>
      <c r="H490" s="67" t="n"/>
      <c r="I490" s="67" t="n"/>
      <c r="J490" s="67" t="n"/>
      <c r="K490" s="64">
        <f>IFERROR(INDEX('Status Map'!$B$2:$B$12,MATCH(C490,'Status Map'!$A$2:$A$12,0)),"UNDEFINED")</f>
        <v/>
      </c>
      <c r="L490" s="64">
        <f>IFERROR(INDEX('Status Map'!$C$2:$C$12,MATCH(C490,'Status Map'!$A$2:$A$12,0)),"UNDEFINED")</f>
        <v/>
      </c>
      <c r="M490" s="68" t="inlineStr">
        <is>
          <t>STATEMENT AS REGISTERED</t>
        </is>
      </c>
      <c r="N490" s="68" t="n"/>
      <c r="O490" s="68" t="n"/>
      <c r="P490" s="64">
        <f>IF(O490&lt;&gt;"",O490,LEFT(D490,2))</f>
        <v/>
      </c>
      <c r="Q490" s="64">
        <f>IF(O490&lt;&gt;"","Standards §6",IF(M490="HEADING ONLY","Derived from heading — PROVISIONAL",IF(M490="TEXT NOT IN REGISTRY","No text to derive from — PROVISIONAL","Derived from registered statement")))</f>
        <v/>
      </c>
      <c r="R490" s="64">
        <f>IF(OR(LEFT(G490,1)="A",L490="COUNTS",ISNUMBER(SEARCH("V1",P490)),ISNUMBER(SEARCH("V2",P490)),ISNUMBER(SEARCH("V5",P490))),"A — 100%","B — sample ≥ 30%")</f>
        <v/>
      </c>
      <c r="S490" s="67" t="n"/>
      <c r="T490" s="67" t="n"/>
      <c r="U490" s="67" t="n"/>
      <c r="V490" s="67" t="n"/>
      <c r="W490" s="67" t="n"/>
      <c r="X490" s="67" t="n"/>
    </row>
    <row r="491" ht="22.35" customHeight="1" s="45">
      <c r="A491" s="65" t="inlineStr">
        <is>
          <t>S-28</t>
        </is>
      </c>
      <c r="B491" s="66" t="inlineStr">
        <is>
          <t>Security Assurance Promise Set</t>
        </is>
      </c>
      <c r="C491" s="66" t="inlineStr">
        <is>
          <t>PROPOSED</t>
        </is>
      </c>
      <c r="D491" s="66" t="inlineStr">
        <is>
          <t>V4 — Governance-record evidence</t>
        </is>
      </c>
      <c r="E491" s="66" t="n"/>
      <c r="F491" s="66" t="inlineStr">
        <is>
          <t>DECISIONS.md entry; ceremony record with tier, countersign, countdown, apply, re-verify; canon_ref present</t>
        </is>
      </c>
      <c r="G491" s="66" t="inlineStr">
        <is>
          <t>A — 100%</t>
        </is>
      </c>
      <c r="H491" s="67" t="n"/>
      <c r="I491" s="67" t="n"/>
      <c r="J491" s="67" t="n"/>
      <c r="K491" s="64">
        <f>IFERROR(INDEX('Status Map'!$B$2:$B$12,MATCH(C491,'Status Map'!$A$2:$A$12,0)),"UNDEFINED")</f>
        <v/>
      </c>
      <c r="L491" s="64">
        <f>IFERROR(INDEX('Status Map'!$C$2:$C$12,MATCH(C491,'Status Map'!$A$2:$A$12,0)),"UNDEFINED")</f>
        <v/>
      </c>
      <c r="M491" s="68" t="inlineStr">
        <is>
          <t>STATEMENT AS REGISTERED</t>
        </is>
      </c>
      <c r="N491" s="68" t="n"/>
      <c r="O491" s="68" t="n"/>
      <c r="P491" s="64">
        <f>IF(O491&lt;&gt;"",O491,LEFT(D491,2))</f>
        <v/>
      </c>
      <c r="Q491" s="64">
        <f>IF(O491&lt;&gt;"","Standards §6",IF(M491="HEADING ONLY","Derived from heading — PROVISIONAL",IF(M491="TEXT NOT IN REGISTRY","No text to derive from — PROVISIONAL","Derived from registered statement")))</f>
        <v/>
      </c>
      <c r="R491" s="64">
        <f>IF(OR(LEFT(G491,1)="A",L491="COUNTS",ISNUMBER(SEARCH("V1",P491)),ISNUMBER(SEARCH("V2",P491)),ISNUMBER(SEARCH("V5",P491))),"A — 100%","B — sample ≥ 30%")</f>
        <v/>
      </c>
      <c r="S491" s="67" t="n"/>
      <c r="T491" s="67" t="n"/>
      <c r="U491" s="67" t="n"/>
      <c r="V491" s="67" t="n"/>
      <c r="W491" s="67" t="n"/>
      <c r="X491" s="67" t="n"/>
    </row>
    <row r="492" ht="22.35" customHeight="1" s="45">
      <c r="A492" s="65" t="inlineStr">
        <is>
          <t>S-29</t>
        </is>
      </c>
      <c r="B492" s="66" t="inlineStr">
        <is>
          <t>Security Assurance Promise Set</t>
        </is>
      </c>
      <c r="C492" s="66" t="inlineStr">
        <is>
          <t>PROPOSED</t>
        </is>
      </c>
      <c r="D492" s="66" t="inlineStr">
        <is>
          <t>V4 — Governance-record evidence</t>
        </is>
      </c>
      <c r="E492" s="66" t="n"/>
      <c r="F492" s="66" t="inlineStr">
        <is>
          <t>DECISIONS.md entry; ceremony record with tier, countersign, countdown, apply, re-verify; canon_ref present</t>
        </is>
      </c>
      <c r="G492" s="66" t="inlineStr">
        <is>
          <t>A — 100%</t>
        </is>
      </c>
      <c r="H492" s="67" t="n"/>
      <c r="I492" s="67" t="n"/>
      <c r="J492" s="67" t="n"/>
      <c r="K492" s="64">
        <f>IFERROR(INDEX('Status Map'!$B$2:$B$12,MATCH(C492,'Status Map'!$A$2:$A$12,0)),"UNDEFINED")</f>
        <v/>
      </c>
      <c r="L492" s="64">
        <f>IFERROR(INDEX('Status Map'!$C$2:$C$12,MATCH(C492,'Status Map'!$A$2:$A$12,0)),"UNDEFINED")</f>
        <v/>
      </c>
      <c r="M492" s="68" t="inlineStr">
        <is>
          <t>STATEMENT AS REGISTERED</t>
        </is>
      </c>
      <c r="N492" s="68" t="n"/>
      <c r="O492" s="68" t="n"/>
      <c r="P492" s="64">
        <f>IF(O492&lt;&gt;"",O492,LEFT(D492,2))</f>
        <v/>
      </c>
      <c r="Q492" s="64">
        <f>IF(O492&lt;&gt;"","Standards §6",IF(M492="HEADING ONLY","Derived from heading — PROVISIONAL",IF(M492="TEXT NOT IN REGISTRY","No text to derive from — PROVISIONAL","Derived from registered statement")))</f>
        <v/>
      </c>
      <c r="R492" s="64">
        <f>IF(OR(LEFT(G492,1)="A",L492="COUNTS",ISNUMBER(SEARCH("V1",P492)),ISNUMBER(SEARCH("V2",P492)),ISNUMBER(SEARCH("V5",P492))),"A — 100%","B — sample ≥ 30%")</f>
        <v/>
      </c>
      <c r="S492" s="67" t="n"/>
      <c r="T492" s="67" t="n"/>
      <c r="U492" s="67" t="n"/>
      <c r="V492" s="67" t="n"/>
      <c r="W492" s="67" t="n"/>
      <c r="X492" s="67" t="n"/>
    </row>
    <row r="493" ht="22.35" customHeight="1" s="45">
      <c r="A493" s="65" t="inlineStr">
        <is>
          <t>ENT-1</t>
        </is>
      </c>
      <c r="B493" s="66" t="inlineStr">
        <is>
          <t>entitlement_service_v1</t>
        </is>
      </c>
      <c r="C493" s="66" t="inlineStr">
        <is>
          <t>PROPOSED</t>
        </is>
      </c>
      <c r="D493" s="66" t="inlineStr">
        <is>
          <t>V6 — Surface inspection</t>
        </is>
      </c>
      <c r="E493" s="66" t="n"/>
      <c r="F493" s="66" t="inlineStr">
        <is>
          <t>DOM-bound substitution rule or harness receipt; fixed string verbatim; honest-gap variant rendered on null</t>
        </is>
      </c>
      <c r="G493" s="66" t="inlineStr">
        <is>
          <t>B — sample ≥ 30%</t>
        </is>
      </c>
      <c r="H493" s="67" t="n"/>
      <c r="I493" s="67" t="n"/>
      <c r="J493" s="67" t="n"/>
      <c r="K493" s="64">
        <f>IFERROR(INDEX('Status Map'!$B$2:$B$12,MATCH(C493,'Status Map'!$A$2:$A$12,0)),"UNDEFINED")</f>
        <v/>
      </c>
      <c r="L493" s="64">
        <f>IFERROR(INDEX('Status Map'!$C$2:$C$12,MATCH(C493,'Status Map'!$A$2:$A$12,0)),"UNDEFINED")</f>
        <v/>
      </c>
      <c r="M493" s="68" t="inlineStr">
        <is>
          <t>STATEMENT AS REGISTERED</t>
        </is>
      </c>
      <c r="N493" s="68" t="n"/>
      <c r="O493" s="68" t="n"/>
      <c r="P493" s="64">
        <f>IF(O493&lt;&gt;"",O493,LEFT(D493,2))</f>
        <v/>
      </c>
      <c r="Q493" s="64">
        <f>IF(O493&lt;&gt;"","Standards §6",IF(M493="HEADING ONLY","Derived from heading — PROVISIONAL",IF(M493="TEXT NOT IN REGISTRY","No text to derive from — PROVISIONAL","Derived from registered statement")))</f>
        <v/>
      </c>
      <c r="R493" s="64">
        <f>IF(OR(LEFT(G493,1)="A",L493="COUNTS",ISNUMBER(SEARCH("V1",P493)),ISNUMBER(SEARCH("V2",P493)),ISNUMBER(SEARCH("V5",P493))),"A — 100%","B — sample ≥ 30%")</f>
        <v/>
      </c>
      <c r="S493" s="67" t="n"/>
      <c r="T493" s="67" t="n"/>
      <c r="U493" s="67" t="n"/>
      <c r="V493" s="67" t="n"/>
      <c r="W493" s="67" t="n"/>
      <c r="X493" s="67" t="n"/>
    </row>
    <row r="494" ht="22.35" customHeight="1" s="45">
      <c r="A494" s="65" t="inlineStr">
        <is>
          <t>ENT-2</t>
        </is>
      </c>
      <c r="B494" s="66" t="inlineStr">
        <is>
          <t>entitlement_service_v1</t>
        </is>
      </c>
      <c r="C494" s="66" t="inlineStr">
        <is>
          <t>PROPOSED</t>
        </is>
      </c>
      <c r="D494" s="66" t="inlineStr">
        <is>
          <t>V3 — Record evidence</t>
        </is>
      </c>
      <c r="E494" s="66" t="n"/>
      <c r="F494" s="66" t="inlineStr">
        <is>
          <t>Ledger rows inspected; hash-chain verifier receipt; refused operations present on identical terms</t>
        </is>
      </c>
      <c r="G494" s="66" t="inlineStr">
        <is>
          <t>B — sample ≥ 30%</t>
        </is>
      </c>
      <c r="H494" s="67" t="n"/>
      <c r="I494" s="67" t="n"/>
      <c r="J494" s="67" t="n"/>
      <c r="K494" s="64">
        <f>IFERROR(INDEX('Status Map'!$B$2:$B$12,MATCH(C494,'Status Map'!$A$2:$A$12,0)),"UNDEFINED")</f>
        <v/>
      </c>
      <c r="L494" s="64">
        <f>IFERROR(INDEX('Status Map'!$C$2:$C$12,MATCH(C494,'Status Map'!$A$2:$A$12,0)),"UNDEFINED")</f>
        <v/>
      </c>
      <c r="M494" s="68" t="inlineStr">
        <is>
          <t>STATEMENT AS REGISTERED</t>
        </is>
      </c>
      <c r="N494" s="68" t="n"/>
      <c r="O494" s="68" t="n"/>
      <c r="P494" s="64">
        <f>IF(O494&lt;&gt;"",O494,LEFT(D494,2))</f>
        <v/>
      </c>
      <c r="Q494" s="64">
        <f>IF(O494&lt;&gt;"","Standards §6",IF(M494="HEADING ONLY","Derived from heading — PROVISIONAL",IF(M494="TEXT NOT IN REGISTRY","No text to derive from — PROVISIONAL","Derived from registered statement")))</f>
        <v/>
      </c>
      <c r="R494" s="64">
        <f>IF(OR(LEFT(G494,1)="A",L494="COUNTS",ISNUMBER(SEARCH("V1",P494)),ISNUMBER(SEARCH("V2",P494)),ISNUMBER(SEARCH("V5",P494))),"A — 100%","B — sample ≥ 30%")</f>
        <v/>
      </c>
      <c r="S494" s="67" t="n"/>
      <c r="T494" s="67" t="n"/>
      <c r="U494" s="67" t="n"/>
      <c r="V494" s="67" t="n"/>
      <c r="W494" s="67" t="n"/>
      <c r="X494" s="67" t="n"/>
    </row>
    <row r="495" ht="22.35" customHeight="1" s="45">
      <c r="A495" s="65" t="inlineStr">
        <is>
          <t>ENT-3</t>
        </is>
      </c>
      <c r="B495" s="66" t="inlineStr">
        <is>
          <t>entitlement_service_v1</t>
        </is>
      </c>
      <c r="C495" s="66" t="inlineStr">
        <is>
          <t>PROPOSED</t>
        </is>
      </c>
      <c r="D495" s="66" t="inlineStr">
        <is>
          <t>V6 — Surface inspection</t>
        </is>
      </c>
      <c r="E495" s="66" t="n"/>
      <c r="F495" s="66" t="inlineStr">
        <is>
          <t>DOM-bound substitution rule or harness receipt; fixed string verbatim; honest-gap variant rendered on null</t>
        </is>
      </c>
      <c r="G495" s="66" t="inlineStr">
        <is>
          <t>B — sample ≥ 30%</t>
        </is>
      </c>
      <c r="H495" s="67" t="n"/>
      <c r="I495" s="67" t="n"/>
      <c r="J495" s="67" t="n"/>
      <c r="K495" s="64">
        <f>IFERROR(INDEX('Status Map'!$B$2:$B$12,MATCH(C495,'Status Map'!$A$2:$A$12,0)),"UNDEFINED")</f>
        <v/>
      </c>
      <c r="L495" s="64">
        <f>IFERROR(INDEX('Status Map'!$C$2:$C$12,MATCH(C495,'Status Map'!$A$2:$A$12,0)),"UNDEFINED")</f>
        <v/>
      </c>
      <c r="M495" s="68" t="inlineStr">
        <is>
          <t>STATEMENT AS REGISTERED</t>
        </is>
      </c>
      <c r="N495" s="68" t="inlineStr">
        <is>
          <t>C-6.11.8</t>
        </is>
      </c>
      <c r="O495" s="68" t="inlineStr">
        <is>
          <t>V6</t>
        </is>
      </c>
      <c r="P495" s="64">
        <f>IF(O495&lt;&gt;"",O495,LEFT(D495,2))</f>
        <v/>
      </c>
      <c r="Q495" s="64">
        <f>IF(O495&lt;&gt;"","Standards §6",IF(M495="HEADING ONLY","Derived from heading — PROVISIONAL",IF(M495="TEXT NOT IN REGISTRY","No text to derive from — PROVISIONAL","Derived from registered statement")))</f>
        <v/>
      </c>
      <c r="R495" s="64">
        <f>IF(OR(LEFT(G495,1)="A",L495="COUNTS",ISNUMBER(SEARCH("V1",P495)),ISNUMBER(SEARCH("V2",P495)),ISNUMBER(SEARCH("V5",P495))),"A — 100%","B — sample ≥ 30%")</f>
        <v/>
      </c>
      <c r="S495" s="67" t="n"/>
      <c r="T495" s="67" t="n"/>
      <c r="U495" s="67" t="n"/>
      <c r="V495" s="67" t="n"/>
      <c r="W495" s="67" t="n"/>
      <c r="X495" s="67" t="n"/>
    </row>
    <row r="496" ht="22.35" customHeight="1" s="45">
      <c r="A496" s="65" t="inlineStr">
        <is>
          <t>ENT-4</t>
        </is>
      </c>
      <c r="B496" s="66" t="inlineStr">
        <is>
          <t>entitlement_service_v1</t>
        </is>
      </c>
      <c r="C496" s="66" t="inlineStr">
        <is>
          <t>PROPOSED</t>
        </is>
      </c>
      <c r="D496" s="66" t="inlineStr">
        <is>
          <t>V6 — Surface inspection</t>
        </is>
      </c>
      <c r="E496" s="66" t="n"/>
      <c r="F496" s="66" t="inlineStr">
        <is>
          <t>DOM-bound substitution rule or harness receipt; fixed string verbatim; honest-gap variant rendered on null</t>
        </is>
      </c>
      <c r="G496" s="66" t="inlineStr">
        <is>
          <t>B — sample ≥ 30%</t>
        </is>
      </c>
      <c r="H496" s="67" t="n"/>
      <c r="I496" s="67" t="n"/>
      <c r="J496" s="67" t="n"/>
      <c r="K496" s="64">
        <f>IFERROR(INDEX('Status Map'!$B$2:$B$12,MATCH(C496,'Status Map'!$A$2:$A$12,0)),"UNDEFINED")</f>
        <v/>
      </c>
      <c r="L496" s="64">
        <f>IFERROR(INDEX('Status Map'!$C$2:$C$12,MATCH(C496,'Status Map'!$A$2:$A$12,0)),"UNDEFINED")</f>
        <v/>
      </c>
      <c r="M496" s="68" t="inlineStr">
        <is>
          <t>STATEMENT AS REGISTERED</t>
        </is>
      </c>
      <c r="N496" s="68" t="inlineStr">
        <is>
          <t>C-6.11.8</t>
        </is>
      </c>
      <c r="O496" s="68" t="inlineStr">
        <is>
          <t>V6</t>
        </is>
      </c>
      <c r="P496" s="64">
        <f>IF(O496&lt;&gt;"",O496,LEFT(D496,2))</f>
        <v/>
      </c>
      <c r="Q496" s="64">
        <f>IF(O496&lt;&gt;"","Standards §6",IF(M496="HEADING ONLY","Derived from heading — PROVISIONAL",IF(M496="TEXT NOT IN REGISTRY","No text to derive from — PROVISIONAL","Derived from registered statement")))</f>
        <v/>
      </c>
      <c r="R496" s="64">
        <f>IF(OR(LEFT(G496,1)="A",L496="COUNTS",ISNUMBER(SEARCH("V1",P496)),ISNUMBER(SEARCH("V2",P496)),ISNUMBER(SEARCH("V5",P496))),"A — 100%","B — sample ≥ 30%")</f>
        <v/>
      </c>
      <c r="S496" s="67" t="n"/>
      <c r="T496" s="67" t="n"/>
      <c r="U496" s="67" t="n"/>
      <c r="V496" s="67" t="n"/>
      <c r="W496" s="67" t="n"/>
      <c r="X496" s="67" t="n"/>
    </row>
    <row r="497" ht="22.35" customHeight="1" s="45">
      <c r="A497" s="65" t="inlineStr">
        <is>
          <t>ENT-5</t>
        </is>
      </c>
      <c r="B497" s="66" t="inlineStr">
        <is>
          <t>entitlement_service_v1</t>
        </is>
      </c>
      <c r="C497" s="66" t="inlineStr">
        <is>
          <t>PROPOSED</t>
        </is>
      </c>
      <c r="D497" s="66" t="inlineStr">
        <is>
          <t>V2 — Structural evidence</t>
        </is>
      </c>
      <c r="E497" s="66" t="n"/>
      <c r="F497" s="66" t="inlineStr">
        <is>
          <t>Negative-scan or AST rule present, named, and green in CI; scan surface stated</t>
        </is>
      </c>
      <c r="G497" s="66" t="inlineStr">
        <is>
          <t>A — 100%</t>
        </is>
      </c>
      <c r="H497" s="67" t="n"/>
      <c r="I497" s="67" t="n"/>
      <c r="J497" s="67" t="n"/>
      <c r="K497" s="64">
        <f>IFERROR(INDEX('Status Map'!$B$2:$B$12,MATCH(C497,'Status Map'!$A$2:$A$12,0)),"UNDEFINED")</f>
        <v/>
      </c>
      <c r="L497" s="64">
        <f>IFERROR(INDEX('Status Map'!$C$2:$C$12,MATCH(C497,'Status Map'!$A$2:$A$12,0)),"UNDEFINED")</f>
        <v/>
      </c>
      <c r="M497" s="68" t="inlineStr">
        <is>
          <t>STATEMENT AS REGISTERED</t>
        </is>
      </c>
      <c r="N497" s="68" t="n"/>
      <c r="O497" s="68" t="n"/>
      <c r="P497" s="64">
        <f>IF(O497&lt;&gt;"",O497,LEFT(D497,2))</f>
        <v/>
      </c>
      <c r="Q497" s="64">
        <f>IF(O497&lt;&gt;"","Standards §6",IF(M497="HEADING ONLY","Derived from heading — PROVISIONAL",IF(M497="TEXT NOT IN REGISTRY","No text to derive from — PROVISIONAL","Derived from registered statement")))</f>
        <v/>
      </c>
      <c r="R497" s="64">
        <f>IF(OR(LEFT(G497,1)="A",L497="COUNTS",ISNUMBER(SEARCH("V1",P497)),ISNUMBER(SEARCH("V2",P497)),ISNUMBER(SEARCH("V5",P497))),"A — 100%","B — sample ≥ 30%")</f>
        <v/>
      </c>
      <c r="S497" s="67" t="n"/>
      <c r="T497" s="67" t="n"/>
      <c r="U497" s="67" t="n"/>
      <c r="V497" s="67" t="n"/>
      <c r="W497" s="67" t="n"/>
      <c r="X497" s="67" t="n"/>
    </row>
    <row r="498" ht="32.8" customHeight="1" s="45">
      <c r="A498" s="65" t="inlineStr">
        <is>
          <t>ENT-6</t>
        </is>
      </c>
      <c r="B498" s="66" t="inlineStr">
        <is>
          <t>entitlement_service_v1</t>
        </is>
      </c>
      <c r="C498" s="66" t="inlineStr">
        <is>
          <t>PROPOSED</t>
        </is>
      </c>
      <c r="D498" s="66" t="inlineStr">
        <is>
          <t>V5 — Failure-injection demonstration</t>
        </is>
      </c>
      <c r="E498" s="66" t="n"/>
      <c r="F498" s="66" t="inlineStr">
        <is>
          <t>Dependency made unreachable or check made to error; observed refusal; no result returned; stale marker where degradation is the ruled posture</t>
        </is>
      </c>
      <c r="G498" s="66" t="inlineStr">
        <is>
          <t>A — 100%</t>
        </is>
      </c>
      <c r="H498" s="67" t="n"/>
      <c r="I498" s="67" t="n"/>
      <c r="J498" s="67" t="n"/>
      <c r="K498" s="64">
        <f>IFERROR(INDEX('Status Map'!$B$2:$B$12,MATCH(C498,'Status Map'!$A$2:$A$12,0)),"UNDEFINED")</f>
        <v/>
      </c>
      <c r="L498" s="64">
        <f>IFERROR(INDEX('Status Map'!$C$2:$C$12,MATCH(C498,'Status Map'!$A$2:$A$12,0)),"UNDEFINED")</f>
        <v/>
      </c>
      <c r="M498" s="68" t="inlineStr">
        <is>
          <t>STATEMENT AS REGISTERED</t>
        </is>
      </c>
      <c r="N498" s="68" t="n"/>
      <c r="O498" s="68" t="n"/>
      <c r="P498" s="64">
        <f>IF(O498&lt;&gt;"",O498,LEFT(D498,2))</f>
        <v/>
      </c>
      <c r="Q498" s="64">
        <f>IF(O498&lt;&gt;"","Standards §6",IF(M498="HEADING ONLY","Derived from heading — PROVISIONAL",IF(M498="TEXT NOT IN REGISTRY","No text to derive from — PROVISIONAL","Derived from registered statement")))</f>
        <v/>
      </c>
      <c r="R498" s="64">
        <f>IF(OR(LEFT(G498,1)="A",L498="COUNTS",ISNUMBER(SEARCH("V1",P498)),ISNUMBER(SEARCH("V2",P498)),ISNUMBER(SEARCH("V5",P498))),"A — 100%","B — sample ≥ 30%")</f>
        <v/>
      </c>
      <c r="S498" s="67" t="n"/>
      <c r="T498" s="67" t="n"/>
      <c r="U498" s="67" t="n"/>
      <c r="V498" s="67" t="n"/>
      <c r="W498" s="67" t="n"/>
      <c r="X498" s="67" t="n"/>
    </row>
    <row r="499" ht="22.35" customHeight="1" s="45">
      <c r="A499" s="65" t="inlineStr">
        <is>
          <t>ENT-7</t>
        </is>
      </c>
      <c r="B499" s="66" t="inlineStr">
        <is>
          <t>entitlement_service_v1</t>
        </is>
      </c>
      <c r="C499" s="66" t="inlineStr">
        <is>
          <t>PROPOSED</t>
        </is>
      </c>
      <c r="D499" s="66" t="inlineStr">
        <is>
          <t>V2 — Structural evidence</t>
        </is>
      </c>
      <c r="E499" s="66" t="inlineStr">
        <is>
          <t>V3</t>
        </is>
      </c>
      <c r="F499" s="66" t="inlineStr">
        <is>
          <t>Negative-scan or AST rule present, named, and green in CI; scan surface stated</t>
        </is>
      </c>
      <c r="G499" s="66" t="inlineStr">
        <is>
          <t>A — 100%</t>
        </is>
      </c>
      <c r="H499" s="67" t="n"/>
      <c r="I499" s="67" t="n"/>
      <c r="J499" s="67" t="n"/>
      <c r="K499" s="64">
        <f>IFERROR(INDEX('Status Map'!$B$2:$B$12,MATCH(C499,'Status Map'!$A$2:$A$12,0)),"UNDEFINED")</f>
        <v/>
      </c>
      <c r="L499" s="64">
        <f>IFERROR(INDEX('Status Map'!$C$2:$C$12,MATCH(C499,'Status Map'!$A$2:$A$12,0)),"UNDEFINED")</f>
        <v/>
      </c>
      <c r="M499" s="68" t="inlineStr">
        <is>
          <t>STATEMENT AS REGISTERED</t>
        </is>
      </c>
      <c r="N499" s="68" t="n"/>
      <c r="O499" s="68" t="n"/>
      <c r="P499" s="64">
        <f>IF(O499&lt;&gt;"",O499,LEFT(D499,2))</f>
        <v/>
      </c>
      <c r="Q499" s="64">
        <f>IF(O499&lt;&gt;"","Standards §6",IF(M499="HEADING ONLY","Derived from heading — PROVISIONAL",IF(M499="TEXT NOT IN REGISTRY","No text to derive from — PROVISIONAL","Derived from registered statement")))</f>
        <v/>
      </c>
      <c r="R499" s="64">
        <f>IF(OR(LEFT(G499,1)="A",L499="COUNTS",ISNUMBER(SEARCH("V1",P499)),ISNUMBER(SEARCH("V2",P499)),ISNUMBER(SEARCH("V5",P499))),"A — 100%","B — sample ≥ 30%")</f>
        <v/>
      </c>
      <c r="S499" s="67" t="n"/>
      <c r="T499" s="67" t="n"/>
      <c r="U499" s="67" t="n"/>
      <c r="V499" s="67" t="n"/>
      <c r="W499" s="67" t="n"/>
      <c r="X499" s="67" t="n"/>
    </row>
    <row r="500" ht="22.35" customHeight="1" s="45">
      <c r="A500" s="65" t="inlineStr">
        <is>
          <t>ENT-8</t>
        </is>
      </c>
      <c r="B500" s="66" t="inlineStr">
        <is>
          <t>entitlement_service_v1</t>
        </is>
      </c>
      <c r="C500" s="66" t="inlineStr">
        <is>
          <t>PROPOSED</t>
        </is>
      </c>
      <c r="D500" s="66" t="inlineStr">
        <is>
          <t>V3 — Record evidence</t>
        </is>
      </c>
      <c r="E500" s="66" t="n"/>
      <c r="F500" s="66" t="inlineStr">
        <is>
          <t>Ledger rows inspected; hash-chain verifier receipt; refused operations present on identical terms</t>
        </is>
      </c>
      <c r="G500" s="66" t="inlineStr">
        <is>
          <t>B — sample ≥ 30%</t>
        </is>
      </c>
      <c r="H500" s="67" t="n"/>
      <c r="I500" s="67" t="n"/>
      <c r="J500" s="67" t="n"/>
      <c r="K500" s="64">
        <f>IFERROR(INDEX('Status Map'!$B$2:$B$12,MATCH(C500,'Status Map'!$A$2:$A$12,0)),"UNDEFINED")</f>
        <v/>
      </c>
      <c r="L500" s="64">
        <f>IFERROR(INDEX('Status Map'!$C$2:$C$12,MATCH(C500,'Status Map'!$A$2:$A$12,0)),"UNDEFINED")</f>
        <v/>
      </c>
      <c r="M500" s="68" t="inlineStr">
        <is>
          <t>STATEMENT AS REGISTERED</t>
        </is>
      </c>
      <c r="N500" s="68" t="n"/>
      <c r="O500" s="68" t="n"/>
      <c r="P500" s="64">
        <f>IF(O500&lt;&gt;"",O500,LEFT(D500,2))</f>
        <v/>
      </c>
      <c r="Q500" s="64">
        <f>IF(O500&lt;&gt;"","Standards §6",IF(M500="HEADING ONLY","Derived from heading — PROVISIONAL",IF(M500="TEXT NOT IN REGISTRY","No text to derive from — PROVISIONAL","Derived from registered statement")))</f>
        <v/>
      </c>
      <c r="R500" s="64">
        <f>IF(OR(LEFT(G500,1)="A",L500="COUNTS",ISNUMBER(SEARCH("V1",P500)),ISNUMBER(SEARCH("V2",P500)),ISNUMBER(SEARCH("V5",P500))),"A — 100%","B — sample ≥ 30%")</f>
        <v/>
      </c>
      <c r="S500" s="67" t="n"/>
      <c r="T500" s="67" t="n"/>
      <c r="U500" s="67" t="n"/>
      <c r="V500" s="67" t="n"/>
      <c r="W500" s="67" t="n"/>
      <c r="X500" s="67" t="n"/>
    </row>
    <row r="501" ht="22.35" customHeight="1" s="45">
      <c r="A501" s="65" t="inlineStr">
        <is>
          <t>ENT-9</t>
        </is>
      </c>
      <c r="B501" s="66" t="inlineStr">
        <is>
          <t>entitlement_service_v1</t>
        </is>
      </c>
      <c r="C501" s="66" t="inlineStr">
        <is>
          <t>PROPOSED</t>
        </is>
      </c>
      <c r="D501" s="66" t="inlineStr">
        <is>
          <t>V1 — Test evidence</t>
        </is>
      </c>
      <c r="E501" s="66" t="n"/>
      <c r="F501" s="66" t="inlineStr">
        <is>
          <t>Golden-input, byte-identical output; RED-first test ID; ratchet manifest entry</t>
        </is>
      </c>
      <c r="G501" s="66" t="inlineStr">
        <is>
          <t>A — 100%</t>
        </is>
      </c>
      <c r="H501" s="67" t="n"/>
      <c r="I501" s="67" t="n"/>
      <c r="J501" s="67" t="n"/>
      <c r="K501" s="64">
        <f>IFERROR(INDEX('Status Map'!$B$2:$B$12,MATCH(C501,'Status Map'!$A$2:$A$12,0)),"UNDEFINED")</f>
        <v/>
      </c>
      <c r="L501" s="64">
        <f>IFERROR(INDEX('Status Map'!$C$2:$C$12,MATCH(C501,'Status Map'!$A$2:$A$12,0)),"UNDEFINED")</f>
        <v/>
      </c>
      <c r="M501" s="68" t="inlineStr">
        <is>
          <t>STATEMENT AS REGISTERED</t>
        </is>
      </c>
      <c r="N501" s="68" t="n"/>
      <c r="O501" s="68" t="n"/>
      <c r="P501" s="64">
        <f>IF(O501&lt;&gt;"",O501,LEFT(D501,2))</f>
        <v/>
      </c>
      <c r="Q501" s="64">
        <f>IF(O501&lt;&gt;"","Standards §6",IF(M501="HEADING ONLY","Derived from heading — PROVISIONAL",IF(M501="TEXT NOT IN REGISTRY","No text to derive from — PROVISIONAL","Derived from registered statement")))</f>
        <v/>
      </c>
      <c r="R501" s="64">
        <f>IF(OR(LEFT(G501,1)="A",L501="COUNTS",ISNUMBER(SEARCH("V1",P501)),ISNUMBER(SEARCH("V2",P501)),ISNUMBER(SEARCH("V5",P501))),"A — 100%","B — sample ≥ 30%")</f>
        <v/>
      </c>
      <c r="S501" s="67" t="n"/>
      <c r="T501" s="67" t="n"/>
      <c r="U501" s="67" t="n"/>
      <c r="V501" s="67" t="n"/>
      <c r="W501" s="67" t="n"/>
      <c r="X501" s="67" t="n"/>
    </row>
    <row r="502" ht="22.35" customHeight="1" s="45">
      <c r="A502" s="65" t="inlineStr">
        <is>
          <t>ENT-10</t>
        </is>
      </c>
      <c r="B502" s="66" t="inlineStr">
        <is>
          <t>entitlement_service_v1</t>
        </is>
      </c>
      <c r="C502" s="66" t="inlineStr">
        <is>
          <t>PROPOSED</t>
        </is>
      </c>
      <c r="D502" s="66" t="inlineStr">
        <is>
          <t>V4 — Governance-record evidence</t>
        </is>
      </c>
      <c r="E502" s="66" t="n"/>
      <c r="F502" s="66" t="inlineStr">
        <is>
          <t>DECISIONS.md entry; ceremony record with tier, countersign, countdown, apply, re-verify; canon_ref present</t>
        </is>
      </c>
      <c r="G502" s="66" t="inlineStr">
        <is>
          <t>B — sample ≥ 30%</t>
        </is>
      </c>
      <c r="H502" s="67" t="n"/>
      <c r="I502" s="67" t="n"/>
      <c r="J502" s="67" t="n"/>
      <c r="K502" s="64">
        <f>IFERROR(INDEX('Status Map'!$B$2:$B$12,MATCH(C502,'Status Map'!$A$2:$A$12,0)),"UNDEFINED")</f>
        <v/>
      </c>
      <c r="L502" s="64">
        <f>IFERROR(INDEX('Status Map'!$C$2:$C$12,MATCH(C502,'Status Map'!$A$2:$A$12,0)),"UNDEFINED")</f>
        <v/>
      </c>
      <c r="M502" s="68" t="inlineStr">
        <is>
          <t>STATEMENT AS REGISTERED</t>
        </is>
      </c>
      <c r="N502" s="68" t="n"/>
      <c r="O502" s="68" t="n"/>
      <c r="P502" s="64">
        <f>IF(O502&lt;&gt;"",O502,LEFT(D502,2))</f>
        <v/>
      </c>
      <c r="Q502" s="64">
        <f>IF(O502&lt;&gt;"","Standards §6",IF(M502="HEADING ONLY","Derived from heading — PROVISIONAL",IF(M502="TEXT NOT IN REGISTRY","No text to derive from — PROVISIONAL","Derived from registered statement")))</f>
        <v/>
      </c>
      <c r="R502" s="64">
        <f>IF(OR(LEFT(G502,1)="A",L502="COUNTS",ISNUMBER(SEARCH("V1",P502)),ISNUMBER(SEARCH("V2",P502)),ISNUMBER(SEARCH("V5",P502))),"A — 100%","B — sample ≥ 30%")</f>
        <v/>
      </c>
      <c r="S502" s="67" t="n"/>
      <c r="T502" s="67" t="n"/>
      <c r="U502" s="67" t="n"/>
      <c r="V502" s="67" t="n"/>
      <c r="W502" s="67" t="n"/>
      <c r="X502" s="67" t="n"/>
    </row>
    <row r="503" ht="32.8" customHeight="1" s="45">
      <c r="A503" s="65" t="inlineStr">
        <is>
          <t>ENT-11</t>
        </is>
      </c>
      <c r="B503" s="66" t="inlineStr">
        <is>
          <t>entitlement_service_v1</t>
        </is>
      </c>
      <c r="C503" s="66" t="inlineStr">
        <is>
          <t>PROPOSED</t>
        </is>
      </c>
      <c r="D503" s="66" t="inlineStr">
        <is>
          <t>V5 — Failure-injection demonstration</t>
        </is>
      </c>
      <c r="E503" s="66" t="n"/>
      <c r="F503" s="66" t="inlineStr">
        <is>
          <t>Dependency made unreachable or check made to error; observed refusal; no result returned; stale marker where degradation is the ruled posture</t>
        </is>
      </c>
      <c r="G503" s="66" t="inlineStr">
        <is>
          <t>A — 100%</t>
        </is>
      </c>
      <c r="H503" s="67" t="n"/>
      <c r="I503" s="67" t="n"/>
      <c r="J503" s="67" t="n"/>
      <c r="K503" s="64">
        <f>IFERROR(INDEX('Status Map'!$B$2:$B$12,MATCH(C503,'Status Map'!$A$2:$A$12,0)),"UNDEFINED")</f>
        <v/>
      </c>
      <c r="L503" s="64">
        <f>IFERROR(INDEX('Status Map'!$C$2:$C$12,MATCH(C503,'Status Map'!$A$2:$A$12,0)),"UNDEFINED")</f>
        <v/>
      </c>
      <c r="M503" s="68" t="inlineStr">
        <is>
          <t>STATEMENT AS REGISTERED</t>
        </is>
      </c>
      <c r="N503" s="68" t="n"/>
      <c r="O503" s="68" t="n"/>
      <c r="P503" s="64">
        <f>IF(O503&lt;&gt;"",O503,LEFT(D503,2))</f>
        <v/>
      </c>
      <c r="Q503" s="64">
        <f>IF(O503&lt;&gt;"","Standards §6",IF(M503="HEADING ONLY","Derived from heading — PROVISIONAL",IF(M503="TEXT NOT IN REGISTRY","No text to derive from — PROVISIONAL","Derived from registered statement")))</f>
        <v/>
      </c>
      <c r="R503" s="64">
        <f>IF(OR(LEFT(G503,1)="A",L503="COUNTS",ISNUMBER(SEARCH("V1",P503)),ISNUMBER(SEARCH("V2",P503)),ISNUMBER(SEARCH("V5",P503))),"A — 100%","B — sample ≥ 30%")</f>
        <v/>
      </c>
      <c r="S503" s="67" t="n"/>
      <c r="T503" s="67" t="n"/>
      <c r="U503" s="67" t="n"/>
      <c r="V503" s="67" t="n"/>
      <c r="W503" s="67" t="n"/>
      <c r="X503" s="67" t="n"/>
    </row>
    <row r="504" ht="22.35" customHeight="1" s="45">
      <c r="A504" s="65" t="inlineStr">
        <is>
          <t>ENT-12</t>
        </is>
      </c>
      <c r="B504" s="66" t="inlineStr">
        <is>
          <t>entitlement_service_v1</t>
        </is>
      </c>
      <c r="C504" s="66" t="inlineStr">
        <is>
          <t>PROPOSED</t>
        </is>
      </c>
      <c r="D504" s="66" t="inlineStr">
        <is>
          <t>V4 — Governance-record evidence</t>
        </is>
      </c>
      <c r="E504" s="66" t="n"/>
      <c r="F504" s="66" t="inlineStr">
        <is>
          <t>DECISIONS.md entry; ceremony record with tier, countersign, countdown, apply, re-verify; canon_ref present</t>
        </is>
      </c>
      <c r="G504" s="66" t="inlineStr">
        <is>
          <t>B — sample ≥ 30%</t>
        </is>
      </c>
      <c r="H504" s="67" t="n"/>
      <c r="I504" s="67" t="n"/>
      <c r="J504" s="67" t="n"/>
      <c r="K504" s="64">
        <f>IFERROR(INDEX('Status Map'!$B$2:$B$12,MATCH(C504,'Status Map'!$A$2:$A$12,0)),"UNDEFINED")</f>
        <v/>
      </c>
      <c r="L504" s="64">
        <f>IFERROR(INDEX('Status Map'!$C$2:$C$12,MATCH(C504,'Status Map'!$A$2:$A$12,0)),"UNDEFINED")</f>
        <v/>
      </c>
      <c r="M504" s="68" t="inlineStr">
        <is>
          <t>STATEMENT AS REGISTERED</t>
        </is>
      </c>
      <c r="N504" s="68" t="n"/>
      <c r="O504" s="68" t="n"/>
      <c r="P504" s="64">
        <f>IF(O504&lt;&gt;"",O504,LEFT(D504,2))</f>
        <v/>
      </c>
      <c r="Q504" s="64">
        <f>IF(O504&lt;&gt;"","Standards §6",IF(M504="HEADING ONLY","Derived from heading — PROVISIONAL",IF(M504="TEXT NOT IN REGISTRY","No text to derive from — PROVISIONAL","Derived from registered statement")))</f>
        <v/>
      </c>
      <c r="R504" s="64">
        <f>IF(OR(LEFT(G504,1)="A",L504="COUNTS",ISNUMBER(SEARCH("V1",P504)),ISNUMBER(SEARCH("V2",P504)),ISNUMBER(SEARCH("V5",P504))),"A — 100%","B — sample ≥ 30%")</f>
        <v/>
      </c>
      <c r="S504" s="67" t="n"/>
      <c r="T504" s="67" t="n"/>
      <c r="U504" s="67" t="n"/>
      <c r="V504" s="67" t="n"/>
      <c r="W504" s="67" t="n"/>
      <c r="X504" s="67" t="n"/>
    </row>
    <row r="505" ht="22.35" customHeight="1" s="45">
      <c r="A505" s="65" t="inlineStr">
        <is>
          <t>ENT-13</t>
        </is>
      </c>
      <c r="B505" s="66" t="inlineStr">
        <is>
          <t>entitlement_service_v1</t>
        </is>
      </c>
      <c r="C505" s="66" t="inlineStr">
        <is>
          <t>PROPOSED</t>
        </is>
      </c>
      <c r="D505" s="66" t="inlineStr">
        <is>
          <t>V4 — Governance-record evidence</t>
        </is>
      </c>
      <c r="E505" s="66" t="inlineStr">
        <is>
          <t>V6</t>
        </is>
      </c>
      <c r="F505" s="66" t="inlineStr">
        <is>
          <t>DECISIONS.md entry; ceremony record with tier, countersign, countdown, apply, re-verify; canon_ref present</t>
        </is>
      </c>
      <c r="G505" s="66" t="inlineStr">
        <is>
          <t>B — sample ≥ 30%</t>
        </is>
      </c>
      <c r="H505" s="67" t="n"/>
      <c r="I505" s="67" t="n"/>
      <c r="J505" s="67" t="n"/>
      <c r="K505" s="64">
        <f>IFERROR(INDEX('Status Map'!$B$2:$B$12,MATCH(C505,'Status Map'!$A$2:$A$12,0)),"UNDEFINED")</f>
        <v/>
      </c>
      <c r="L505" s="64">
        <f>IFERROR(INDEX('Status Map'!$C$2:$C$12,MATCH(C505,'Status Map'!$A$2:$A$12,0)),"UNDEFINED")</f>
        <v/>
      </c>
      <c r="M505" s="68" t="inlineStr">
        <is>
          <t>STATEMENT AS REGISTERED</t>
        </is>
      </c>
      <c r="N505" s="68" t="n"/>
      <c r="O505" s="68" t="n"/>
      <c r="P505" s="64">
        <f>IF(O505&lt;&gt;"",O505,LEFT(D505,2))</f>
        <v/>
      </c>
      <c r="Q505" s="64">
        <f>IF(O505&lt;&gt;"","Standards §6",IF(M505="HEADING ONLY","Derived from heading — PROVISIONAL",IF(M505="TEXT NOT IN REGISTRY","No text to derive from — PROVISIONAL","Derived from registered statement")))</f>
        <v/>
      </c>
      <c r="R505" s="64">
        <f>IF(OR(LEFT(G505,1)="A",L505="COUNTS",ISNUMBER(SEARCH("V1",P505)),ISNUMBER(SEARCH("V2",P505)),ISNUMBER(SEARCH("V5",P505))),"A — 100%","B — sample ≥ 30%")</f>
        <v/>
      </c>
      <c r="S505" s="67" t="n"/>
      <c r="T505" s="67" t="n"/>
      <c r="U505" s="67" t="n"/>
      <c r="V505" s="67" t="n"/>
      <c r="W505" s="67" t="n"/>
      <c r="X505" s="67" t="n"/>
    </row>
    <row r="506" ht="22.35" customHeight="1" s="45">
      <c r="A506" s="65" t="inlineStr">
        <is>
          <t>ENT-14</t>
        </is>
      </c>
      <c r="B506" s="66" t="inlineStr">
        <is>
          <t>entitlement_service_v1</t>
        </is>
      </c>
      <c r="C506" s="66" t="inlineStr">
        <is>
          <t>PROPOSED</t>
        </is>
      </c>
      <c r="D506" s="66" t="inlineStr">
        <is>
          <t>V7 — Document &amp; design inspection</t>
        </is>
      </c>
      <c r="E506" s="66" t="n"/>
      <c r="F506" s="66" t="inlineStr">
        <is>
          <t>Specification text against implementation description; provenance sections; objective card lines</t>
        </is>
      </c>
      <c r="G506" s="66" t="inlineStr">
        <is>
          <t>B — sample ≥ 30%</t>
        </is>
      </c>
      <c r="H506" s="67" t="n"/>
      <c r="I506" s="67" t="n"/>
      <c r="J506" s="67" t="n"/>
      <c r="K506" s="64">
        <f>IFERROR(INDEX('Status Map'!$B$2:$B$12,MATCH(C506,'Status Map'!$A$2:$A$12,0)),"UNDEFINED")</f>
        <v/>
      </c>
      <c r="L506" s="64">
        <f>IFERROR(INDEX('Status Map'!$C$2:$C$12,MATCH(C506,'Status Map'!$A$2:$A$12,0)),"UNDEFINED")</f>
        <v/>
      </c>
      <c r="M506" s="68" t="inlineStr">
        <is>
          <t>STATEMENT AS REGISTERED</t>
        </is>
      </c>
      <c r="N506" s="68" t="n"/>
      <c r="O506" s="68" t="n"/>
      <c r="P506" s="64">
        <f>IF(O506&lt;&gt;"",O506,LEFT(D506,2))</f>
        <v/>
      </c>
      <c r="Q506" s="64">
        <f>IF(O506&lt;&gt;"","Standards §6",IF(M506="HEADING ONLY","Derived from heading — PROVISIONAL",IF(M506="TEXT NOT IN REGISTRY","No text to derive from — PROVISIONAL","Derived from registered statement")))</f>
        <v/>
      </c>
      <c r="R506" s="64">
        <f>IF(OR(LEFT(G506,1)="A",L506="COUNTS",ISNUMBER(SEARCH("V1",P506)),ISNUMBER(SEARCH("V2",P506)),ISNUMBER(SEARCH("V5",P506))),"A — 100%","B — sample ≥ 30%")</f>
        <v/>
      </c>
      <c r="S506" s="67" t="n"/>
      <c r="T506" s="67" t="n"/>
      <c r="U506" s="67" t="n"/>
      <c r="V506" s="67" t="n"/>
      <c r="W506" s="67" t="n"/>
      <c r="X506" s="67" t="n"/>
    </row>
    <row r="507" ht="22.35" customHeight="1" s="45">
      <c r="A507" s="65" t="inlineStr">
        <is>
          <t>ENT-15</t>
        </is>
      </c>
      <c r="B507" s="66" t="inlineStr">
        <is>
          <t>entitlement_service_v1</t>
        </is>
      </c>
      <c r="C507" s="66" t="inlineStr">
        <is>
          <t>PROPOSED</t>
        </is>
      </c>
      <c r="D507" s="66" t="inlineStr">
        <is>
          <t>V7 — Document &amp; design inspection</t>
        </is>
      </c>
      <c r="E507" s="66" t="n"/>
      <c r="F507" s="66" t="inlineStr">
        <is>
          <t>Specification text against implementation description; provenance sections; objective card lines</t>
        </is>
      </c>
      <c r="G507" s="66" t="inlineStr">
        <is>
          <t>B — sample ≥ 30%</t>
        </is>
      </c>
      <c r="H507" s="67" t="n"/>
      <c r="I507" s="67" t="n"/>
      <c r="J507" s="67" t="n"/>
      <c r="K507" s="64">
        <f>IFERROR(INDEX('Status Map'!$B$2:$B$12,MATCH(C507,'Status Map'!$A$2:$A$12,0)),"UNDEFINED")</f>
        <v/>
      </c>
      <c r="L507" s="64">
        <f>IFERROR(INDEX('Status Map'!$C$2:$C$12,MATCH(C507,'Status Map'!$A$2:$A$12,0)),"UNDEFINED")</f>
        <v/>
      </c>
      <c r="M507" s="68" t="inlineStr">
        <is>
          <t>STATEMENT AS REGISTERED</t>
        </is>
      </c>
      <c r="N507" s="68" t="n"/>
      <c r="O507" s="68" t="n"/>
      <c r="P507" s="64">
        <f>IF(O507&lt;&gt;"",O507,LEFT(D507,2))</f>
        <v/>
      </c>
      <c r="Q507" s="64">
        <f>IF(O507&lt;&gt;"","Standards §6",IF(M507="HEADING ONLY","Derived from heading — PROVISIONAL",IF(M507="TEXT NOT IN REGISTRY","No text to derive from — PROVISIONAL","Derived from registered statement")))</f>
        <v/>
      </c>
      <c r="R507" s="64">
        <f>IF(OR(LEFT(G507,1)="A",L507="COUNTS",ISNUMBER(SEARCH("V1",P507)),ISNUMBER(SEARCH("V2",P507)),ISNUMBER(SEARCH("V5",P507))),"A — 100%","B — sample ≥ 30%")</f>
        <v/>
      </c>
      <c r="S507" s="67" t="n"/>
      <c r="T507" s="67" t="n"/>
      <c r="U507" s="67" t="n"/>
      <c r="V507" s="67" t="n"/>
      <c r="W507" s="67" t="n"/>
      <c r="X507" s="67" t="n"/>
    </row>
    <row r="508" ht="32.8" customHeight="1" s="45">
      <c r="A508" s="65" t="inlineStr">
        <is>
          <t>ENT-16</t>
        </is>
      </c>
      <c r="B508" s="66" t="inlineStr">
        <is>
          <t>entitlement_service_v1</t>
        </is>
      </c>
      <c r="C508" s="66" t="inlineStr">
        <is>
          <t>PROPOSED</t>
        </is>
      </c>
      <c r="D508" s="66" t="inlineStr">
        <is>
          <t>V5 — Failure-injection demonstration</t>
        </is>
      </c>
      <c r="E508" s="66" t="n"/>
      <c r="F508" s="66" t="inlineStr">
        <is>
          <t>Dependency made unreachable or check made to error; observed refusal; no result returned; stale marker where degradation is the ruled posture</t>
        </is>
      </c>
      <c r="G508" s="66" t="inlineStr">
        <is>
          <t>A — 100%</t>
        </is>
      </c>
      <c r="H508" s="67" t="n"/>
      <c r="I508" s="67" t="n"/>
      <c r="J508" s="67" t="n"/>
      <c r="K508" s="64">
        <f>IFERROR(INDEX('Status Map'!$B$2:$B$12,MATCH(C508,'Status Map'!$A$2:$A$12,0)),"UNDEFINED")</f>
        <v/>
      </c>
      <c r="L508" s="64">
        <f>IFERROR(INDEX('Status Map'!$C$2:$C$12,MATCH(C508,'Status Map'!$A$2:$A$12,0)),"UNDEFINED")</f>
        <v/>
      </c>
      <c r="M508" s="68" t="inlineStr">
        <is>
          <t>STATEMENT AS REGISTERED</t>
        </is>
      </c>
      <c r="N508" s="68" t="inlineStr">
        <is>
          <t>C-6.11.1</t>
        </is>
      </c>
      <c r="O508" s="68" t="inlineStr">
        <is>
          <t>V5</t>
        </is>
      </c>
      <c r="P508" s="64">
        <f>IF(O508&lt;&gt;"",O508,LEFT(D508,2))</f>
        <v/>
      </c>
      <c r="Q508" s="64">
        <f>IF(O508&lt;&gt;"","Standards §6",IF(M508="HEADING ONLY","Derived from heading — PROVISIONAL",IF(M508="TEXT NOT IN REGISTRY","No text to derive from — PROVISIONAL","Derived from registered statement")))</f>
        <v/>
      </c>
      <c r="R508" s="64">
        <f>IF(OR(LEFT(G508,1)="A",L508="COUNTS",ISNUMBER(SEARCH("V1",P508)),ISNUMBER(SEARCH("V2",P508)),ISNUMBER(SEARCH("V5",P508))),"A — 100%","B — sample ≥ 30%")</f>
        <v/>
      </c>
      <c r="S508" s="67" t="n"/>
      <c r="T508" s="67" t="n"/>
      <c r="U508" s="67" t="n"/>
      <c r="V508" s="67" t="n"/>
      <c r="W508" s="67" t="n"/>
      <c r="X508" s="67" t="n"/>
    </row>
    <row r="509" ht="22.35" customHeight="1" s="45">
      <c r="A509" s="65" t="inlineStr">
        <is>
          <t>ENT-17</t>
        </is>
      </c>
      <c r="B509" s="66" t="inlineStr">
        <is>
          <t>entitlement_service_v1</t>
        </is>
      </c>
      <c r="C509" s="66" t="inlineStr">
        <is>
          <t>PROPOSED</t>
        </is>
      </c>
      <c r="D509" s="66" t="inlineStr">
        <is>
          <t>V7 — Document &amp; design inspection</t>
        </is>
      </c>
      <c r="E509" s="66" t="n"/>
      <c r="F509" s="66" t="inlineStr">
        <is>
          <t>Specification text against implementation description; provenance sections; objective card lines</t>
        </is>
      </c>
      <c r="G509" s="66" t="inlineStr">
        <is>
          <t>B — sample ≥ 30%</t>
        </is>
      </c>
      <c r="H509" s="67" t="n"/>
      <c r="I509" s="67" t="n"/>
      <c r="J509" s="67" t="n"/>
      <c r="K509" s="64">
        <f>IFERROR(INDEX('Status Map'!$B$2:$B$12,MATCH(C509,'Status Map'!$A$2:$A$12,0)),"UNDEFINED")</f>
        <v/>
      </c>
      <c r="L509" s="64">
        <f>IFERROR(INDEX('Status Map'!$C$2:$C$12,MATCH(C509,'Status Map'!$A$2:$A$12,0)),"UNDEFINED")</f>
        <v/>
      </c>
      <c r="M509" s="68" t="inlineStr">
        <is>
          <t>STATEMENT AS REGISTERED</t>
        </is>
      </c>
      <c r="N509" s="68" t="inlineStr">
        <is>
          <t>C-6.11.2</t>
        </is>
      </c>
      <c r="O509" s="68" t="inlineStr">
        <is>
          <t>V2</t>
        </is>
      </c>
      <c r="P509" s="64">
        <f>IF(O509&lt;&gt;"",O509,LEFT(D509,2))</f>
        <v/>
      </c>
      <c r="Q509" s="64">
        <f>IF(O509&lt;&gt;"","Standards §6",IF(M509="HEADING ONLY","Derived from heading — PROVISIONAL",IF(M509="TEXT NOT IN REGISTRY","No text to derive from — PROVISIONAL","Derived from registered statement")))</f>
        <v/>
      </c>
      <c r="R509" s="64">
        <f>IF(OR(LEFT(G509,1)="A",L509="COUNTS",ISNUMBER(SEARCH("V1",P509)),ISNUMBER(SEARCH("V2",P509)),ISNUMBER(SEARCH("V5",P509))),"A — 100%","B — sample ≥ 30%")</f>
        <v/>
      </c>
      <c r="S509" s="67" t="n"/>
      <c r="T509" s="67" t="n"/>
      <c r="U509" s="67" t="n"/>
      <c r="V509" s="67" t="n"/>
      <c r="W509" s="67" t="n"/>
      <c r="X509" s="67" t="n"/>
    </row>
    <row r="510" ht="22.35" customHeight="1" s="45">
      <c r="A510" s="65" t="inlineStr">
        <is>
          <t>ENT-18</t>
        </is>
      </c>
      <c r="B510" s="66" t="inlineStr">
        <is>
          <t>entitlement_service_v1</t>
        </is>
      </c>
      <c r="C510" s="66" t="inlineStr">
        <is>
          <t>PROPOSED</t>
        </is>
      </c>
      <c r="D510" s="66" t="inlineStr">
        <is>
          <t>V2 — Structural evidence</t>
        </is>
      </c>
      <c r="E510" s="66" t="n"/>
      <c r="F510" s="66" t="inlineStr">
        <is>
          <t>Negative-scan or AST rule present, named, and green in CI; scan surface stated</t>
        </is>
      </c>
      <c r="G510" s="66" t="inlineStr">
        <is>
          <t>A — 100%</t>
        </is>
      </c>
      <c r="H510" s="67" t="n"/>
      <c r="I510" s="67" t="n"/>
      <c r="J510" s="67" t="n"/>
      <c r="K510" s="64">
        <f>IFERROR(INDEX('Status Map'!$B$2:$B$12,MATCH(C510,'Status Map'!$A$2:$A$12,0)),"UNDEFINED")</f>
        <v/>
      </c>
      <c r="L510" s="64">
        <f>IFERROR(INDEX('Status Map'!$C$2:$C$12,MATCH(C510,'Status Map'!$A$2:$A$12,0)),"UNDEFINED")</f>
        <v/>
      </c>
      <c r="M510" s="68" t="inlineStr">
        <is>
          <t>STATEMENT AS REGISTERED</t>
        </is>
      </c>
      <c r="N510" s="68" t="inlineStr">
        <is>
          <t>C-6.3.4</t>
        </is>
      </c>
      <c r="O510" s="68" t="inlineStr">
        <is>
          <t>V5</t>
        </is>
      </c>
      <c r="P510" s="64">
        <f>IF(O510&lt;&gt;"",O510,LEFT(D510,2))</f>
        <v/>
      </c>
      <c r="Q510" s="64">
        <f>IF(O510&lt;&gt;"","Standards §6",IF(M510="HEADING ONLY","Derived from heading — PROVISIONAL",IF(M510="TEXT NOT IN REGISTRY","No text to derive from — PROVISIONAL","Derived from registered statement")))</f>
        <v/>
      </c>
      <c r="R510" s="64">
        <f>IF(OR(LEFT(G510,1)="A",L510="COUNTS",ISNUMBER(SEARCH("V1",P510)),ISNUMBER(SEARCH("V2",P510)),ISNUMBER(SEARCH("V5",P510))),"A — 100%","B — sample ≥ 30%")</f>
        <v/>
      </c>
      <c r="S510" s="67" t="n"/>
      <c r="T510" s="67" t="n"/>
      <c r="U510" s="67" t="n"/>
      <c r="V510" s="67" t="n"/>
      <c r="W510" s="67" t="n"/>
      <c r="X510" s="67" t="n"/>
    </row>
    <row r="511" ht="22.35" customHeight="1" s="45">
      <c r="A511" s="65" t="inlineStr">
        <is>
          <t>ENT-19</t>
        </is>
      </c>
      <c r="B511" s="66" t="inlineStr">
        <is>
          <t>entitlement_service_v1</t>
        </is>
      </c>
      <c r="C511" s="66" t="inlineStr">
        <is>
          <t>PROPOSED</t>
        </is>
      </c>
      <c r="D511" s="66" t="inlineStr">
        <is>
          <t>V7 — Document &amp; design inspection</t>
        </is>
      </c>
      <c r="E511" s="66" t="n"/>
      <c r="F511" s="66" t="inlineStr">
        <is>
          <t>Specification text against implementation description; provenance sections; objective card lines</t>
        </is>
      </c>
      <c r="G511" s="66" t="inlineStr">
        <is>
          <t>B — sample ≥ 30%</t>
        </is>
      </c>
      <c r="H511" s="67" t="n"/>
      <c r="I511" s="67" t="n"/>
      <c r="J511" s="67" t="n"/>
      <c r="K511" s="64">
        <f>IFERROR(INDEX('Status Map'!$B$2:$B$12,MATCH(C511,'Status Map'!$A$2:$A$12,0)),"UNDEFINED")</f>
        <v/>
      </c>
      <c r="L511" s="64">
        <f>IFERROR(INDEX('Status Map'!$C$2:$C$12,MATCH(C511,'Status Map'!$A$2:$A$12,0)),"UNDEFINED")</f>
        <v/>
      </c>
      <c r="M511" s="68" t="inlineStr">
        <is>
          <t>STATEMENT AS REGISTERED</t>
        </is>
      </c>
      <c r="N511" s="68" t="n"/>
      <c r="O511" s="68" t="n"/>
      <c r="P511" s="64">
        <f>IF(O511&lt;&gt;"",O511,LEFT(D511,2))</f>
        <v/>
      </c>
      <c r="Q511" s="64">
        <f>IF(O511&lt;&gt;"","Standards §6",IF(M511="HEADING ONLY","Derived from heading — PROVISIONAL",IF(M511="TEXT NOT IN REGISTRY","No text to derive from — PROVISIONAL","Derived from registered statement")))</f>
        <v/>
      </c>
      <c r="R511" s="64">
        <f>IF(OR(LEFT(G511,1)="A",L511="COUNTS",ISNUMBER(SEARCH("V1",P511)),ISNUMBER(SEARCH("V2",P511)),ISNUMBER(SEARCH("V5",P511))),"A — 100%","B — sample ≥ 30%")</f>
        <v/>
      </c>
      <c r="S511" s="67" t="n"/>
      <c r="T511" s="67" t="n"/>
      <c r="U511" s="67" t="n"/>
      <c r="V511" s="67" t="n"/>
      <c r="W511" s="67" t="n"/>
      <c r="X511" s="67" t="n"/>
    </row>
    <row r="512" ht="22.35" customHeight="1" s="45">
      <c r="A512" s="65" t="inlineStr">
        <is>
          <t>ENT-20</t>
        </is>
      </c>
      <c r="B512" s="66" t="inlineStr">
        <is>
          <t>entitlement_service_v1</t>
        </is>
      </c>
      <c r="C512" s="66" t="inlineStr">
        <is>
          <t>PROPOSED</t>
        </is>
      </c>
      <c r="D512" s="66" t="inlineStr">
        <is>
          <t>V3 — Record evidence</t>
        </is>
      </c>
      <c r="E512" s="66" t="n"/>
      <c r="F512" s="66" t="inlineStr">
        <is>
          <t>Ledger rows inspected; hash-chain verifier receipt; refused operations present on identical terms</t>
        </is>
      </c>
      <c r="G512" s="66" t="inlineStr">
        <is>
          <t>B — sample ≥ 30%</t>
        </is>
      </c>
      <c r="H512" s="67" t="n"/>
      <c r="I512" s="67" t="n"/>
      <c r="J512" s="67" t="n"/>
      <c r="K512" s="64">
        <f>IFERROR(INDEX('Status Map'!$B$2:$B$12,MATCH(C512,'Status Map'!$A$2:$A$12,0)),"UNDEFINED")</f>
        <v/>
      </c>
      <c r="L512" s="64">
        <f>IFERROR(INDEX('Status Map'!$C$2:$C$12,MATCH(C512,'Status Map'!$A$2:$A$12,0)),"UNDEFINED")</f>
        <v/>
      </c>
      <c r="M512" s="68" t="inlineStr">
        <is>
          <t>STATEMENT AS REGISTERED</t>
        </is>
      </c>
      <c r="N512" s="68" t="n"/>
      <c r="O512" s="68" t="n"/>
      <c r="P512" s="64">
        <f>IF(O512&lt;&gt;"",O512,LEFT(D512,2))</f>
        <v/>
      </c>
      <c r="Q512" s="64">
        <f>IF(O512&lt;&gt;"","Standards §6",IF(M512="HEADING ONLY","Derived from heading — PROVISIONAL",IF(M512="TEXT NOT IN REGISTRY","No text to derive from — PROVISIONAL","Derived from registered statement")))</f>
        <v/>
      </c>
      <c r="R512" s="64">
        <f>IF(OR(LEFT(G512,1)="A",L512="COUNTS",ISNUMBER(SEARCH("V1",P512)),ISNUMBER(SEARCH("V2",P512)),ISNUMBER(SEARCH("V5",P512))),"A — 100%","B — sample ≥ 30%")</f>
        <v/>
      </c>
      <c r="S512" s="67" t="n"/>
      <c r="T512" s="67" t="n"/>
      <c r="U512" s="67" t="n"/>
      <c r="V512" s="67" t="n"/>
      <c r="W512" s="67" t="n"/>
      <c r="X512" s="67" t="n"/>
    </row>
    <row r="513" ht="22.35" customHeight="1" s="45">
      <c r="A513" s="65" t="inlineStr">
        <is>
          <t>ENT-21</t>
        </is>
      </c>
      <c r="B513" s="66" t="inlineStr">
        <is>
          <t>entitlement_service_v1</t>
        </is>
      </c>
      <c r="C513" s="66" t="inlineStr">
        <is>
          <t>PROPOSED</t>
        </is>
      </c>
      <c r="D513" s="66" t="inlineStr">
        <is>
          <t>V3 — Record evidence</t>
        </is>
      </c>
      <c r="E513" s="66" t="n"/>
      <c r="F513" s="66" t="inlineStr">
        <is>
          <t>Ledger rows inspected; hash-chain verifier receipt; refused operations present on identical terms</t>
        </is>
      </c>
      <c r="G513" s="66" t="inlineStr">
        <is>
          <t>B — sample ≥ 30%</t>
        </is>
      </c>
      <c r="H513" s="67" t="n"/>
      <c r="I513" s="67" t="n"/>
      <c r="J513" s="67" t="n"/>
      <c r="K513" s="64">
        <f>IFERROR(INDEX('Status Map'!$B$2:$B$12,MATCH(C513,'Status Map'!$A$2:$A$12,0)),"UNDEFINED")</f>
        <v/>
      </c>
      <c r="L513" s="64">
        <f>IFERROR(INDEX('Status Map'!$C$2:$C$12,MATCH(C513,'Status Map'!$A$2:$A$12,0)),"UNDEFINED")</f>
        <v/>
      </c>
      <c r="M513" s="68" t="inlineStr">
        <is>
          <t>STATEMENT AS REGISTERED</t>
        </is>
      </c>
      <c r="N513" s="68" t="n"/>
      <c r="O513" s="68" t="n"/>
      <c r="P513" s="64">
        <f>IF(O513&lt;&gt;"",O513,LEFT(D513,2))</f>
        <v/>
      </c>
      <c r="Q513" s="64">
        <f>IF(O513&lt;&gt;"","Standards §6",IF(M513="HEADING ONLY","Derived from heading — PROVISIONAL",IF(M513="TEXT NOT IN REGISTRY","No text to derive from — PROVISIONAL","Derived from registered statement")))</f>
        <v/>
      </c>
      <c r="R513" s="64">
        <f>IF(OR(LEFT(G513,1)="A",L513="COUNTS",ISNUMBER(SEARCH("V1",P513)),ISNUMBER(SEARCH("V2",P513)),ISNUMBER(SEARCH("V5",P513))),"A — 100%","B — sample ≥ 30%")</f>
        <v/>
      </c>
      <c r="S513" s="67" t="n"/>
      <c r="T513" s="67" t="n"/>
      <c r="U513" s="67" t="n"/>
      <c r="V513" s="67" t="n"/>
      <c r="W513" s="67" t="n"/>
      <c r="X513" s="67" t="n"/>
    </row>
    <row r="514" ht="22.35" customHeight="1" s="45">
      <c r="A514" s="65" t="inlineStr">
        <is>
          <t>ENT-22</t>
        </is>
      </c>
      <c r="B514" s="66" t="inlineStr">
        <is>
          <t>entitlement_service_v1</t>
        </is>
      </c>
      <c r="C514" s="66" t="inlineStr">
        <is>
          <t>PROPOSED</t>
        </is>
      </c>
      <c r="D514" s="66" t="inlineStr">
        <is>
          <t>V3 — Record evidence</t>
        </is>
      </c>
      <c r="E514" s="66" t="n"/>
      <c r="F514" s="66" t="inlineStr">
        <is>
          <t>Ledger rows inspected; hash-chain verifier receipt; refused operations present on identical terms</t>
        </is>
      </c>
      <c r="G514" s="66" t="inlineStr">
        <is>
          <t>B — sample ≥ 30%</t>
        </is>
      </c>
      <c r="H514" s="67" t="n"/>
      <c r="I514" s="67" t="n"/>
      <c r="J514" s="67" t="n"/>
      <c r="K514" s="64">
        <f>IFERROR(INDEX('Status Map'!$B$2:$B$12,MATCH(C514,'Status Map'!$A$2:$A$12,0)),"UNDEFINED")</f>
        <v/>
      </c>
      <c r="L514" s="64">
        <f>IFERROR(INDEX('Status Map'!$C$2:$C$12,MATCH(C514,'Status Map'!$A$2:$A$12,0)),"UNDEFINED")</f>
        <v/>
      </c>
      <c r="M514" s="68" t="inlineStr">
        <is>
          <t>STATEMENT AS REGISTERED</t>
        </is>
      </c>
      <c r="N514" s="68" t="inlineStr">
        <is>
          <t>C-6.11.3</t>
        </is>
      </c>
      <c r="O514" s="68" t="inlineStr">
        <is>
          <t>V2 + V3</t>
        </is>
      </c>
      <c r="P514" s="64">
        <f>IF(O514&lt;&gt;"",O514,LEFT(D514,2))</f>
        <v/>
      </c>
      <c r="Q514" s="64">
        <f>IF(O514&lt;&gt;"","Standards §6",IF(M514="HEADING ONLY","Derived from heading — PROVISIONAL",IF(M514="TEXT NOT IN REGISTRY","No text to derive from — PROVISIONAL","Derived from registered statement")))</f>
        <v/>
      </c>
      <c r="R514" s="64">
        <f>IF(OR(LEFT(G514,1)="A",L514="COUNTS",ISNUMBER(SEARCH("V1",P514)),ISNUMBER(SEARCH("V2",P514)),ISNUMBER(SEARCH("V5",P514))),"A — 100%","B — sample ≥ 30%")</f>
        <v/>
      </c>
      <c r="S514" s="67" t="n"/>
      <c r="T514" s="67" t="n"/>
      <c r="U514" s="67" t="n"/>
      <c r="V514" s="67" t="n"/>
      <c r="W514" s="67" t="n"/>
      <c r="X514" s="67" t="n"/>
    </row>
    <row r="515" ht="22.35" customHeight="1" s="45">
      <c r="A515" s="65" t="inlineStr">
        <is>
          <t>ENT-23</t>
        </is>
      </c>
      <c r="B515" s="66" t="inlineStr">
        <is>
          <t>entitlement_service_v1</t>
        </is>
      </c>
      <c r="C515" s="66" t="inlineStr">
        <is>
          <t>PROPOSED</t>
        </is>
      </c>
      <c r="D515" s="66" t="inlineStr">
        <is>
          <t>V6 — Surface inspection</t>
        </is>
      </c>
      <c r="E515" s="66" t="n"/>
      <c r="F515" s="66" t="inlineStr">
        <is>
          <t>DOM-bound substitution rule or harness receipt; fixed string verbatim; honest-gap variant rendered on null</t>
        </is>
      </c>
      <c r="G515" s="66" t="inlineStr">
        <is>
          <t>B — sample ≥ 30%</t>
        </is>
      </c>
      <c r="H515" s="67" t="n"/>
      <c r="I515" s="67" t="n"/>
      <c r="J515" s="67" t="n"/>
      <c r="K515" s="64">
        <f>IFERROR(INDEX('Status Map'!$B$2:$B$12,MATCH(C515,'Status Map'!$A$2:$A$12,0)),"UNDEFINED")</f>
        <v/>
      </c>
      <c r="L515" s="64">
        <f>IFERROR(INDEX('Status Map'!$C$2:$C$12,MATCH(C515,'Status Map'!$A$2:$A$12,0)),"UNDEFINED")</f>
        <v/>
      </c>
      <c r="M515" s="68" t="inlineStr">
        <is>
          <t>STATEMENT AS REGISTERED</t>
        </is>
      </c>
      <c r="N515" s="68" t="n"/>
      <c r="O515" s="68" t="n"/>
      <c r="P515" s="64">
        <f>IF(O515&lt;&gt;"",O515,LEFT(D515,2))</f>
        <v/>
      </c>
      <c r="Q515" s="64">
        <f>IF(O515&lt;&gt;"","Standards §6",IF(M515="HEADING ONLY","Derived from heading — PROVISIONAL",IF(M515="TEXT NOT IN REGISTRY","No text to derive from — PROVISIONAL","Derived from registered statement")))</f>
        <v/>
      </c>
      <c r="R515" s="64">
        <f>IF(OR(LEFT(G515,1)="A",L515="COUNTS",ISNUMBER(SEARCH("V1",P515)),ISNUMBER(SEARCH("V2",P515)),ISNUMBER(SEARCH("V5",P515))),"A — 100%","B — sample ≥ 30%")</f>
        <v/>
      </c>
      <c r="S515" s="67" t="n"/>
      <c r="T515" s="67" t="n"/>
      <c r="U515" s="67" t="n"/>
      <c r="V515" s="67" t="n"/>
      <c r="W515" s="67" t="n"/>
      <c r="X515" s="67" t="n"/>
    </row>
    <row r="516" ht="22.35" customHeight="1" s="45">
      <c r="A516" s="65" t="inlineStr">
        <is>
          <t>ENT-24</t>
        </is>
      </c>
      <c r="B516" s="66" t="inlineStr">
        <is>
          <t>entitlement_service_v1</t>
        </is>
      </c>
      <c r="C516" s="66" t="inlineStr">
        <is>
          <t>PROPOSED</t>
        </is>
      </c>
      <c r="D516" s="66" t="inlineStr">
        <is>
          <t>V7 — Document &amp; design inspection</t>
        </is>
      </c>
      <c r="E516" s="66" t="n"/>
      <c r="F516" s="66" t="inlineStr">
        <is>
          <t>Specification text against implementation description; provenance sections; objective card lines</t>
        </is>
      </c>
      <c r="G516" s="66" t="inlineStr">
        <is>
          <t>B — sample ≥ 30%</t>
        </is>
      </c>
      <c r="H516" s="67" t="n"/>
      <c r="I516" s="67" t="n"/>
      <c r="J516" s="67" t="n"/>
      <c r="K516" s="64">
        <f>IFERROR(INDEX('Status Map'!$B$2:$B$12,MATCH(C516,'Status Map'!$A$2:$A$12,0)),"UNDEFINED")</f>
        <v/>
      </c>
      <c r="L516" s="64">
        <f>IFERROR(INDEX('Status Map'!$C$2:$C$12,MATCH(C516,'Status Map'!$A$2:$A$12,0)),"UNDEFINED")</f>
        <v/>
      </c>
      <c r="M516" s="68" t="inlineStr">
        <is>
          <t>STATEMENT AS REGISTERED</t>
        </is>
      </c>
      <c r="N516" s="68" t="n"/>
      <c r="O516" s="68" t="n"/>
      <c r="P516" s="64">
        <f>IF(O516&lt;&gt;"",O516,LEFT(D516,2))</f>
        <v/>
      </c>
      <c r="Q516" s="64">
        <f>IF(O516&lt;&gt;"","Standards §6",IF(M516="HEADING ONLY","Derived from heading — PROVISIONAL",IF(M516="TEXT NOT IN REGISTRY","No text to derive from — PROVISIONAL","Derived from registered statement")))</f>
        <v/>
      </c>
      <c r="R516" s="64">
        <f>IF(OR(LEFT(G516,1)="A",L516="COUNTS",ISNUMBER(SEARCH("V1",P516)),ISNUMBER(SEARCH("V2",P516)),ISNUMBER(SEARCH("V5",P516))),"A — 100%","B — sample ≥ 30%")</f>
        <v/>
      </c>
      <c r="S516" s="67" t="n"/>
      <c r="T516" s="67" t="n"/>
      <c r="U516" s="67" t="n"/>
      <c r="V516" s="67" t="n"/>
      <c r="W516" s="67" t="n"/>
      <c r="X516" s="67" t="n"/>
    </row>
    <row r="517" ht="32.8" customHeight="1" s="45">
      <c r="A517" s="65" t="inlineStr">
        <is>
          <t>ENT-25</t>
        </is>
      </c>
      <c r="B517" s="66" t="inlineStr">
        <is>
          <t>entitlement_service_v1</t>
        </is>
      </c>
      <c r="C517" s="66" t="inlineStr">
        <is>
          <t>PROPOSED</t>
        </is>
      </c>
      <c r="D517" s="66" t="inlineStr">
        <is>
          <t>V5 — Failure-injection demonstration</t>
        </is>
      </c>
      <c r="E517" s="66" t="n"/>
      <c r="F517" s="66" t="inlineStr">
        <is>
          <t>Dependency made unreachable or check made to error; observed refusal; no result returned; stale marker where degradation is the ruled posture</t>
        </is>
      </c>
      <c r="G517" s="66" t="inlineStr">
        <is>
          <t>A — 100%</t>
        </is>
      </c>
      <c r="H517" s="67" t="n"/>
      <c r="I517" s="67" t="n"/>
      <c r="J517" s="67" t="n"/>
      <c r="K517" s="64">
        <f>IFERROR(INDEX('Status Map'!$B$2:$B$12,MATCH(C517,'Status Map'!$A$2:$A$12,0)),"UNDEFINED")</f>
        <v/>
      </c>
      <c r="L517" s="64">
        <f>IFERROR(INDEX('Status Map'!$C$2:$C$12,MATCH(C517,'Status Map'!$A$2:$A$12,0)),"UNDEFINED")</f>
        <v/>
      </c>
      <c r="M517" s="68" t="inlineStr">
        <is>
          <t>STATEMENT AS REGISTERED</t>
        </is>
      </c>
      <c r="N517" s="68" t="n"/>
      <c r="O517" s="68" t="n"/>
      <c r="P517" s="64">
        <f>IF(O517&lt;&gt;"",O517,LEFT(D517,2))</f>
        <v/>
      </c>
      <c r="Q517" s="64">
        <f>IF(O517&lt;&gt;"","Standards §6",IF(M517="HEADING ONLY","Derived from heading — PROVISIONAL",IF(M517="TEXT NOT IN REGISTRY","No text to derive from — PROVISIONAL","Derived from registered statement")))</f>
        <v/>
      </c>
      <c r="R517" s="64">
        <f>IF(OR(LEFT(G517,1)="A",L517="COUNTS",ISNUMBER(SEARCH("V1",P517)),ISNUMBER(SEARCH("V2",P517)),ISNUMBER(SEARCH("V5",P517))),"A — 100%","B — sample ≥ 30%")</f>
        <v/>
      </c>
      <c r="S517" s="67" t="n"/>
      <c r="T517" s="67" t="n"/>
      <c r="U517" s="67" t="n"/>
      <c r="V517" s="67" t="n"/>
      <c r="W517" s="67" t="n"/>
      <c r="X517" s="67" t="n"/>
    </row>
    <row r="518" ht="22.35" customHeight="1" s="45">
      <c r="A518" s="65" t="inlineStr">
        <is>
          <t>ENT-26</t>
        </is>
      </c>
      <c r="B518" s="66" t="inlineStr">
        <is>
          <t>entitlement_service_v1</t>
        </is>
      </c>
      <c r="C518" s="66" t="inlineStr">
        <is>
          <t>PROPOSED</t>
        </is>
      </c>
      <c r="D518" s="66" t="inlineStr">
        <is>
          <t>V2 — Structural evidence</t>
        </is>
      </c>
      <c r="E518" s="66" t="inlineStr">
        <is>
          <t>V5</t>
        </is>
      </c>
      <c r="F518" s="66" t="inlineStr">
        <is>
          <t>Negative-scan or AST rule present, named, and green in CI; scan surface stated</t>
        </is>
      </c>
      <c r="G518" s="66" t="inlineStr">
        <is>
          <t>A — 100%</t>
        </is>
      </c>
      <c r="H518" s="67" t="n"/>
      <c r="I518" s="67" t="n"/>
      <c r="J518" s="67" t="n"/>
      <c r="K518" s="64">
        <f>IFERROR(INDEX('Status Map'!$B$2:$B$12,MATCH(C518,'Status Map'!$A$2:$A$12,0)),"UNDEFINED")</f>
        <v/>
      </c>
      <c r="L518" s="64">
        <f>IFERROR(INDEX('Status Map'!$C$2:$C$12,MATCH(C518,'Status Map'!$A$2:$A$12,0)),"UNDEFINED")</f>
        <v/>
      </c>
      <c r="M518" s="68" t="inlineStr">
        <is>
          <t>STATEMENT AS REGISTERED</t>
        </is>
      </c>
      <c r="N518" s="68" t="inlineStr">
        <is>
          <t>C-6.11.4</t>
        </is>
      </c>
      <c r="O518" s="68" t="inlineStr">
        <is>
          <t>V5 + V6</t>
        </is>
      </c>
      <c r="P518" s="64">
        <f>IF(O518&lt;&gt;"",O518,LEFT(D518,2))</f>
        <v/>
      </c>
      <c r="Q518" s="64">
        <f>IF(O518&lt;&gt;"","Standards §6",IF(M518="HEADING ONLY","Derived from heading — PROVISIONAL",IF(M518="TEXT NOT IN REGISTRY","No text to derive from — PROVISIONAL","Derived from registered statement")))</f>
        <v/>
      </c>
      <c r="R518" s="64">
        <f>IF(OR(LEFT(G518,1)="A",L518="COUNTS",ISNUMBER(SEARCH("V1",P518)),ISNUMBER(SEARCH("V2",P518)),ISNUMBER(SEARCH("V5",P518))),"A — 100%","B — sample ≥ 30%")</f>
        <v/>
      </c>
      <c r="S518" s="67" t="n"/>
      <c r="T518" s="67" t="n"/>
      <c r="U518" s="67" t="n"/>
      <c r="V518" s="67" t="n"/>
      <c r="W518" s="67" t="n"/>
      <c r="X518" s="67" t="n"/>
    </row>
    <row r="519" ht="22.35" customHeight="1" s="45">
      <c r="A519" s="65" t="inlineStr">
        <is>
          <t>ENT-27</t>
        </is>
      </c>
      <c r="B519" s="66" t="inlineStr">
        <is>
          <t>entitlement_service_v1</t>
        </is>
      </c>
      <c r="C519" s="66" t="inlineStr">
        <is>
          <t>PROPOSED</t>
        </is>
      </c>
      <c r="D519" s="66" t="inlineStr">
        <is>
          <t>V3 — Record evidence</t>
        </is>
      </c>
      <c r="E519" s="66" t="inlineStr">
        <is>
          <t>V4</t>
        </is>
      </c>
      <c r="F519" s="66" t="inlineStr">
        <is>
          <t>Ledger rows inspected; hash-chain verifier receipt; refused operations present on identical terms</t>
        </is>
      </c>
      <c r="G519" s="66" t="inlineStr">
        <is>
          <t>B — sample ≥ 30%</t>
        </is>
      </c>
      <c r="H519" s="67" t="n"/>
      <c r="I519" s="67" t="n"/>
      <c r="J519" s="67" t="n"/>
      <c r="K519" s="64">
        <f>IFERROR(INDEX('Status Map'!$B$2:$B$12,MATCH(C519,'Status Map'!$A$2:$A$12,0)),"UNDEFINED")</f>
        <v/>
      </c>
      <c r="L519" s="64">
        <f>IFERROR(INDEX('Status Map'!$C$2:$C$12,MATCH(C519,'Status Map'!$A$2:$A$12,0)),"UNDEFINED")</f>
        <v/>
      </c>
      <c r="M519" s="68" t="inlineStr">
        <is>
          <t>STATEMENT AS REGISTERED</t>
        </is>
      </c>
      <c r="N519" s="68" t="n"/>
      <c r="O519" s="68" t="n"/>
      <c r="P519" s="64">
        <f>IF(O519&lt;&gt;"",O519,LEFT(D519,2))</f>
        <v/>
      </c>
      <c r="Q519" s="64">
        <f>IF(O519&lt;&gt;"","Standards §6",IF(M519="HEADING ONLY","Derived from heading — PROVISIONAL",IF(M519="TEXT NOT IN REGISTRY","No text to derive from — PROVISIONAL","Derived from registered statement")))</f>
        <v/>
      </c>
      <c r="R519" s="64">
        <f>IF(OR(LEFT(G519,1)="A",L519="COUNTS",ISNUMBER(SEARCH("V1",P519)),ISNUMBER(SEARCH("V2",P519)),ISNUMBER(SEARCH("V5",P519))),"A — 100%","B — sample ≥ 30%")</f>
        <v/>
      </c>
      <c r="S519" s="67" t="n"/>
      <c r="T519" s="67" t="n"/>
      <c r="U519" s="67" t="n"/>
      <c r="V519" s="67" t="n"/>
      <c r="W519" s="67" t="n"/>
      <c r="X519" s="67" t="n"/>
    </row>
    <row r="520" ht="22.35" customHeight="1" s="45">
      <c r="A520" s="65" t="inlineStr">
        <is>
          <t>ENT-28</t>
        </is>
      </c>
      <c r="B520" s="66" t="inlineStr">
        <is>
          <t>entitlement_service_v1</t>
        </is>
      </c>
      <c r="C520" s="66" t="inlineStr">
        <is>
          <t>PROPOSED</t>
        </is>
      </c>
      <c r="D520" s="66" t="inlineStr">
        <is>
          <t>V2 — Structural evidence</t>
        </is>
      </c>
      <c r="E520" s="66" t="n"/>
      <c r="F520" s="66" t="inlineStr">
        <is>
          <t>Negative-scan or AST rule present, named, and green in CI; scan surface stated</t>
        </is>
      </c>
      <c r="G520" s="66" t="inlineStr">
        <is>
          <t>A — 100%</t>
        </is>
      </c>
      <c r="H520" s="67" t="n"/>
      <c r="I520" s="67" t="n"/>
      <c r="J520" s="67" t="n"/>
      <c r="K520" s="64">
        <f>IFERROR(INDEX('Status Map'!$B$2:$B$12,MATCH(C520,'Status Map'!$A$2:$A$12,0)),"UNDEFINED")</f>
        <v/>
      </c>
      <c r="L520" s="64">
        <f>IFERROR(INDEX('Status Map'!$C$2:$C$12,MATCH(C520,'Status Map'!$A$2:$A$12,0)),"UNDEFINED")</f>
        <v/>
      </c>
      <c r="M520" s="68" t="inlineStr">
        <is>
          <t>STATEMENT AS REGISTERED</t>
        </is>
      </c>
      <c r="N520" s="68" t="n"/>
      <c r="O520" s="68" t="n"/>
      <c r="P520" s="64">
        <f>IF(O520&lt;&gt;"",O520,LEFT(D520,2))</f>
        <v/>
      </c>
      <c r="Q520" s="64">
        <f>IF(O520&lt;&gt;"","Standards §6",IF(M520="HEADING ONLY","Derived from heading — PROVISIONAL",IF(M520="TEXT NOT IN REGISTRY","No text to derive from — PROVISIONAL","Derived from registered statement")))</f>
        <v/>
      </c>
      <c r="R520" s="64">
        <f>IF(OR(LEFT(G520,1)="A",L520="COUNTS",ISNUMBER(SEARCH("V1",P520)),ISNUMBER(SEARCH("V2",P520)),ISNUMBER(SEARCH("V5",P520))),"A — 100%","B — sample ≥ 30%")</f>
        <v/>
      </c>
      <c r="S520" s="67" t="n"/>
      <c r="T520" s="67" t="n"/>
      <c r="U520" s="67" t="n"/>
      <c r="V520" s="67" t="n"/>
      <c r="W520" s="67" t="n"/>
      <c r="X520" s="67" t="n"/>
    </row>
    <row r="521" ht="22.35" customHeight="1" s="45">
      <c r="A521" s="65" t="inlineStr">
        <is>
          <t>ENT-29</t>
        </is>
      </c>
      <c r="B521" s="66" t="inlineStr">
        <is>
          <t>entitlement_service_v1</t>
        </is>
      </c>
      <c r="C521" s="66" t="inlineStr">
        <is>
          <t>PROPOSED</t>
        </is>
      </c>
      <c r="D521" s="66" t="inlineStr">
        <is>
          <t>V7 — Document &amp; design inspection</t>
        </is>
      </c>
      <c r="E521" s="66" t="n"/>
      <c r="F521" s="66" t="inlineStr">
        <is>
          <t>Specification text against implementation description; provenance sections; objective card lines</t>
        </is>
      </c>
      <c r="G521" s="66" t="inlineStr">
        <is>
          <t>B — sample ≥ 30%</t>
        </is>
      </c>
      <c r="H521" s="67" t="n"/>
      <c r="I521" s="67" t="n"/>
      <c r="J521" s="67" t="n"/>
      <c r="K521" s="64">
        <f>IFERROR(INDEX('Status Map'!$B$2:$B$12,MATCH(C521,'Status Map'!$A$2:$A$12,0)),"UNDEFINED")</f>
        <v/>
      </c>
      <c r="L521" s="64">
        <f>IFERROR(INDEX('Status Map'!$C$2:$C$12,MATCH(C521,'Status Map'!$A$2:$A$12,0)),"UNDEFINED")</f>
        <v/>
      </c>
      <c r="M521" s="68" t="inlineStr">
        <is>
          <t>STATEMENT AS REGISTERED</t>
        </is>
      </c>
      <c r="N521" s="68" t="n"/>
      <c r="O521" s="68" t="n"/>
      <c r="P521" s="64">
        <f>IF(O521&lt;&gt;"",O521,LEFT(D521,2))</f>
        <v/>
      </c>
      <c r="Q521" s="64">
        <f>IF(O521&lt;&gt;"","Standards §6",IF(M521="HEADING ONLY","Derived from heading — PROVISIONAL",IF(M521="TEXT NOT IN REGISTRY","No text to derive from — PROVISIONAL","Derived from registered statement")))</f>
        <v/>
      </c>
      <c r="R521" s="64">
        <f>IF(OR(LEFT(G521,1)="A",L521="COUNTS",ISNUMBER(SEARCH("V1",P521)),ISNUMBER(SEARCH("V2",P521)),ISNUMBER(SEARCH("V5",P521))),"A — 100%","B — sample ≥ 30%")</f>
        <v/>
      </c>
      <c r="S521" s="67" t="n"/>
      <c r="T521" s="67" t="n"/>
      <c r="U521" s="67" t="n"/>
      <c r="V521" s="67" t="n"/>
      <c r="W521" s="67" t="n"/>
      <c r="X521" s="67" t="n"/>
    </row>
    <row r="522" ht="22.35" customHeight="1" s="45">
      <c r="A522" s="65" t="inlineStr">
        <is>
          <t>ENT-30</t>
        </is>
      </c>
      <c r="B522" s="66" t="inlineStr">
        <is>
          <t>entitlement_service_v1</t>
        </is>
      </c>
      <c r="C522" s="66" t="inlineStr">
        <is>
          <t>PROPOSED</t>
        </is>
      </c>
      <c r="D522" s="66" t="inlineStr">
        <is>
          <t>V7 — Document &amp; design inspection</t>
        </is>
      </c>
      <c r="E522" s="66" t="n"/>
      <c r="F522" s="66" t="inlineStr">
        <is>
          <t>Specification text against implementation description; provenance sections; objective card lines</t>
        </is>
      </c>
      <c r="G522" s="66" t="inlineStr">
        <is>
          <t>B — sample ≥ 30%</t>
        </is>
      </c>
      <c r="H522" s="67" t="n"/>
      <c r="I522" s="67" t="n"/>
      <c r="J522" s="67" t="n"/>
      <c r="K522" s="64">
        <f>IFERROR(INDEX('Status Map'!$B$2:$B$12,MATCH(C522,'Status Map'!$A$2:$A$12,0)),"UNDEFINED")</f>
        <v/>
      </c>
      <c r="L522" s="64">
        <f>IFERROR(INDEX('Status Map'!$C$2:$C$12,MATCH(C522,'Status Map'!$A$2:$A$12,0)),"UNDEFINED")</f>
        <v/>
      </c>
      <c r="M522" s="68" t="inlineStr">
        <is>
          <t>STATEMENT AS REGISTERED</t>
        </is>
      </c>
      <c r="N522" s="68" t="n"/>
      <c r="O522" s="68" t="n"/>
      <c r="P522" s="64">
        <f>IF(O522&lt;&gt;"",O522,LEFT(D522,2))</f>
        <v/>
      </c>
      <c r="Q522" s="64">
        <f>IF(O522&lt;&gt;"","Standards §6",IF(M522="HEADING ONLY","Derived from heading — PROVISIONAL",IF(M522="TEXT NOT IN REGISTRY","No text to derive from — PROVISIONAL","Derived from registered statement")))</f>
        <v/>
      </c>
      <c r="R522" s="64">
        <f>IF(OR(LEFT(G522,1)="A",L522="COUNTS",ISNUMBER(SEARCH("V1",P522)),ISNUMBER(SEARCH("V2",P522)),ISNUMBER(SEARCH("V5",P522))),"A — 100%","B — sample ≥ 30%")</f>
        <v/>
      </c>
      <c r="S522" s="67" t="n"/>
      <c r="T522" s="67" t="n"/>
      <c r="U522" s="67" t="n"/>
      <c r="V522" s="67" t="n"/>
      <c r="W522" s="67" t="n"/>
      <c r="X522" s="67" t="n"/>
    </row>
    <row r="523" ht="22.35" customHeight="1" s="45">
      <c r="A523" s="65" t="inlineStr">
        <is>
          <t>ENT-31</t>
        </is>
      </c>
      <c r="B523" s="66" t="inlineStr">
        <is>
          <t>entitlement_service_v1</t>
        </is>
      </c>
      <c r="C523" s="66" t="inlineStr">
        <is>
          <t>PROPOSED</t>
        </is>
      </c>
      <c r="D523" s="66" t="inlineStr">
        <is>
          <t>V7 — Document &amp; design inspection</t>
        </is>
      </c>
      <c r="E523" s="66" t="n"/>
      <c r="F523" s="66" t="inlineStr">
        <is>
          <t>Specification text against implementation description; provenance sections; objective card lines</t>
        </is>
      </c>
      <c r="G523" s="66" t="inlineStr">
        <is>
          <t>B — sample ≥ 30%</t>
        </is>
      </c>
      <c r="H523" s="67" t="n"/>
      <c r="I523" s="67" t="n"/>
      <c r="J523" s="67" t="n"/>
      <c r="K523" s="64">
        <f>IFERROR(INDEX('Status Map'!$B$2:$B$12,MATCH(C523,'Status Map'!$A$2:$A$12,0)),"UNDEFINED")</f>
        <v/>
      </c>
      <c r="L523" s="64">
        <f>IFERROR(INDEX('Status Map'!$C$2:$C$12,MATCH(C523,'Status Map'!$A$2:$A$12,0)),"UNDEFINED")</f>
        <v/>
      </c>
      <c r="M523" s="68" t="inlineStr">
        <is>
          <t>STATEMENT AS REGISTERED</t>
        </is>
      </c>
      <c r="N523" s="68" t="n"/>
      <c r="O523" s="68" t="n"/>
      <c r="P523" s="64">
        <f>IF(O523&lt;&gt;"",O523,LEFT(D523,2))</f>
        <v/>
      </c>
      <c r="Q523" s="64">
        <f>IF(O523&lt;&gt;"","Standards §6",IF(M523="HEADING ONLY","Derived from heading — PROVISIONAL",IF(M523="TEXT NOT IN REGISTRY","No text to derive from — PROVISIONAL","Derived from registered statement")))</f>
        <v/>
      </c>
      <c r="R523" s="64">
        <f>IF(OR(LEFT(G523,1)="A",L523="COUNTS",ISNUMBER(SEARCH("V1",P523)),ISNUMBER(SEARCH("V2",P523)),ISNUMBER(SEARCH("V5",P523))),"A — 100%","B — sample ≥ 30%")</f>
        <v/>
      </c>
      <c r="S523" s="67" t="n"/>
      <c r="T523" s="67" t="n"/>
      <c r="U523" s="67" t="n"/>
      <c r="V523" s="67" t="n"/>
      <c r="W523" s="67" t="n"/>
      <c r="X523" s="67" t="n"/>
    </row>
    <row r="524" ht="22.35" customHeight="1" s="45">
      <c r="A524" s="65" t="inlineStr">
        <is>
          <t>ENT-32</t>
        </is>
      </c>
      <c r="B524" s="66" t="inlineStr">
        <is>
          <t>entitlement_service_v1</t>
        </is>
      </c>
      <c r="C524" s="66" t="inlineStr">
        <is>
          <t>PROPOSED</t>
        </is>
      </c>
      <c r="D524" s="66" t="inlineStr">
        <is>
          <t>V2 — Structural evidence</t>
        </is>
      </c>
      <c r="E524" s="66" t="n"/>
      <c r="F524" s="66" t="inlineStr">
        <is>
          <t>Negative-scan or AST rule present, named, and green in CI; scan surface stated</t>
        </is>
      </c>
      <c r="G524" s="66" t="inlineStr">
        <is>
          <t>A — 100%</t>
        </is>
      </c>
      <c r="H524" s="67" t="n"/>
      <c r="I524" s="67" t="n"/>
      <c r="J524" s="67" t="n"/>
      <c r="K524" s="64">
        <f>IFERROR(INDEX('Status Map'!$B$2:$B$12,MATCH(C524,'Status Map'!$A$2:$A$12,0)),"UNDEFINED")</f>
        <v/>
      </c>
      <c r="L524" s="64">
        <f>IFERROR(INDEX('Status Map'!$C$2:$C$12,MATCH(C524,'Status Map'!$A$2:$A$12,0)),"UNDEFINED")</f>
        <v/>
      </c>
      <c r="M524" s="68" t="inlineStr">
        <is>
          <t>STATEMENT AS REGISTERED</t>
        </is>
      </c>
      <c r="N524" s="68" t="inlineStr">
        <is>
          <t>C-6.11.5</t>
        </is>
      </c>
      <c r="O524" s="68" t="inlineStr">
        <is>
          <t>V4</t>
        </is>
      </c>
      <c r="P524" s="64">
        <f>IF(O524&lt;&gt;"",O524,LEFT(D524,2))</f>
        <v/>
      </c>
      <c r="Q524" s="64">
        <f>IF(O524&lt;&gt;"","Standards §6",IF(M524="HEADING ONLY","Derived from heading — PROVISIONAL",IF(M524="TEXT NOT IN REGISTRY","No text to derive from — PROVISIONAL","Derived from registered statement")))</f>
        <v/>
      </c>
      <c r="R524" s="64">
        <f>IF(OR(LEFT(G524,1)="A",L524="COUNTS",ISNUMBER(SEARCH("V1",P524)),ISNUMBER(SEARCH("V2",P524)),ISNUMBER(SEARCH("V5",P524))),"A — 100%","B — sample ≥ 30%")</f>
        <v/>
      </c>
      <c r="S524" s="67" t="n"/>
      <c r="T524" s="67" t="n"/>
      <c r="U524" s="67" t="n"/>
      <c r="V524" s="67" t="n"/>
      <c r="W524" s="67" t="n"/>
      <c r="X524" s="67" t="n"/>
    </row>
    <row r="525" ht="22.35" customHeight="1" s="45">
      <c r="A525" s="65" t="inlineStr">
        <is>
          <t>ENT-33</t>
        </is>
      </c>
      <c r="B525" s="66" t="inlineStr">
        <is>
          <t>entitlement_service_v1</t>
        </is>
      </c>
      <c r="C525" s="66" t="inlineStr">
        <is>
          <t>PROPOSED</t>
        </is>
      </c>
      <c r="D525" s="66" t="inlineStr">
        <is>
          <t>V3 — Record evidence</t>
        </is>
      </c>
      <c r="E525" s="66" t="n"/>
      <c r="F525" s="66" t="inlineStr">
        <is>
          <t>Ledger rows inspected; hash-chain verifier receipt; refused operations present on identical terms</t>
        </is>
      </c>
      <c r="G525" s="66" t="inlineStr">
        <is>
          <t>B — sample ≥ 30%</t>
        </is>
      </c>
      <c r="H525" s="67" t="n"/>
      <c r="I525" s="67" t="n"/>
      <c r="J525" s="67" t="n"/>
      <c r="K525" s="64">
        <f>IFERROR(INDEX('Status Map'!$B$2:$B$12,MATCH(C525,'Status Map'!$A$2:$A$12,0)),"UNDEFINED")</f>
        <v/>
      </c>
      <c r="L525" s="64">
        <f>IFERROR(INDEX('Status Map'!$C$2:$C$12,MATCH(C525,'Status Map'!$A$2:$A$12,0)),"UNDEFINED")</f>
        <v/>
      </c>
      <c r="M525" s="68" t="inlineStr">
        <is>
          <t>STATEMENT AS REGISTERED</t>
        </is>
      </c>
      <c r="N525" s="68" t="n"/>
      <c r="O525" s="68" t="n"/>
      <c r="P525" s="64">
        <f>IF(O525&lt;&gt;"",O525,LEFT(D525,2))</f>
        <v/>
      </c>
      <c r="Q525" s="64">
        <f>IF(O525&lt;&gt;"","Standards §6",IF(M525="HEADING ONLY","Derived from heading — PROVISIONAL",IF(M525="TEXT NOT IN REGISTRY","No text to derive from — PROVISIONAL","Derived from registered statement")))</f>
        <v/>
      </c>
      <c r="R525" s="64">
        <f>IF(OR(LEFT(G525,1)="A",L525="COUNTS",ISNUMBER(SEARCH("V1",P525)),ISNUMBER(SEARCH("V2",P525)),ISNUMBER(SEARCH("V5",P525))),"A — 100%","B — sample ≥ 30%")</f>
        <v/>
      </c>
      <c r="S525" s="67" t="n"/>
      <c r="T525" s="67" t="n"/>
      <c r="U525" s="67" t="n"/>
      <c r="V525" s="67" t="n"/>
      <c r="W525" s="67" t="n"/>
      <c r="X525" s="67" t="n"/>
    </row>
    <row r="526" ht="32.8" customHeight="1" s="45">
      <c r="A526" s="65" t="inlineStr">
        <is>
          <t>ENT-34</t>
        </is>
      </c>
      <c r="B526" s="66" t="inlineStr">
        <is>
          <t>entitlement_service_v1</t>
        </is>
      </c>
      <c r="C526" s="66" t="inlineStr">
        <is>
          <t>PROPOSED</t>
        </is>
      </c>
      <c r="D526" s="66" t="inlineStr">
        <is>
          <t>V5 — Failure-injection demonstration</t>
        </is>
      </c>
      <c r="E526" s="66" t="inlineStr">
        <is>
          <t>V6</t>
        </is>
      </c>
      <c r="F526" s="66" t="inlineStr">
        <is>
          <t>Dependency made unreachable or check made to error; observed refusal; no result returned; stale marker where degradation is the ruled posture</t>
        </is>
      </c>
      <c r="G526" s="66" t="inlineStr">
        <is>
          <t>A — 100%</t>
        </is>
      </c>
      <c r="H526" s="67" t="n"/>
      <c r="I526" s="67" t="n"/>
      <c r="J526" s="67" t="n"/>
      <c r="K526" s="64">
        <f>IFERROR(INDEX('Status Map'!$B$2:$B$12,MATCH(C526,'Status Map'!$A$2:$A$12,0)),"UNDEFINED")</f>
        <v/>
      </c>
      <c r="L526" s="64">
        <f>IFERROR(INDEX('Status Map'!$C$2:$C$12,MATCH(C526,'Status Map'!$A$2:$A$12,0)),"UNDEFINED")</f>
        <v/>
      </c>
      <c r="M526" s="68" t="inlineStr">
        <is>
          <t>STATEMENT AS REGISTERED</t>
        </is>
      </c>
      <c r="N526" s="68" t="n"/>
      <c r="O526" s="68" t="n"/>
      <c r="P526" s="64">
        <f>IF(O526&lt;&gt;"",O526,LEFT(D526,2))</f>
        <v/>
      </c>
      <c r="Q526" s="64">
        <f>IF(O526&lt;&gt;"","Standards §6",IF(M526="HEADING ONLY","Derived from heading — PROVISIONAL",IF(M526="TEXT NOT IN REGISTRY","No text to derive from — PROVISIONAL","Derived from registered statement")))</f>
        <v/>
      </c>
      <c r="R526" s="64">
        <f>IF(OR(LEFT(G526,1)="A",L526="COUNTS",ISNUMBER(SEARCH("V1",P526)),ISNUMBER(SEARCH("V2",P526)),ISNUMBER(SEARCH("V5",P526))),"A — 100%","B — sample ≥ 30%")</f>
        <v/>
      </c>
      <c r="S526" s="67" t="n"/>
      <c r="T526" s="67" t="n"/>
      <c r="U526" s="67" t="n"/>
      <c r="V526" s="67" t="n"/>
      <c r="W526" s="67" t="n"/>
      <c r="X526" s="67" t="n"/>
    </row>
    <row r="527" ht="22.35" customHeight="1" s="45">
      <c r="A527" s="65" t="inlineStr">
        <is>
          <t>ENT-35</t>
        </is>
      </c>
      <c r="B527" s="66" t="inlineStr">
        <is>
          <t>entitlement_service_v1</t>
        </is>
      </c>
      <c r="C527" s="66" t="inlineStr">
        <is>
          <t>PROPOSED</t>
        </is>
      </c>
      <c r="D527" s="66" t="inlineStr">
        <is>
          <t>V6 — Surface inspection</t>
        </is>
      </c>
      <c r="E527" s="66" t="n"/>
      <c r="F527" s="66" t="inlineStr">
        <is>
          <t>DOM-bound substitution rule or harness receipt; fixed string verbatim; honest-gap variant rendered on null</t>
        </is>
      </c>
      <c r="G527" s="66" t="inlineStr">
        <is>
          <t>B — sample ≥ 30%</t>
        </is>
      </c>
      <c r="H527" s="67" t="n"/>
      <c r="I527" s="67" t="n"/>
      <c r="J527" s="67" t="n"/>
      <c r="K527" s="64">
        <f>IFERROR(INDEX('Status Map'!$B$2:$B$12,MATCH(C527,'Status Map'!$A$2:$A$12,0)),"UNDEFINED")</f>
        <v/>
      </c>
      <c r="L527" s="64">
        <f>IFERROR(INDEX('Status Map'!$C$2:$C$12,MATCH(C527,'Status Map'!$A$2:$A$12,0)),"UNDEFINED")</f>
        <v/>
      </c>
      <c r="M527" s="68" t="inlineStr">
        <is>
          <t>STATEMENT AS REGISTERED</t>
        </is>
      </c>
      <c r="N527" s="68" t="inlineStr">
        <is>
          <t>C-6.11.6</t>
        </is>
      </c>
      <c r="O527" s="68" t="inlineStr">
        <is>
          <t>V2 + V5</t>
        </is>
      </c>
      <c r="P527" s="64">
        <f>IF(O527&lt;&gt;"",O527,LEFT(D527,2))</f>
        <v/>
      </c>
      <c r="Q527" s="64">
        <f>IF(O527&lt;&gt;"","Standards §6",IF(M527="HEADING ONLY","Derived from heading — PROVISIONAL",IF(M527="TEXT NOT IN REGISTRY","No text to derive from — PROVISIONAL","Derived from registered statement")))</f>
        <v/>
      </c>
      <c r="R527" s="64">
        <f>IF(OR(LEFT(G527,1)="A",L527="COUNTS",ISNUMBER(SEARCH("V1",P527)),ISNUMBER(SEARCH("V2",P527)),ISNUMBER(SEARCH("V5",P527))),"A — 100%","B — sample ≥ 30%")</f>
        <v/>
      </c>
      <c r="S527" s="67" t="n"/>
      <c r="T527" s="67" t="n"/>
      <c r="U527" s="67" t="n"/>
      <c r="V527" s="67" t="n"/>
      <c r="W527" s="67" t="n"/>
      <c r="X527" s="67" t="n"/>
    </row>
    <row r="528" ht="22.35" customHeight="1" s="45">
      <c r="A528" s="65" t="inlineStr">
        <is>
          <t>ENT-36</t>
        </is>
      </c>
      <c r="B528" s="66" t="inlineStr">
        <is>
          <t>entitlement_service_v1</t>
        </is>
      </c>
      <c r="C528" s="66" t="inlineStr">
        <is>
          <t>PROPOSED</t>
        </is>
      </c>
      <c r="D528" s="66" t="inlineStr">
        <is>
          <t>V7 — Document &amp; design inspection</t>
        </is>
      </c>
      <c r="E528" s="66" t="n"/>
      <c r="F528" s="66" t="inlineStr">
        <is>
          <t>Specification text against implementation description; provenance sections; objective card lines</t>
        </is>
      </c>
      <c r="G528" s="66" t="inlineStr">
        <is>
          <t>B — sample ≥ 30%</t>
        </is>
      </c>
      <c r="H528" s="67" t="n"/>
      <c r="I528" s="67" t="n"/>
      <c r="J528" s="67" t="n"/>
      <c r="K528" s="64">
        <f>IFERROR(INDEX('Status Map'!$B$2:$B$12,MATCH(C528,'Status Map'!$A$2:$A$12,0)),"UNDEFINED")</f>
        <v/>
      </c>
      <c r="L528" s="64">
        <f>IFERROR(INDEX('Status Map'!$C$2:$C$12,MATCH(C528,'Status Map'!$A$2:$A$12,0)),"UNDEFINED")</f>
        <v/>
      </c>
      <c r="M528" s="68" t="inlineStr">
        <is>
          <t>STATEMENT AS REGISTERED</t>
        </is>
      </c>
      <c r="N528" s="68" t="n"/>
      <c r="O528" s="68" t="n"/>
      <c r="P528" s="64">
        <f>IF(O528&lt;&gt;"",O528,LEFT(D528,2))</f>
        <v/>
      </c>
      <c r="Q528" s="64">
        <f>IF(O528&lt;&gt;"","Standards §6",IF(M528="HEADING ONLY","Derived from heading — PROVISIONAL",IF(M528="TEXT NOT IN REGISTRY","No text to derive from — PROVISIONAL","Derived from registered statement")))</f>
        <v/>
      </c>
      <c r="R528" s="64">
        <f>IF(OR(LEFT(G528,1)="A",L528="COUNTS",ISNUMBER(SEARCH("V1",P528)),ISNUMBER(SEARCH("V2",P528)),ISNUMBER(SEARCH("V5",P528))),"A — 100%","B — sample ≥ 30%")</f>
        <v/>
      </c>
      <c r="S528" s="67" t="n"/>
      <c r="T528" s="67" t="n"/>
      <c r="U528" s="67" t="n"/>
      <c r="V528" s="67" t="n"/>
      <c r="W528" s="67" t="n"/>
      <c r="X528" s="67" t="n"/>
    </row>
    <row r="529" ht="22.35" customHeight="1" s="45">
      <c r="A529" s="65" t="inlineStr">
        <is>
          <t>ENT-37</t>
        </is>
      </c>
      <c r="B529" s="66" t="inlineStr">
        <is>
          <t>entitlement_service_v1</t>
        </is>
      </c>
      <c r="C529" s="66" t="inlineStr">
        <is>
          <t>PROPOSED</t>
        </is>
      </c>
      <c r="D529" s="66" t="inlineStr">
        <is>
          <t>V7 — Document &amp; design inspection</t>
        </is>
      </c>
      <c r="E529" s="66" t="n"/>
      <c r="F529" s="66" t="inlineStr">
        <is>
          <t>Specification text against implementation description; provenance sections; objective card lines</t>
        </is>
      </c>
      <c r="G529" s="66" t="inlineStr">
        <is>
          <t>B — sample ≥ 30%</t>
        </is>
      </c>
      <c r="H529" s="67" t="n"/>
      <c r="I529" s="67" t="n"/>
      <c r="J529" s="67" t="n"/>
      <c r="K529" s="64">
        <f>IFERROR(INDEX('Status Map'!$B$2:$B$12,MATCH(C529,'Status Map'!$A$2:$A$12,0)),"UNDEFINED")</f>
        <v/>
      </c>
      <c r="L529" s="64">
        <f>IFERROR(INDEX('Status Map'!$C$2:$C$12,MATCH(C529,'Status Map'!$A$2:$A$12,0)),"UNDEFINED")</f>
        <v/>
      </c>
      <c r="M529" s="68" t="inlineStr">
        <is>
          <t>STATEMENT AS REGISTERED</t>
        </is>
      </c>
      <c r="N529" s="68" t="inlineStr">
        <is>
          <t>C-6.11.6</t>
        </is>
      </c>
      <c r="O529" s="68" t="inlineStr">
        <is>
          <t>V2 + V5</t>
        </is>
      </c>
      <c r="P529" s="64">
        <f>IF(O529&lt;&gt;"",O529,LEFT(D529,2))</f>
        <v/>
      </c>
      <c r="Q529" s="64">
        <f>IF(O529&lt;&gt;"","Standards §6",IF(M529="HEADING ONLY","Derived from heading — PROVISIONAL",IF(M529="TEXT NOT IN REGISTRY","No text to derive from — PROVISIONAL","Derived from registered statement")))</f>
        <v/>
      </c>
      <c r="R529" s="64">
        <f>IF(OR(LEFT(G529,1)="A",L529="COUNTS",ISNUMBER(SEARCH("V1",P529)),ISNUMBER(SEARCH("V2",P529)),ISNUMBER(SEARCH("V5",P529))),"A — 100%","B — sample ≥ 30%")</f>
        <v/>
      </c>
      <c r="S529" s="67" t="n"/>
      <c r="T529" s="67" t="n"/>
      <c r="U529" s="67" t="n"/>
      <c r="V529" s="67" t="n"/>
      <c r="W529" s="67" t="n"/>
      <c r="X529" s="67" t="n"/>
    </row>
    <row r="530" ht="22.35" customHeight="1" s="45">
      <c r="A530" s="65" t="inlineStr">
        <is>
          <t>ENT-38</t>
        </is>
      </c>
      <c r="B530" s="66" t="inlineStr">
        <is>
          <t>entitlement_service_v1</t>
        </is>
      </c>
      <c r="C530" s="66" t="inlineStr">
        <is>
          <t>PROPOSED</t>
        </is>
      </c>
      <c r="D530" s="66" t="inlineStr">
        <is>
          <t>V7 — Document &amp; design inspection</t>
        </is>
      </c>
      <c r="E530" s="66" t="n"/>
      <c r="F530" s="66" t="inlineStr">
        <is>
          <t>Specification text against implementation description; provenance sections; objective card lines</t>
        </is>
      </c>
      <c r="G530" s="66" t="inlineStr">
        <is>
          <t>B — sample ≥ 30%</t>
        </is>
      </c>
      <c r="H530" s="67" t="n"/>
      <c r="I530" s="67" t="n"/>
      <c r="J530" s="67" t="n"/>
      <c r="K530" s="64">
        <f>IFERROR(INDEX('Status Map'!$B$2:$B$12,MATCH(C530,'Status Map'!$A$2:$A$12,0)),"UNDEFINED")</f>
        <v/>
      </c>
      <c r="L530" s="64">
        <f>IFERROR(INDEX('Status Map'!$C$2:$C$12,MATCH(C530,'Status Map'!$A$2:$A$12,0)),"UNDEFINED")</f>
        <v/>
      </c>
      <c r="M530" s="68" t="inlineStr">
        <is>
          <t>STATEMENT AS REGISTERED</t>
        </is>
      </c>
      <c r="N530" s="68" t="n"/>
      <c r="O530" s="68" t="n"/>
      <c r="P530" s="64">
        <f>IF(O530&lt;&gt;"",O530,LEFT(D530,2))</f>
        <v/>
      </c>
      <c r="Q530" s="64">
        <f>IF(O530&lt;&gt;"","Standards §6",IF(M530="HEADING ONLY","Derived from heading — PROVISIONAL",IF(M530="TEXT NOT IN REGISTRY","No text to derive from — PROVISIONAL","Derived from registered statement")))</f>
        <v/>
      </c>
      <c r="R530" s="64">
        <f>IF(OR(LEFT(G530,1)="A",L530="COUNTS",ISNUMBER(SEARCH("V1",P530)),ISNUMBER(SEARCH("V2",P530)),ISNUMBER(SEARCH("V5",P530))),"A — 100%","B — sample ≥ 30%")</f>
        <v/>
      </c>
      <c r="S530" s="67" t="n"/>
      <c r="T530" s="67" t="n"/>
      <c r="U530" s="67" t="n"/>
      <c r="V530" s="67" t="n"/>
      <c r="W530" s="67" t="n"/>
      <c r="X530" s="67" t="n"/>
    </row>
    <row r="531" ht="22.35" customHeight="1" s="45">
      <c r="A531" s="65" t="inlineStr">
        <is>
          <t>ENT-39</t>
        </is>
      </c>
      <c r="B531" s="66" t="inlineStr">
        <is>
          <t>entitlement_service_v1</t>
        </is>
      </c>
      <c r="C531" s="66" t="inlineStr">
        <is>
          <t>PROPOSED</t>
        </is>
      </c>
      <c r="D531" s="66" t="inlineStr">
        <is>
          <t>V1 — Test evidence</t>
        </is>
      </c>
      <c r="E531" s="66" t="n"/>
      <c r="F531" s="66" t="inlineStr">
        <is>
          <t>Golden-input, byte-identical output; RED-first test ID; ratchet manifest entry</t>
        </is>
      </c>
      <c r="G531" s="66" t="inlineStr">
        <is>
          <t>A — 100%</t>
        </is>
      </c>
      <c r="H531" s="67" t="n"/>
      <c r="I531" s="67" t="n"/>
      <c r="J531" s="67" t="n"/>
      <c r="K531" s="64">
        <f>IFERROR(INDEX('Status Map'!$B$2:$B$12,MATCH(C531,'Status Map'!$A$2:$A$12,0)),"UNDEFINED")</f>
        <v/>
      </c>
      <c r="L531" s="64">
        <f>IFERROR(INDEX('Status Map'!$C$2:$C$12,MATCH(C531,'Status Map'!$A$2:$A$12,0)),"UNDEFINED")</f>
        <v/>
      </c>
      <c r="M531" s="68" t="inlineStr">
        <is>
          <t>STATEMENT AS REGISTERED</t>
        </is>
      </c>
      <c r="N531" s="68" t="n"/>
      <c r="O531" s="68" t="n"/>
      <c r="P531" s="64">
        <f>IF(O531&lt;&gt;"",O531,LEFT(D531,2))</f>
        <v/>
      </c>
      <c r="Q531" s="64">
        <f>IF(O531&lt;&gt;"","Standards §6",IF(M531="HEADING ONLY","Derived from heading — PROVISIONAL",IF(M531="TEXT NOT IN REGISTRY","No text to derive from — PROVISIONAL","Derived from registered statement")))</f>
        <v/>
      </c>
      <c r="R531" s="64">
        <f>IF(OR(LEFT(G531,1)="A",L531="COUNTS",ISNUMBER(SEARCH("V1",P531)),ISNUMBER(SEARCH("V2",P531)),ISNUMBER(SEARCH("V5",P531))),"A — 100%","B — sample ≥ 30%")</f>
        <v/>
      </c>
      <c r="S531" s="67" t="n"/>
      <c r="T531" s="67" t="n"/>
      <c r="U531" s="67" t="n"/>
      <c r="V531" s="67" t="n"/>
      <c r="W531" s="67" t="n"/>
      <c r="X531" s="67" t="n"/>
    </row>
    <row r="532" ht="22.35" customHeight="1" s="45">
      <c r="A532" s="65" t="inlineStr">
        <is>
          <t>ENT-40</t>
        </is>
      </c>
      <c r="B532" s="66" t="inlineStr">
        <is>
          <t>entitlement_service_v1</t>
        </is>
      </c>
      <c r="C532" s="66" t="inlineStr">
        <is>
          <t>PROPOSED</t>
        </is>
      </c>
      <c r="D532" s="66" t="inlineStr">
        <is>
          <t>V7 — Document &amp; design inspection</t>
        </is>
      </c>
      <c r="E532" s="66" t="n"/>
      <c r="F532" s="66" t="inlineStr">
        <is>
          <t>Specification text against implementation description; provenance sections; objective card lines</t>
        </is>
      </c>
      <c r="G532" s="66" t="inlineStr">
        <is>
          <t>B — sample ≥ 30%</t>
        </is>
      </c>
      <c r="H532" s="67" t="n"/>
      <c r="I532" s="67" t="n"/>
      <c r="J532" s="67" t="n"/>
      <c r="K532" s="64">
        <f>IFERROR(INDEX('Status Map'!$B$2:$B$12,MATCH(C532,'Status Map'!$A$2:$A$12,0)),"UNDEFINED")</f>
        <v/>
      </c>
      <c r="L532" s="64">
        <f>IFERROR(INDEX('Status Map'!$C$2:$C$12,MATCH(C532,'Status Map'!$A$2:$A$12,0)),"UNDEFINED")</f>
        <v/>
      </c>
      <c r="M532" s="68" t="inlineStr">
        <is>
          <t>STATEMENT AS REGISTERED</t>
        </is>
      </c>
      <c r="N532" s="68" t="n"/>
      <c r="O532" s="68" t="n"/>
      <c r="P532" s="64">
        <f>IF(O532&lt;&gt;"",O532,LEFT(D532,2))</f>
        <v/>
      </c>
      <c r="Q532" s="64">
        <f>IF(O532&lt;&gt;"","Standards §6",IF(M532="HEADING ONLY","Derived from heading — PROVISIONAL",IF(M532="TEXT NOT IN REGISTRY","No text to derive from — PROVISIONAL","Derived from registered statement")))</f>
        <v/>
      </c>
      <c r="R532" s="64">
        <f>IF(OR(LEFT(G532,1)="A",L532="COUNTS",ISNUMBER(SEARCH("V1",P532)),ISNUMBER(SEARCH("V2",P532)),ISNUMBER(SEARCH("V5",P532))),"A — 100%","B — sample ≥ 30%")</f>
        <v/>
      </c>
      <c r="S532" s="67" t="n"/>
      <c r="T532" s="67" t="n"/>
      <c r="U532" s="67" t="n"/>
      <c r="V532" s="67" t="n"/>
      <c r="W532" s="67" t="n"/>
      <c r="X532" s="67" t="n"/>
    </row>
    <row r="533" ht="32.8" customHeight="1" s="45">
      <c r="A533" s="65" t="inlineStr">
        <is>
          <t>ENT-41</t>
        </is>
      </c>
      <c r="B533" s="66" t="inlineStr">
        <is>
          <t>entitlement_service_v1</t>
        </is>
      </c>
      <c r="C533" s="66" t="inlineStr">
        <is>
          <t>PROPOSED</t>
        </is>
      </c>
      <c r="D533" s="66" t="inlineStr">
        <is>
          <t>V5 — Failure-injection demonstration</t>
        </is>
      </c>
      <c r="E533" s="66" t="n"/>
      <c r="F533" s="66" t="inlineStr">
        <is>
          <t>Dependency made unreachable or check made to error; observed refusal; no result returned; stale marker where degradation is the ruled posture</t>
        </is>
      </c>
      <c r="G533" s="66" t="inlineStr">
        <is>
          <t>A — 100%</t>
        </is>
      </c>
      <c r="H533" s="67" t="n"/>
      <c r="I533" s="67" t="n"/>
      <c r="J533" s="67" t="n"/>
      <c r="K533" s="64">
        <f>IFERROR(INDEX('Status Map'!$B$2:$B$12,MATCH(C533,'Status Map'!$A$2:$A$12,0)),"UNDEFINED")</f>
        <v/>
      </c>
      <c r="L533" s="64">
        <f>IFERROR(INDEX('Status Map'!$C$2:$C$12,MATCH(C533,'Status Map'!$A$2:$A$12,0)),"UNDEFINED")</f>
        <v/>
      </c>
      <c r="M533" s="68" t="inlineStr">
        <is>
          <t>STATEMENT AS REGISTERED</t>
        </is>
      </c>
      <c r="N533" s="68" t="n"/>
      <c r="O533" s="68" t="n"/>
      <c r="P533" s="64">
        <f>IF(O533&lt;&gt;"",O533,LEFT(D533,2))</f>
        <v/>
      </c>
      <c r="Q533" s="64">
        <f>IF(O533&lt;&gt;"","Standards §6",IF(M533="HEADING ONLY","Derived from heading — PROVISIONAL",IF(M533="TEXT NOT IN REGISTRY","No text to derive from — PROVISIONAL","Derived from registered statement")))</f>
        <v/>
      </c>
      <c r="R533" s="64">
        <f>IF(OR(LEFT(G533,1)="A",L533="COUNTS",ISNUMBER(SEARCH("V1",P533)),ISNUMBER(SEARCH("V2",P533)),ISNUMBER(SEARCH("V5",P533))),"A — 100%","B — sample ≥ 30%")</f>
        <v/>
      </c>
      <c r="S533" s="67" t="n"/>
      <c r="T533" s="67" t="n"/>
      <c r="U533" s="67" t="n"/>
      <c r="V533" s="67" t="n"/>
      <c r="W533" s="67" t="n"/>
      <c r="X533" s="67" t="n"/>
    </row>
    <row r="534" ht="22.35" customHeight="1" s="45">
      <c r="A534" s="65" t="inlineStr">
        <is>
          <t>ENT-42</t>
        </is>
      </c>
      <c r="B534" s="66" t="inlineStr">
        <is>
          <t>entitlement_service_v1</t>
        </is>
      </c>
      <c r="C534" s="66" t="inlineStr">
        <is>
          <t>PROPOSED</t>
        </is>
      </c>
      <c r="D534" s="66" t="inlineStr">
        <is>
          <t>V7 — Document &amp; design inspection</t>
        </is>
      </c>
      <c r="E534" s="66" t="n"/>
      <c r="F534" s="66" t="inlineStr">
        <is>
          <t>Specification text against implementation description; provenance sections; objective card lines</t>
        </is>
      </c>
      <c r="G534" s="66" t="inlineStr">
        <is>
          <t>B — sample ≥ 30%</t>
        </is>
      </c>
      <c r="H534" s="67" t="n"/>
      <c r="I534" s="67" t="n"/>
      <c r="J534" s="67" t="n"/>
      <c r="K534" s="64">
        <f>IFERROR(INDEX('Status Map'!$B$2:$B$12,MATCH(C534,'Status Map'!$A$2:$A$12,0)),"UNDEFINED")</f>
        <v/>
      </c>
      <c r="L534" s="64">
        <f>IFERROR(INDEX('Status Map'!$C$2:$C$12,MATCH(C534,'Status Map'!$A$2:$A$12,0)),"UNDEFINED")</f>
        <v/>
      </c>
      <c r="M534" s="68" t="inlineStr">
        <is>
          <t>STATEMENT AS REGISTERED</t>
        </is>
      </c>
      <c r="N534" s="68" t="n"/>
      <c r="O534" s="68" t="n"/>
      <c r="P534" s="64">
        <f>IF(O534&lt;&gt;"",O534,LEFT(D534,2))</f>
        <v/>
      </c>
      <c r="Q534" s="64">
        <f>IF(O534&lt;&gt;"","Standards §6",IF(M534="HEADING ONLY","Derived from heading — PROVISIONAL",IF(M534="TEXT NOT IN REGISTRY","No text to derive from — PROVISIONAL","Derived from registered statement")))</f>
        <v/>
      </c>
      <c r="R534" s="64">
        <f>IF(OR(LEFT(G534,1)="A",L534="COUNTS",ISNUMBER(SEARCH("V1",P534)),ISNUMBER(SEARCH("V2",P534)),ISNUMBER(SEARCH("V5",P534))),"A — 100%","B — sample ≥ 30%")</f>
        <v/>
      </c>
      <c r="S534" s="67" t="n"/>
      <c r="T534" s="67" t="n"/>
      <c r="U534" s="67" t="n"/>
      <c r="V534" s="67" t="n"/>
      <c r="W534" s="67" t="n"/>
      <c r="X534" s="67" t="n"/>
    </row>
    <row r="535" ht="22.35" customHeight="1" s="45">
      <c r="A535" s="65" t="inlineStr">
        <is>
          <t>ENT-43</t>
        </is>
      </c>
      <c r="B535" s="66" t="inlineStr">
        <is>
          <t>entitlement_service_v1</t>
        </is>
      </c>
      <c r="C535" s="66" t="inlineStr">
        <is>
          <t>PROPOSED</t>
        </is>
      </c>
      <c r="D535" s="66" t="inlineStr">
        <is>
          <t>V6 — Surface inspection</t>
        </is>
      </c>
      <c r="E535" s="66" t="n"/>
      <c r="F535" s="66" t="inlineStr">
        <is>
          <t>DOM-bound substitution rule or harness receipt; fixed string verbatim; honest-gap variant rendered on null</t>
        </is>
      </c>
      <c r="G535" s="66" t="inlineStr">
        <is>
          <t>B — sample ≥ 30%</t>
        </is>
      </c>
      <c r="H535" s="67" t="n"/>
      <c r="I535" s="67" t="n"/>
      <c r="J535" s="67" t="n"/>
      <c r="K535" s="64">
        <f>IFERROR(INDEX('Status Map'!$B$2:$B$12,MATCH(C535,'Status Map'!$A$2:$A$12,0)),"UNDEFINED")</f>
        <v/>
      </c>
      <c r="L535" s="64">
        <f>IFERROR(INDEX('Status Map'!$C$2:$C$12,MATCH(C535,'Status Map'!$A$2:$A$12,0)),"UNDEFINED")</f>
        <v/>
      </c>
      <c r="M535" s="68" t="inlineStr">
        <is>
          <t>STATEMENT AS REGISTERED</t>
        </is>
      </c>
      <c r="N535" s="68" t="n"/>
      <c r="O535" s="68" t="n"/>
      <c r="P535" s="64">
        <f>IF(O535&lt;&gt;"",O535,LEFT(D535,2))</f>
        <v/>
      </c>
      <c r="Q535" s="64">
        <f>IF(O535&lt;&gt;"","Standards §6",IF(M535="HEADING ONLY","Derived from heading — PROVISIONAL",IF(M535="TEXT NOT IN REGISTRY","No text to derive from — PROVISIONAL","Derived from registered statement")))</f>
        <v/>
      </c>
      <c r="R535" s="64">
        <f>IF(OR(LEFT(G535,1)="A",L535="COUNTS",ISNUMBER(SEARCH("V1",P535)),ISNUMBER(SEARCH("V2",P535)),ISNUMBER(SEARCH("V5",P535))),"A — 100%","B — sample ≥ 30%")</f>
        <v/>
      </c>
      <c r="S535" s="67" t="n"/>
      <c r="T535" s="67" t="n"/>
      <c r="U535" s="67" t="n"/>
      <c r="V535" s="67" t="n"/>
      <c r="W535" s="67" t="n"/>
      <c r="X535" s="67" t="n"/>
    </row>
    <row r="536" ht="22.35" customHeight="1" s="45">
      <c r="A536" s="65" t="inlineStr">
        <is>
          <t>ENT-44</t>
        </is>
      </c>
      <c r="B536" s="66" t="inlineStr">
        <is>
          <t>entitlement_service_v1</t>
        </is>
      </c>
      <c r="C536" s="66" t="inlineStr">
        <is>
          <t>PROPOSED</t>
        </is>
      </c>
      <c r="D536" s="66" t="inlineStr">
        <is>
          <t>V3 — Record evidence</t>
        </is>
      </c>
      <c r="E536" s="66" t="inlineStr">
        <is>
          <t>V6</t>
        </is>
      </c>
      <c r="F536" s="66" t="inlineStr">
        <is>
          <t>Ledger rows inspected; hash-chain verifier receipt; refused operations present on identical terms</t>
        </is>
      </c>
      <c r="G536" s="66" t="inlineStr">
        <is>
          <t>B — sample ≥ 30%</t>
        </is>
      </c>
      <c r="H536" s="67" t="n"/>
      <c r="I536" s="67" t="n"/>
      <c r="J536" s="67" t="n"/>
      <c r="K536" s="64">
        <f>IFERROR(INDEX('Status Map'!$B$2:$B$12,MATCH(C536,'Status Map'!$A$2:$A$12,0)),"UNDEFINED")</f>
        <v/>
      </c>
      <c r="L536" s="64">
        <f>IFERROR(INDEX('Status Map'!$C$2:$C$12,MATCH(C536,'Status Map'!$A$2:$A$12,0)),"UNDEFINED")</f>
        <v/>
      </c>
      <c r="M536" s="68" t="inlineStr">
        <is>
          <t>STATEMENT AS REGISTERED</t>
        </is>
      </c>
      <c r="N536" s="68" t="n"/>
      <c r="O536" s="68" t="n"/>
      <c r="P536" s="64">
        <f>IF(O536&lt;&gt;"",O536,LEFT(D536,2))</f>
        <v/>
      </c>
      <c r="Q536" s="64">
        <f>IF(O536&lt;&gt;"","Standards §6",IF(M536="HEADING ONLY","Derived from heading — PROVISIONAL",IF(M536="TEXT NOT IN REGISTRY","No text to derive from — PROVISIONAL","Derived from registered statement")))</f>
        <v/>
      </c>
      <c r="R536" s="64">
        <f>IF(OR(LEFT(G536,1)="A",L536="COUNTS",ISNUMBER(SEARCH("V1",P536)),ISNUMBER(SEARCH("V2",P536)),ISNUMBER(SEARCH("V5",P536))),"A — 100%","B — sample ≥ 30%")</f>
        <v/>
      </c>
      <c r="S536" s="67" t="n"/>
      <c r="T536" s="67" t="n"/>
      <c r="U536" s="67" t="n"/>
      <c r="V536" s="67" t="n"/>
      <c r="W536" s="67" t="n"/>
      <c r="X536" s="67" t="n"/>
    </row>
    <row r="537" ht="22.35" customHeight="1" s="45">
      <c r="A537" s="65" t="inlineStr">
        <is>
          <t>ENT-45</t>
        </is>
      </c>
      <c r="B537" s="66" t="inlineStr">
        <is>
          <t>entitlement_service_v1</t>
        </is>
      </c>
      <c r="C537" s="66" t="inlineStr">
        <is>
          <t>PROPOSED</t>
        </is>
      </c>
      <c r="D537" s="66" t="inlineStr">
        <is>
          <t>V6 — Surface inspection</t>
        </is>
      </c>
      <c r="E537" s="66" t="n"/>
      <c r="F537" s="66" t="inlineStr">
        <is>
          <t>DOM-bound substitution rule or harness receipt; fixed string verbatim; honest-gap variant rendered on null</t>
        </is>
      </c>
      <c r="G537" s="66" t="inlineStr">
        <is>
          <t>B — sample ≥ 30%</t>
        </is>
      </c>
      <c r="H537" s="67" t="n"/>
      <c r="I537" s="67" t="n"/>
      <c r="J537" s="67" t="n"/>
      <c r="K537" s="64">
        <f>IFERROR(INDEX('Status Map'!$B$2:$B$12,MATCH(C537,'Status Map'!$A$2:$A$12,0)),"UNDEFINED")</f>
        <v/>
      </c>
      <c r="L537" s="64">
        <f>IFERROR(INDEX('Status Map'!$C$2:$C$12,MATCH(C537,'Status Map'!$A$2:$A$12,0)),"UNDEFINED")</f>
        <v/>
      </c>
      <c r="M537" s="68" t="inlineStr">
        <is>
          <t>STATEMENT AS REGISTERED</t>
        </is>
      </c>
      <c r="N537" s="68" t="n"/>
      <c r="O537" s="68" t="n"/>
      <c r="P537" s="64">
        <f>IF(O537&lt;&gt;"",O537,LEFT(D537,2))</f>
        <v/>
      </c>
      <c r="Q537" s="64">
        <f>IF(O537&lt;&gt;"","Standards §6",IF(M537="HEADING ONLY","Derived from heading — PROVISIONAL",IF(M537="TEXT NOT IN REGISTRY","No text to derive from — PROVISIONAL","Derived from registered statement")))</f>
        <v/>
      </c>
      <c r="R537" s="64">
        <f>IF(OR(LEFT(G537,1)="A",L537="COUNTS",ISNUMBER(SEARCH("V1",P537)),ISNUMBER(SEARCH("V2",P537)),ISNUMBER(SEARCH("V5",P537))),"A — 100%","B — sample ≥ 30%")</f>
        <v/>
      </c>
      <c r="S537" s="67" t="n"/>
      <c r="T537" s="67" t="n"/>
      <c r="U537" s="67" t="n"/>
      <c r="V537" s="67" t="n"/>
      <c r="W537" s="67" t="n"/>
      <c r="X537" s="67" t="n"/>
    </row>
    <row r="538" ht="32.8" customHeight="1" s="45">
      <c r="A538" s="65" t="inlineStr">
        <is>
          <t>ENT-46</t>
        </is>
      </c>
      <c r="B538" s="66" t="inlineStr">
        <is>
          <t>entitlement_service_v1</t>
        </is>
      </c>
      <c r="C538" s="66" t="inlineStr">
        <is>
          <t>PROPOSED</t>
        </is>
      </c>
      <c r="D538" s="66" t="inlineStr">
        <is>
          <t>V5 — Failure-injection demonstration</t>
        </is>
      </c>
      <c r="E538" s="66" t="inlineStr">
        <is>
          <t>V6</t>
        </is>
      </c>
      <c r="F538" s="66" t="inlineStr">
        <is>
          <t>Dependency made unreachable or check made to error; observed refusal; no result returned; stale marker where degradation is the ruled posture</t>
        </is>
      </c>
      <c r="G538" s="66" t="inlineStr">
        <is>
          <t>A — 100%</t>
        </is>
      </c>
      <c r="H538" s="67" t="n"/>
      <c r="I538" s="67" t="n"/>
      <c r="J538" s="67" t="n"/>
      <c r="K538" s="64">
        <f>IFERROR(INDEX('Status Map'!$B$2:$B$12,MATCH(C538,'Status Map'!$A$2:$A$12,0)),"UNDEFINED")</f>
        <v/>
      </c>
      <c r="L538" s="64">
        <f>IFERROR(INDEX('Status Map'!$C$2:$C$12,MATCH(C538,'Status Map'!$A$2:$A$12,0)),"UNDEFINED")</f>
        <v/>
      </c>
      <c r="M538" s="68" t="inlineStr">
        <is>
          <t>STATEMENT AS REGISTERED</t>
        </is>
      </c>
      <c r="N538" s="68" t="n"/>
      <c r="O538" s="68" t="n"/>
      <c r="P538" s="64">
        <f>IF(O538&lt;&gt;"",O538,LEFT(D538,2))</f>
        <v/>
      </c>
      <c r="Q538" s="64">
        <f>IF(O538&lt;&gt;"","Standards §6",IF(M538="HEADING ONLY","Derived from heading — PROVISIONAL",IF(M538="TEXT NOT IN REGISTRY","No text to derive from — PROVISIONAL","Derived from registered statement")))</f>
        <v/>
      </c>
      <c r="R538" s="64">
        <f>IF(OR(LEFT(G538,1)="A",L538="COUNTS",ISNUMBER(SEARCH("V1",P538)),ISNUMBER(SEARCH("V2",P538)),ISNUMBER(SEARCH("V5",P538))),"A — 100%","B — sample ≥ 30%")</f>
        <v/>
      </c>
      <c r="S538" s="67" t="n"/>
      <c r="T538" s="67" t="n"/>
      <c r="U538" s="67" t="n"/>
      <c r="V538" s="67" t="n"/>
      <c r="W538" s="67" t="n"/>
      <c r="X538" s="67" t="n"/>
    </row>
    <row r="539" ht="22.35" customHeight="1" s="45">
      <c r="A539" s="65" t="inlineStr">
        <is>
          <t>ENT-47</t>
        </is>
      </c>
      <c r="B539" s="66" t="inlineStr">
        <is>
          <t>entitlement_service_v1</t>
        </is>
      </c>
      <c r="C539" s="66" t="inlineStr">
        <is>
          <t>PROPOSED</t>
        </is>
      </c>
      <c r="D539" s="66" t="inlineStr">
        <is>
          <t>V7 — Document &amp; design inspection</t>
        </is>
      </c>
      <c r="E539" s="66" t="n"/>
      <c r="F539" s="66" t="inlineStr">
        <is>
          <t>Specification text against implementation description; provenance sections; objective card lines</t>
        </is>
      </c>
      <c r="G539" s="66" t="inlineStr">
        <is>
          <t>B — sample ≥ 30%</t>
        </is>
      </c>
      <c r="H539" s="67" t="n"/>
      <c r="I539" s="67" t="n"/>
      <c r="J539" s="67" t="n"/>
      <c r="K539" s="64">
        <f>IFERROR(INDEX('Status Map'!$B$2:$B$12,MATCH(C539,'Status Map'!$A$2:$A$12,0)),"UNDEFINED")</f>
        <v/>
      </c>
      <c r="L539" s="64">
        <f>IFERROR(INDEX('Status Map'!$C$2:$C$12,MATCH(C539,'Status Map'!$A$2:$A$12,0)),"UNDEFINED")</f>
        <v/>
      </c>
      <c r="M539" s="68" t="inlineStr">
        <is>
          <t>STATEMENT AS REGISTERED</t>
        </is>
      </c>
      <c r="N539" s="68" t="n"/>
      <c r="O539" s="68" t="n"/>
      <c r="P539" s="64">
        <f>IF(O539&lt;&gt;"",O539,LEFT(D539,2))</f>
        <v/>
      </c>
      <c r="Q539" s="64">
        <f>IF(O539&lt;&gt;"","Standards §6",IF(M539="HEADING ONLY","Derived from heading — PROVISIONAL",IF(M539="TEXT NOT IN REGISTRY","No text to derive from — PROVISIONAL","Derived from registered statement")))</f>
        <v/>
      </c>
      <c r="R539" s="64">
        <f>IF(OR(LEFT(G539,1)="A",L539="COUNTS",ISNUMBER(SEARCH("V1",P539)),ISNUMBER(SEARCH("V2",P539)),ISNUMBER(SEARCH("V5",P539))),"A — 100%","B — sample ≥ 30%")</f>
        <v/>
      </c>
      <c r="S539" s="67" t="n"/>
      <c r="T539" s="67" t="n"/>
      <c r="U539" s="67" t="n"/>
      <c r="V539" s="67" t="n"/>
      <c r="W539" s="67" t="n"/>
      <c r="X539" s="67" t="n"/>
    </row>
    <row r="540" ht="22.35" customHeight="1" s="45">
      <c r="A540" s="65" t="inlineStr">
        <is>
          <t>ENT-48</t>
        </is>
      </c>
      <c r="B540" s="66" t="inlineStr">
        <is>
          <t>entitlement_service_v1</t>
        </is>
      </c>
      <c r="C540" s="66" t="inlineStr">
        <is>
          <t>PROPOSED</t>
        </is>
      </c>
      <c r="D540" s="66" t="inlineStr">
        <is>
          <t>V3 — Record evidence</t>
        </is>
      </c>
      <c r="E540" s="66" t="inlineStr">
        <is>
          <t>V4</t>
        </is>
      </c>
      <c r="F540" s="66" t="inlineStr">
        <is>
          <t>Ledger rows inspected; hash-chain verifier receipt; refused operations present on identical terms</t>
        </is>
      </c>
      <c r="G540" s="66" t="inlineStr">
        <is>
          <t>B — sample ≥ 30%</t>
        </is>
      </c>
      <c r="H540" s="67" t="n"/>
      <c r="I540" s="67" t="n"/>
      <c r="J540" s="67" t="n"/>
      <c r="K540" s="64">
        <f>IFERROR(INDEX('Status Map'!$B$2:$B$12,MATCH(C540,'Status Map'!$A$2:$A$12,0)),"UNDEFINED")</f>
        <v/>
      </c>
      <c r="L540" s="64">
        <f>IFERROR(INDEX('Status Map'!$C$2:$C$12,MATCH(C540,'Status Map'!$A$2:$A$12,0)),"UNDEFINED")</f>
        <v/>
      </c>
      <c r="M540" s="68" t="inlineStr">
        <is>
          <t>STATEMENT AS REGISTERED</t>
        </is>
      </c>
      <c r="N540" s="68" t="n"/>
      <c r="O540" s="68" t="n"/>
      <c r="P540" s="64">
        <f>IF(O540&lt;&gt;"",O540,LEFT(D540,2))</f>
        <v/>
      </c>
      <c r="Q540" s="64">
        <f>IF(O540&lt;&gt;"","Standards §6",IF(M540="HEADING ONLY","Derived from heading — PROVISIONAL",IF(M540="TEXT NOT IN REGISTRY","No text to derive from — PROVISIONAL","Derived from registered statement")))</f>
        <v/>
      </c>
      <c r="R540" s="64">
        <f>IF(OR(LEFT(G540,1)="A",L540="COUNTS",ISNUMBER(SEARCH("V1",P540)),ISNUMBER(SEARCH("V2",P540)),ISNUMBER(SEARCH("V5",P540))),"A — 100%","B — sample ≥ 30%")</f>
        <v/>
      </c>
      <c r="S540" s="67" t="n"/>
      <c r="T540" s="67" t="n"/>
      <c r="U540" s="67" t="n"/>
      <c r="V540" s="67" t="n"/>
      <c r="W540" s="67" t="n"/>
      <c r="X540" s="67" t="n"/>
    </row>
    <row r="541" ht="22.35" customHeight="1" s="45">
      <c r="A541" s="65" t="inlineStr">
        <is>
          <t>ENT-49</t>
        </is>
      </c>
      <c r="B541" s="66" t="inlineStr">
        <is>
          <t>entitlement_service_v1</t>
        </is>
      </c>
      <c r="C541" s="66" t="inlineStr">
        <is>
          <t>PROPOSED</t>
        </is>
      </c>
      <c r="D541" s="66" t="inlineStr">
        <is>
          <t>V3 — Record evidence</t>
        </is>
      </c>
      <c r="E541" s="66" t="n"/>
      <c r="F541" s="66" t="inlineStr">
        <is>
          <t>Ledger rows inspected; hash-chain verifier receipt; refused operations present on identical terms</t>
        </is>
      </c>
      <c r="G541" s="66" t="inlineStr">
        <is>
          <t>B — sample ≥ 30%</t>
        </is>
      </c>
      <c r="H541" s="67" t="n"/>
      <c r="I541" s="67" t="n"/>
      <c r="J541" s="67" t="n"/>
      <c r="K541" s="64">
        <f>IFERROR(INDEX('Status Map'!$B$2:$B$12,MATCH(C541,'Status Map'!$A$2:$A$12,0)),"UNDEFINED")</f>
        <v/>
      </c>
      <c r="L541" s="64">
        <f>IFERROR(INDEX('Status Map'!$C$2:$C$12,MATCH(C541,'Status Map'!$A$2:$A$12,0)),"UNDEFINED")</f>
        <v/>
      </c>
      <c r="M541" s="68" t="inlineStr">
        <is>
          <t>STATEMENT AS REGISTERED</t>
        </is>
      </c>
      <c r="N541" s="68" t="inlineStr">
        <is>
          <t>C-6.11.7</t>
        </is>
      </c>
      <c r="O541" s="68" t="inlineStr">
        <is>
          <t>V2</t>
        </is>
      </c>
      <c r="P541" s="64">
        <f>IF(O541&lt;&gt;"",O541,LEFT(D541,2))</f>
        <v/>
      </c>
      <c r="Q541" s="64">
        <f>IF(O541&lt;&gt;"","Standards §6",IF(M541="HEADING ONLY","Derived from heading — PROVISIONAL",IF(M541="TEXT NOT IN REGISTRY","No text to derive from — PROVISIONAL","Derived from registered statement")))</f>
        <v/>
      </c>
      <c r="R541" s="64">
        <f>IF(OR(LEFT(G541,1)="A",L541="COUNTS",ISNUMBER(SEARCH("V1",P541)),ISNUMBER(SEARCH("V2",P541)),ISNUMBER(SEARCH("V5",P541))),"A — 100%","B — sample ≥ 30%")</f>
        <v/>
      </c>
      <c r="S541" s="67" t="n"/>
      <c r="T541" s="67" t="n"/>
      <c r="U541" s="67" t="n"/>
      <c r="V541" s="67" t="n"/>
      <c r="W541" s="67" t="n"/>
      <c r="X541" s="67" t="n"/>
    </row>
    <row r="542" ht="22.35" customHeight="1" s="45">
      <c r="A542" s="65" t="inlineStr">
        <is>
          <t>MEM-1</t>
        </is>
      </c>
      <c r="B542" s="66" t="inlineStr">
        <is>
          <t>memory_compaction_v1</t>
        </is>
      </c>
      <c r="C542" s="66" t="inlineStr">
        <is>
          <t>PROPOSED</t>
        </is>
      </c>
      <c r="D542" s="66" t="inlineStr">
        <is>
          <t>V2 — Structural evidence</t>
        </is>
      </c>
      <c r="E542" s="66" t="inlineStr">
        <is>
          <t>V3</t>
        </is>
      </c>
      <c r="F542" s="66" t="inlineStr">
        <is>
          <t>Negative-scan or AST rule present, named, and green in CI; scan surface stated</t>
        </is>
      </c>
      <c r="G542" s="66" t="inlineStr">
        <is>
          <t>A — 100%</t>
        </is>
      </c>
      <c r="H542" s="67" t="n"/>
      <c r="I542" s="67" t="n"/>
      <c r="J542" s="67" t="n"/>
      <c r="K542" s="64">
        <f>IFERROR(INDEX('Status Map'!$B$2:$B$12,MATCH(C542,'Status Map'!$A$2:$A$12,0)),"UNDEFINED")</f>
        <v/>
      </c>
      <c r="L542" s="64">
        <f>IFERROR(INDEX('Status Map'!$C$2:$C$12,MATCH(C542,'Status Map'!$A$2:$A$12,0)),"UNDEFINED")</f>
        <v/>
      </c>
      <c r="M542" s="68" t="inlineStr">
        <is>
          <t>STATEMENT AS REGISTERED</t>
        </is>
      </c>
      <c r="N542" s="68" t="inlineStr">
        <is>
          <t>C-6.10.1</t>
        </is>
      </c>
      <c r="O542" s="68" t="inlineStr">
        <is>
          <t>V2</t>
        </is>
      </c>
      <c r="P542" s="64">
        <f>IF(O542&lt;&gt;"",O542,LEFT(D542,2))</f>
        <v/>
      </c>
      <c r="Q542" s="64">
        <f>IF(O542&lt;&gt;"","Standards §6",IF(M542="HEADING ONLY","Derived from heading — PROVISIONAL",IF(M542="TEXT NOT IN REGISTRY","No text to derive from — PROVISIONAL","Derived from registered statement")))</f>
        <v/>
      </c>
      <c r="R542" s="64">
        <f>IF(OR(LEFT(G542,1)="A",L542="COUNTS",ISNUMBER(SEARCH("V1",P542)),ISNUMBER(SEARCH("V2",P542)),ISNUMBER(SEARCH("V5",P542))),"A — 100%","B — sample ≥ 30%")</f>
        <v/>
      </c>
      <c r="S542" s="67" t="n"/>
      <c r="T542" s="67" t="n"/>
      <c r="U542" s="67" t="n"/>
      <c r="V542" s="67" t="n"/>
      <c r="W542" s="67" t="n"/>
      <c r="X542" s="67" t="n"/>
    </row>
    <row r="543" ht="22.35" customHeight="1" s="45">
      <c r="A543" s="65" t="inlineStr">
        <is>
          <t>MEM-2</t>
        </is>
      </c>
      <c r="B543" s="66" t="inlineStr">
        <is>
          <t>memory_compaction_v1</t>
        </is>
      </c>
      <c r="C543" s="66" t="inlineStr">
        <is>
          <t>PROPOSED</t>
        </is>
      </c>
      <c r="D543" s="66" t="inlineStr">
        <is>
          <t>V1 — Test evidence</t>
        </is>
      </c>
      <c r="E543" s="66" t="inlineStr">
        <is>
          <t>V5</t>
        </is>
      </c>
      <c r="F543" s="66" t="inlineStr">
        <is>
          <t>Golden-input, byte-identical output; RED-first test ID; ratchet manifest entry</t>
        </is>
      </c>
      <c r="G543" s="66" t="inlineStr">
        <is>
          <t>A — 100%</t>
        </is>
      </c>
      <c r="H543" s="67" t="n"/>
      <c r="I543" s="67" t="n"/>
      <c r="J543" s="67" t="n"/>
      <c r="K543" s="64">
        <f>IFERROR(INDEX('Status Map'!$B$2:$B$12,MATCH(C543,'Status Map'!$A$2:$A$12,0)),"UNDEFINED")</f>
        <v/>
      </c>
      <c r="L543" s="64">
        <f>IFERROR(INDEX('Status Map'!$C$2:$C$12,MATCH(C543,'Status Map'!$A$2:$A$12,0)),"UNDEFINED")</f>
        <v/>
      </c>
      <c r="M543" s="68" t="inlineStr">
        <is>
          <t>STATEMENT AS REGISTERED</t>
        </is>
      </c>
      <c r="N543" s="68" t="n"/>
      <c r="O543" s="68" t="n"/>
      <c r="P543" s="64">
        <f>IF(O543&lt;&gt;"",O543,LEFT(D543,2))</f>
        <v/>
      </c>
      <c r="Q543" s="64">
        <f>IF(O543&lt;&gt;"","Standards §6",IF(M543="HEADING ONLY","Derived from heading — PROVISIONAL",IF(M543="TEXT NOT IN REGISTRY","No text to derive from — PROVISIONAL","Derived from registered statement")))</f>
        <v/>
      </c>
      <c r="R543" s="64">
        <f>IF(OR(LEFT(G543,1)="A",L543="COUNTS",ISNUMBER(SEARCH("V1",P543)),ISNUMBER(SEARCH("V2",P543)),ISNUMBER(SEARCH("V5",P543))),"A — 100%","B — sample ≥ 30%")</f>
        <v/>
      </c>
      <c r="S543" s="67" t="n"/>
      <c r="T543" s="67" t="n"/>
      <c r="U543" s="67" t="n"/>
      <c r="V543" s="67" t="n"/>
      <c r="W543" s="67" t="n"/>
      <c r="X543" s="67" t="n"/>
    </row>
    <row r="544" ht="22.35" customHeight="1" s="45">
      <c r="A544" s="65" t="inlineStr">
        <is>
          <t>MEM-3</t>
        </is>
      </c>
      <c r="B544" s="66" t="inlineStr">
        <is>
          <t>memory_compaction_v1</t>
        </is>
      </c>
      <c r="C544" s="66" t="inlineStr">
        <is>
          <t>PROPOSED</t>
        </is>
      </c>
      <c r="D544" s="66" t="inlineStr">
        <is>
          <t>V1 — Test evidence</t>
        </is>
      </c>
      <c r="E544" s="66" t="inlineStr">
        <is>
          <t>V2</t>
        </is>
      </c>
      <c r="F544" s="66" t="inlineStr">
        <is>
          <t>Golden-input, byte-identical output; RED-first test ID; ratchet manifest entry</t>
        </is>
      </c>
      <c r="G544" s="66" t="inlineStr">
        <is>
          <t>A — 100%</t>
        </is>
      </c>
      <c r="H544" s="67" t="n"/>
      <c r="I544" s="67" t="n"/>
      <c r="J544" s="67" t="n"/>
      <c r="K544" s="64">
        <f>IFERROR(INDEX('Status Map'!$B$2:$B$12,MATCH(C544,'Status Map'!$A$2:$A$12,0)),"UNDEFINED")</f>
        <v/>
      </c>
      <c r="L544" s="64">
        <f>IFERROR(INDEX('Status Map'!$C$2:$C$12,MATCH(C544,'Status Map'!$A$2:$A$12,0)),"UNDEFINED")</f>
        <v/>
      </c>
      <c r="M544" s="68" t="inlineStr">
        <is>
          <t>STATEMENT AS REGISTERED</t>
        </is>
      </c>
      <c r="N544" s="68" t="inlineStr">
        <is>
          <t>C-6.10.2, C-6.10.3</t>
        </is>
      </c>
      <c r="O544" s="68" t="inlineStr">
        <is>
          <t>V1 + V2</t>
        </is>
      </c>
      <c r="P544" s="64">
        <f>IF(O544&lt;&gt;"",O544,LEFT(D544,2))</f>
        <v/>
      </c>
      <c r="Q544" s="64">
        <f>IF(O544&lt;&gt;"","Standards §6",IF(M544="HEADING ONLY","Derived from heading — PROVISIONAL",IF(M544="TEXT NOT IN REGISTRY","No text to derive from — PROVISIONAL","Derived from registered statement")))</f>
        <v/>
      </c>
      <c r="R544" s="64">
        <f>IF(OR(LEFT(G544,1)="A",L544="COUNTS",ISNUMBER(SEARCH("V1",P544)),ISNUMBER(SEARCH("V2",P544)),ISNUMBER(SEARCH("V5",P544))),"A — 100%","B — sample ≥ 30%")</f>
        <v/>
      </c>
      <c r="S544" s="67" t="n"/>
      <c r="T544" s="67" t="n"/>
      <c r="U544" s="67" t="n"/>
      <c r="V544" s="67" t="n"/>
      <c r="W544" s="67" t="n"/>
      <c r="X544" s="67" t="n"/>
    </row>
    <row r="545" ht="22.35" customHeight="1" s="45">
      <c r="A545" s="65" t="inlineStr">
        <is>
          <t>MEM-4</t>
        </is>
      </c>
      <c r="B545" s="66" t="inlineStr">
        <is>
          <t>memory_compaction_v1</t>
        </is>
      </c>
      <c r="C545" s="66" t="inlineStr">
        <is>
          <t>PROPOSED</t>
        </is>
      </c>
      <c r="D545" s="66" t="inlineStr">
        <is>
          <t>V1 — Test evidence</t>
        </is>
      </c>
      <c r="E545" s="66" t="n"/>
      <c r="F545" s="66" t="inlineStr">
        <is>
          <t>Golden-input, byte-identical output; RED-first test ID; ratchet manifest entry</t>
        </is>
      </c>
      <c r="G545" s="66" t="inlineStr">
        <is>
          <t>A — 100%</t>
        </is>
      </c>
      <c r="H545" s="67" t="n"/>
      <c r="I545" s="67" t="n"/>
      <c r="J545" s="67" t="n"/>
      <c r="K545" s="64">
        <f>IFERROR(INDEX('Status Map'!$B$2:$B$12,MATCH(C545,'Status Map'!$A$2:$A$12,0)),"UNDEFINED")</f>
        <v/>
      </c>
      <c r="L545" s="64">
        <f>IFERROR(INDEX('Status Map'!$C$2:$C$12,MATCH(C545,'Status Map'!$A$2:$A$12,0)),"UNDEFINED")</f>
        <v/>
      </c>
      <c r="M545" s="68" t="inlineStr">
        <is>
          <t>STATEMENT AS REGISTERED</t>
        </is>
      </c>
      <c r="N545" s="68" t="n"/>
      <c r="O545" s="68" t="n"/>
      <c r="P545" s="64">
        <f>IF(O545&lt;&gt;"",O545,LEFT(D545,2))</f>
        <v/>
      </c>
      <c r="Q545" s="64">
        <f>IF(O545&lt;&gt;"","Standards §6",IF(M545="HEADING ONLY","Derived from heading — PROVISIONAL",IF(M545="TEXT NOT IN REGISTRY","No text to derive from — PROVISIONAL","Derived from registered statement")))</f>
        <v/>
      </c>
      <c r="R545" s="64">
        <f>IF(OR(LEFT(G545,1)="A",L545="COUNTS",ISNUMBER(SEARCH("V1",P545)),ISNUMBER(SEARCH("V2",P545)),ISNUMBER(SEARCH("V5",P545))),"A — 100%","B — sample ≥ 30%")</f>
        <v/>
      </c>
      <c r="S545" s="67" t="n"/>
      <c r="T545" s="67" t="n"/>
      <c r="U545" s="67" t="n"/>
      <c r="V545" s="67" t="n"/>
      <c r="W545" s="67" t="n"/>
      <c r="X545" s="67" t="n"/>
    </row>
    <row r="546" ht="22.35" customHeight="1" s="45">
      <c r="A546" s="65" t="inlineStr">
        <is>
          <t>MEM-5</t>
        </is>
      </c>
      <c r="B546" s="66" t="inlineStr">
        <is>
          <t>memory_compaction_v1</t>
        </is>
      </c>
      <c r="C546" s="66" t="inlineStr">
        <is>
          <t>PROPOSED</t>
        </is>
      </c>
      <c r="D546" s="66" t="inlineStr">
        <is>
          <t>V1 — Test evidence</t>
        </is>
      </c>
      <c r="E546" s="66" t="inlineStr">
        <is>
          <t>V3</t>
        </is>
      </c>
      <c r="F546" s="66" t="inlineStr">
        <is>
          <t>Golden-input, byte-identical output; RED-first test ID; ratchet manifest entry</t>
        </is>
      </c>
      <c r="G546" s="66" t="inlineStr">
        <is>
          <t>A — 100%</t>
        </is>
      </c>
      <c r="H546" s="67" t="n"/>
      <c r="I546" s="67" t="n"/>
      <c r="J546" s="67" t="n"/>
      <c r="K546" s="64">
        <f>IFERROR(INDEX('Status Map'!$B$2:$B$12,MATCH(C546,'Status Map'!$A$2:$A$12,0)),"UNDEFINED")</f>
        <v/>
      </c>
      <c r="L546" s="64">
        <f>IFERROR(INDEX('Status Map'!$C$2:$C$12,MATCH(C546,'Status Map'!$A$2:$A$12,0)),"UNDEFINED")</f>
        <v/>
      </c>
      <c r="M546" s="68" t="inlineStr">
        <is>
          <t>STATEMENT AS REGISTERED</t>
        </is>
      </c>
      <c r="N546" s="68" t="n"/>
      <c r="O546" s="68" t="n"/>
      <c r="P546" s="64">
        <f>IF(O546&lt;&gt;"",O546,LEFT(D546,2))</f>
        <v/>
      </c>
      <c r="Q546" s="64">
        <f>IF(O546&lt;&gt;"","Standards §6",IF(M546="HEADING ONLY","Derived from heading — PROVISIONAL",IF(M546="TEXT NOT IN REGISTRY","No text to derive from — PROVISIONAL","Derived from registered statement")))</f>
        <v/>
      </c>
      <c r="R546" s="64">
        <f>IF(OR(LEFT(G546,1)="A",L546="COUNTS",ISNUMBER(SEARCH("V1",P546)),ISNUMBER(SEARCH("V2",P546)),ISNUMBER(SEARCH("V5",P546))),"A — 100%","B — sample ≥ 30%")</f>
        <v/>
      </c>
      <c r="S546" s="67" t="n"/>
      <c r="T546" s="67" t="n"/>
      <c r="U546" s="67" t="n"/>
      <c r="V546" s="67" t="n"/>
      <c r="W546" s="67" t="n"/>
      <c r="X546" s="67" t="n"/>
    </row>
    <row r="547" ht="22.35" customHeight="1" s="45">
      <c r="A547" s="65" t="inlineStr">
        <is>
          <t>MEM-6</t>
        </is>
      </c>
      <c r="B547" s="66" t="inlineStr">
        <is>
          <t>memory_compaction_v1</t>
        </is>
      </c>
      <c r="C547" s="66" t="inlineStr">
        <is>
          <t>PROPOSED</t>
        </is>
      </c>
      <c r="D547" s="66" t="inlineStr">
        <is>
          <t>V1 — Test evidence</t>
        </is>
      </c>
      <c r="E547" s="66" t="inlineStr">
        <is>
          <t>V3</t>
        </is>
      </c>
      <c r="F547" s="66" t="inlineStr">
        <is>
          <t>Golden-input, byte-identical output; RED-first test ID; ratchet manifest entry</t>
        </is>
      </c>
      <c r="G547" s="66" t="inlineStr">
        <is>
          <t>A — 100%</t>
        </is>
      </c>
      <c r="H547" s="67" t="n"/>
      <c r="I547" s="67" t="n"/>
      <c r="J547" s="67" t="n"/>
      <c r="K547" s="64">
        <f>IFERROR(INDEX('Status Map'!$B$2:$B$12,MATCH(C547,'Status Map'!$A$2:$A$12,0)),"UNDEFINED")</f>
        <v/>
      </c>
      <c r="L547" s="64">
        <f>IFERROR(INDEX('Status Map'!$C$2:$C$12,MATCH(C547,'Status Map'!$A$2:$A$12,0)),"UNDEFINED")</f>
        <v/>
      </c>
      <c r="M547" s="68" t="inlineStr">
        <is>
          <t>STATEMENT AS REGISTERED</t>
        </is>
      </c>
      <c r="N547" s="68" t="inlineStr">
        <is>
          <t>C-6.10.4</t>
        </is>
      </c>
      <c r="O547" s="68" t="inlineStr">
        <is>
          <t>V3 + V5</t>
        </is>
      </c>
      <c r="P547" s="64">
        <f>IF(O547&lt;&gt;"",O547,LEFT(D547,2))</f>
        <v/>
      </c>
      <c r="Q547" s="64">
        <f>IF(O547&lt;&gt;"","Standards §6",IF(M547="HEADING ONLY","Derived from heading — PROVISIONAL",IF(M547="TEXT NOT IN REGISTRY","No text to derive from — PROVISIONAL","Derived from registered statement")))</f>
        <v/>
      </c>
      <c r="R547" s="64">
        <f>IF(OR(LEFT(G547,1)="A",L547="COUNTS",ISNUMBER(SEARCH("V1",P547)),ISNUMBER(SEARCH("V2",P547)),ISNUMBER(SEARCH("V5",P547))),"A — 100%","B — sample ≥ 30%")</f>
        <v/>
      </c>
      <c r="S547" s="67" t="n"/>
      <c r="T547" s="67" t="n"/>
      <c r="U547" s="67" t="n"/>
      <c r="V547" s="67" t="n"/>
      <c r="W547" s="67" t="n"/>
      <c r="X547" s="67" t="n"/>
    </row>
    <row r="548" ht="22.35" customHeight="1" s="45">
      <c r="A548" s="65" t="inlineStr">
        <is>
          <t>MEM-7</t>
        </is>
      </c>
      <c r="B548" s="66" t="inlineStr">
        <is>
          <t>memory_compaction_v1</t>
        </is>
      </c>
      <c r="C548" s="66" t="inlineStr">
        <is>
          <t>PROPOSED</t>
        </is>
      </c>
      <c r="D548" s="66" t="inlineStr">
        <is>
          <t>V1 — Test evidence</t>
        </is>
      </c>
      <c r="E548" s="66" t="inlineStr">
        <is>
          <t>V5</t>
        </is>
      </c>
      <c r="F548" s="66" t="inlineStr">
        <is>
          <t>Golden-input, byte-identical output; RED-first test ID; ratchet manifest entry</t>
        </is>
      </c>
      <c r="G548" s="66" t="inlineStr">
        <is>
          <t>A — 100%</t>
        </is>
      </c>
      <c r="H548" s="67" t="n"/>
      <c r="I548" s="67" t="n"/>
      <c r="J548" s="67" t="n"/>
      <c r="K548" s="64">
        <f>IFERROR(INDEX('Status Map'!$B$2:$B$12,MATCH(C548,'Status Map'!$A$2:$A$12,0)),"UNDEFINED")</f>
        <v/>
      </c>
      <c r="L548" s="64">
        <f>IFERROR(INDEX('Status Map'!$C$2:$C$12,MATCH(C548,'Status Map'!$A$2:$A$12,0)),"UNDEFINED")</f>
        <v/>
      </c>
      <c r="M548" s="68" t="inlineStr">
        <is>
          <t>STATEMENT AS REGISTERED</t>
        </is>
      </c>
      <c r="N548" s="68" t="inlineStr">
        <is>
          <t>C-6.10.5</t>
        </is>
      </c>
      <c r="O548" s="68" t="inlineStr">
        <is>
          <t>V1 + V5</t>
        </is>
      </c>
      <c r="P548" s="64">
        <f>IF(O548&lt;&gt;"",O548,LEFT(D548,2))</f>
        <v/>
      </c>
      <c r="Q548" s="64">
        <f>IF(O548&lt;&gt;"","Standards §6",IF(M548="HEADING ONLY","Derived from heading — PROVISIONAL",IF(M548="TEXT NOT IN REGISTRY","No text to derive from — PROVISIONAL","Derived from registered statement")))</f>
        <v/>
      </c>
      <c r="R548" s="64">
        <f>IF(OR(LEFT(G548,1)="A",L548="COUNTS",ISNUMBER(SEARCH("V1",P548)),ISNUMBER(SEARCH("V2",P548)),ISNUMBER(SEARCH("V5",P548))),"A — 100%","B — sample ≥ 30%")</f>
        <v/>
      </c>
      <c r="S548" s="67" t="n"/>
      <c r="T548" s="67" t="n"/>
      <c r="U548" s="67" t="n"/>
      <c r="V548" s="67" t="n"/>
      <c r="W548" s="67" t="n"/>
      <c r="X548" s="67" t="n"/>
    </row>
    <row r="549" ht="22.35" customHeight="1" s="45">
      <c r="A549" s="65" t="inlineStr">
        <is>
          <t>MEM-8</t>
        </is>
      </c>
      <c r="B549" s="66" t="inlineStr">
        <is>
          <t>memory_compaction_v1</t>
        </is>
      </c>
      <c r="C549" s="66" t="inlineStr">
        <is>
          <t>PROPOSED</t>
        </is>
      </c>
      <c r="D549" s="66" t="inlineStr">
        <is>
          <t>V2 — Structural evidence</t>
        </is>
      </c>
      <c r="E549" s="66" t="inlineStr">
        <is>
          <t>V3</t>
        </is>
      </c>
      <c r="F549" s="66" t="inlineStr">
        <is>
          <t>Negative-scan or AST rule present, named, and green in CI; scan surface stated</t>
        </is>
      </c>
      <c r="G549" s="66" t="inlineStr">
        <is>
          <t>A — 100%</t>
        </is>
      </c>
      <c r="H549" s="67" t="n"/>
      <c r="I549" s="67" t="n"/>
      <c r="J549" s="67" t="n"/>
      <c r="K549" s="64">
        <f>IFERROR(INDEX('Status Map'!$B$2:$B$12,MATCH(C549,'Status Map'!$A$2:$A$12,0)),"UNDEFINED")</f>
        <v/>
      </c>
      <c r="L549" s="64">
        <f>IFERROR(INDEX('Status Map'!$C$2:$C$12,MATCH(C549,'Status Map'!$A$2:$A$12,0)),"UNDEFINED")</f>
        <v/>
      </c>
      <c r="M549" s="68" t="inlineStr">
        <is>
          <t>STATEMENT AS REGISTERED</t>
        </is>
      </c>
      <c r="N549" s="68" t="inlineStr">
        <is>
          <t>C-6.10.5</t>
        </is>
      </c>
      <c r="O549" s="68" t="inlineStr">
        <is>
          <t>V1 + V5</t>
        </is>
      </c>
      <c r="P549" s="64">
        <f>IF(O549&lt;&gt;"",O549,LEFT(D549,2))</f>
        <v/>
      </c>
      <c r="Q549" s="64">
        <f>IF(O549&lt;&gt;"","Standards §6",IF(M549="HEADING ONLY","Derived from heading — PROVISIONAL",IF(M549="TEXT NOT IN REGISTRY","No text to derive from — PROVISIONAL","Derived from registered statement")))</f>
        <v/>
      </c>
      <c r="R549" s="64">
        <f>IF(OR(LEFT(G549,1)="A",L549="COUNTS",ISNUMBER(SEARCH("V1",P549)),ISNUMBER(SEARCH("V2",P549)),ISNUMBER(SEARCH("V5",P549))),"A — 100%","B — sample ≥ 30%")</f>
        <v/>
      </c>
      <c r="S549" s="67" t="n"/>
      <c r="T549" s="67" t="n"/>
      <c r="U549" s="67" t="n"/>
      <c r="V549" s="67" t="n"/>
      <c r="W549" s="67" t="n"/>
      <c r="X549" s="67" t="n"/>
    </row>
    <row r="550" ht="22.35" customHeight="1" s="45">
      <c r="A550" s="65" t="inlineStr">
        <is>
          <t>MEM-9</t>
        </is>
      </c>
      <c r="B550" s="66" t="inlineStr">
        <is>
          <t>memory_compaction_v1</t>
        </is>
      </c>
      <c r="C550" s="66" t="inlineStr">
        <is>
          <t>PROPOSED</t>
        </is>
      </c>
      <c r="D550" s="66" t="inlineStr">
        <is>
          <t>V7 — Document &amp; design inspection</t>
        </is>
      </c>
      <c r="E550" s="66" t="n"/>
      <c r="F550" s="66" t="inlineStr">
        <is>
          <t>Specification text against implementation description; provenance sections; objective card lines</t>
        </is>
      </c>
      <c r="G550" s="66" t="inlineStr">
        <is>
          <t>B — sample ≥ 30%</t>
        </is>
      </c>
      <c r="H550" s="67" t="n"/>
      <c r="I550" s="67" t="n"/>
      <c r="J550" s="67" t="n"/>
      <c r="K550" s="64">
        <f>IFERROR(INDEX('Status Map'!$B$2:$B$12,MATCH(C550,'Status Map'!$A$2:$A$12,0)),"UNDEFINED")</f>
        <v/>
      </c>
      <c r="L550" s="64">
        <f>IFERROR(INDEX('Status Map'!$C$2:$C$12,MATCH(C550,'Status Map'!$A$2:$A$12,0)),"UNDEFINED")</f>
        <v/>
      </c>
      <c r="M550" s="68" t="inlineStr">
        <is>
          <t>STATEMENT AS REGISTERED</t>
        </is>
      </c>
      <c r="N550" s="68" t="inlineStr">
        <is>
          <t>C-6.10.6, C-6.15.2</t>
        </is>
      </c>
      <c r="O550" s="68" t="inlineStr">
        <is>
          <t>V5</t>
        </is>
      </c>
      <c r="P550" s="64">
        <f>IF(O550&lt;&gt;"",O550,LEFT(D550,2))</f>
        <v/>
      </c>
      <c r="Q550" s="64">
        <f>IF(O550&lt;&gt;"","Standards §6",IF(M550="HEADING ONLY","Derived from heading — PROVISIONAL",IF(M550="TEXT NOT IN REGISTRY","No text to derive from — PROVISIONAL","Derived from registered statement")))</f>
        <v/>
      </c>
      <c r="R550" s="64">
        <f>IF(OR(LEFT(G550,1)="A",L550="COUNTS",ISNUMBER(SEARCH("V1",P550)),ISNUMBER(SEARCH("V2",P550)),ISNUMBER(SEARCH("V5",P550))),"A — 100%","B — sample ≥ 30%")</f>
        <v/>
      </c>
      <c r="S550" s="67" t="n"/>
      <c r="T550" s="67" t="n"/>
      <c r="U550" s="67" t="n"/>
      <c r="V550" s="67" t="n"/>
      <c r="W550" s="67" t="n"/>
      <c r="X550" s="67" t="n"/>
    </row>
    <row r="551" ht="22.35" customHeight="1" s="45">
      <c r="A551" s="65" t="inlineStr">
        <is>
          <t>MEM-10</t>
        </is>
      </c>
      <c r="B551" s="66" t="inlineStr">
        <is>
          <t>memory_compaction_v1</t>
        </is>
      </c>
      <c r="C551" s="66" t="inlineStr">
        <is>
          <t>PROPOSED</t>
        </is>
      </c>
      <c r="D551" s="66" t="inlineStr">
        <is>
          <t>V3 — Record evidence</t>
        </is>
      </c>
      <c r="E551" s="66" t="n"/>
      <c r="F551" s="66" t="inlineStr">
        <is>
          <t>Ledger rows inspected; hash-chain verifier receipt; refused operations present on identical terms</t>
        </is>
      </c>
      <c r="G551" s="66" t="inlineStr">
        <is>
          <t>B — sample ≥ 30%</t>
        </is>
      </c>
      <c r="H551" s="67" t="n"/>
      <c r="I551" s="67" t="n"/>
      <c r="J551" s="67" t="n"/>
      <c r="K551" s="64">
        <f>IFERROR(INDEX('Status Map'!$B$2:$B$12,MATCH(C551,'Status Map'!$A$2:$A$12,0)),"UNDEFINED")</f>
        <v/>
      </c>
      <c r="L551" s="64">
        <f>IFERROR(INDEX('Status Map'!$C$2:$C$12,MATCH(C551,'Status Map'!$A$2:$A$12,0)),"UNDEFINED")</f>
        <v/>
      </c>
      <c r="M551" s="68" t="inlineStr">
        <is>
          <t>STATEMENT AS REGISTERED</t>
        </is>
      </c>
      <c r="N551" s="68" t="n"/>
      <c r="O551" s="68" t="n"/>
      <c r="P551" s="64">
        <f>IF(O551&lt;&gt;"",O551,LEFT(D551,2))</f>
        <v/>
      </c>
      <c r="Q551" s="64">
        <f>IF(O551&lt;&gt;"","Standards §6",IF(M551="HEADING ONLY","Derived from heading — PROVISIONAL",IF(M551="TEXT NOT IN REGISTRY","No text to derive from — PROVISIONAL","Derived from registered statement")))</f>
        <v/>
      </c>
      <c r="R551" s="64">
        <f>IF(OR(LEFT(G551,1)="A",L551="COUNTS",ISNUMBER(SEARCH("V1",P551)),ISNUMBER(SEARCH("V2",P551)),ISNUMBER(SEARCH("V5",P551))),"A — 100%","B — sample ≥ 30%")</f>
        <v/>
      </c>
      <c r="S551" s="67" t="n"/>
      <c r="T551" s="67" t="n"/>
      <c r="U551" s="67" t="n"/>
      <c r="V551" s="67" t="n"/>
      <c r="W551" s="67" t="n"/>
      <c r="X551" s="67" t="n"/>
    </row>
    <row r="552" ht="22.35" customHeight="1" s="45">
      <c r="A552" s="65" t="inlineStr">
        <is>
          <t>MEM-11</t>
        </is>
      </c>
      <c r="B552" s="66" t="inlineStr">
        <is>
          <t>memory_compaction_v1</t>
        </is>
      </c>
      <c r="C552" s="66" t="inlineStr">
        <is>
          <t>PROPOSED</t>
        </is>
      </c>
      <c r="D552" s="66" t="inlineStr">
        <is>
          <t>V1 — Test evidence</t>
        </is>
      </c>
      <c r="E552" s="66" t="inlineStr">
        <is>
          <t>V3</t>
        </is>
      </c>
      <c r="F552" s="66" t="inlineStr">
        <is>
          <t>Golden-input, byte-identical output; RED-first test ID; ratchet manifest entry</t>
        </is>
      </c>
      <c r="G552" s="66" t="inlineStr">
        <is>
          <t>A — 100%</t>
        </is>
      </c>
      <c r="H552" s="67" t="n"/>
      <c r="I552" s="67" t="n"/>
      <c r="J552" s="67" t="n"/>
      <c r="K552" s="64">
        <f>IFERROR(INDEX('Status Map'!$B$2:$B$12,MATCH(C552,'Status Map'!$A$2:$A$12,0)),"UNDEFINED")</f>
        <v/>
      </c>
      <c r="L552" s="64">
        <f>IFERROR(INDEX('Status Map'!$C$2:$C$12,MATCH(C552,'Status Map'!$A$2:$A$12,0)),"UNDEFINED")</f>
        <v/>
      </c>
      <c r="M552" s="68" t="inlineStr">
        <is>
          <t>STATEMENT AS REGISTERED</t>
        </is>
      </c>
      <c r="N552" s="68" t="n"/>
      <c r="O552" s="68" t="n"/>
      <c r="P552" s="64">
        <f>IF(O552&lt;&gt;"",O552,LEFT(D552,2))</f>
        <v/>
      </c>
      <c r="Q552" s="64">
        <f>IF(O552&lt;&gt;"","Standards §6",IF(M552="HEADING ONLY","Derived from heading — PROVISIONAL",IF(M552="TEXT NOT IN REGISTRY","No text to derive from — PROVISIONAL","Derived from registered statement")))</f>
        <v/>
      </c>
      <c r="R552" s="64">
        <f>IF(OR(LEFT(G552,1)="A",L552="COUNTS",ISNUMBER(SEARCH("V1",P552)),ISNUMBER(SEARCH("V2",P552)),ISNUMBER(SEARCH("V5",P552))),"A — 100%","B — sample ≥ 30%")</f>
        <v/>
      </c>
      <c r="S552" s="67" t="n"/>
      <c r="T552" s="67" t="n"/>
      <c r="U552" s="67" t="n"/>
      <c r="V552" s="67" t="n"/>
      <c r="W552" s="67" t="n"/>
      <c r="X552" s="67" t="n"/>
    </row>
    <row r="553" ht="22.35" customHeight="1" s="45">
      <c r="A553" s="65" t="inlineStr">
        <is>
          <t>PRIN-1</t>
        </is>
      </c>
      <c r="B553" s="66" t="inlineStr">
        <is>
          <t>principal_model_v1</t>
        </is>
      </c>
      <c r="C553" s="66" t="inlineStr">
        <is>
          <t>PROPOSED</t>
        </is>
      </c>
      <c r="D553" s="66" t="inlineStr">
        <is>
          <t>V2 — Structural evidence</t>
        </is>
      </c>
      <c r="E553" s="66" t="n"/>
      <c r="F553" s="66" t="inlineStr">
        <is>
          <t>Negative-scan or AST rule present, named, and green in CI; scan surface stated</t>
        </is>
      </c>
      <c r="G553" s="66" t="inlineStr">
        <is>
          <t>A — 100%</t>
        </is>
      </c>
      <c r="H553" s="67" t="n"/>
      <c r="I553" s="67" t="n"/>
      <c r="J553" s="67" t="n"/>
      <c r="K553" s="64">
        <f>IFERROR(INDEX('Status Map'!$B$2:$B$12,MATCH(C553,'Status Map'!$A$2:$A$12,0)),"UNDEFINED")</f>
        <v/>
      </c>
      <c r="L553" s="64">
        <f>IFERROR(INDEX('Status Map'!$C$2:$C$12,MATCH(C553,'Status Map'!$A$2:$A$12,0)),"UNDEFINED")</f>
        <v/>
      </c>
      <c r="M553" s="68" t="inlineStr">
        <is>
          <t>STATEMENT AS REGISTERED</t>
        </is>
      </c>
      <c r="N553" s="68" t="inlineStr">
        <is>
          <t>C-6.8.1</t>
        </is>
      </c>
      <c r="O553" s="68" t="inlineStr">
        <is>
          <t>V2</t>
        </is>
      </c>
      <c r="P553" s="64">
        <f>IF(O553&lt;&gt;"",O553,LEFT(D553,2))</f>
        <v/>
      </c>
      <c r="Q553" s="64">
        <f>IF(O553&lt;&gt;"","Standards §6",IF(M553="HEADING ONLY","Derived from heading — PROVISIONAL",IF(M553="TEXT NOT IN REGISTRY","No text to derive from — PROVISIONAL","Derived from registered statement")))</f>
        <v/>
      </c>
      <c r="R553" s="64">
        <f>IF(OR(LEFT(G553,1)="A",L553="COUNTS",ISNUMBER(SEARCH("V1",P553)),ISNUMBER(SEARCH("V2",P553)),ISNUMBER(SEARCH("V5",P553))),"A — 100%","B — sample ≥ 30%")</f>
        <v/>
      </c>
      <c r="S553" s="67" t="n"/>
      <c r="T553" s="67" t="n"/>
      <c r="U553" s="67" t="n"/>
      <c r="V553" s="67" t="n"/>
      <c r="W553" s="67" t="n"/>
      <c r="X553" s="67" t="n"/>
    </row>
    <row r="554" ht="22.35" customHeight="1" s="45">
      <c r="A554" s="65" t="inlineStr">
        <is>
          <t>PRIN-2</t>
        </is>
      </c>
      <c r="B554" s="66" t="inlineStr">
        <is>
          <t>principal_model_v1</t>
        </is>
      </c>
      <c r="C554" s="66" t="inlineStr">
        <is>
          <t>PROPOSED</t>
        </is>
      </c>
      <c r="D554" s="66" t="inlineStr">
        <is>
          <t>V7 — Document &amp; design inspection</t>
        </is>
      </c>
      <c r="E554" s="66" t="n"/>
      <c r="F554" s="66" t="inlineStr">
        <is>
          <t>Specification text against implementation description; provenance sections; objective card lines</t>
        </is>
      </c>
      <c r="G554" s="66" t="inlineStr">
        <is>
          <t>A — 100%</t>
        </is>
      </c>
      <c r="H554" s="67" t="n"/>
      <c r="I554" s="67" t="n"/>
      <c r="J554" s="67" t="n"/>
      <c r="K554" s="64">
        <f>IFERROR(INDEX('Status Map'!$B$2:$B$12,MATCH(C554,'Status Map'!$A$2:$A$12,0)),"UNDEFINED")</f>
        <v/>
      </c>
      <c r="L554" s="64">
        <f>IFERROR(INDEX('Status Map'!$C$2:$C$12,MATCH(C554,'Status Map'!$A$2:$A$12,0)),"UNDEFINED")</f>
        <v/>
      </c>
      <c r="M554" s="68" t="inlineStr">
        <is>
          <t>STATEMENT AS REGISTERED</t>
        </is>
      </c>
      <c r="N554" s="68" t="inlineStr">
        <is>
          <t>C-6.8.2</t>
        </is>
      </c>
      <c r="O554" s="68" t="inlineStr">
        <is>
          <t>V5</t>
        </is>
      </c>
      <c r="P554" s="64">
        <f>IF(O554&lt;&gt;"",O554,LEFT(D554,2))</f>
        <v/>
      </c>
      <c r="Q554" s="64">
        <f>IF(O554&lt;&gt;"","Standards §6",IF(M554="HEADING ONLY","Derived from heading — PROVISIONAL",IF(M554="TEXT NOT IN REGISTRY","No text to derive from — PROVISIONAL","Derived from registered statement")))</f>
        <v/>
      </c>
      <c r="R554" s="64">
        <f>IF(OR(LEFT(G554,1)="A",L554="COUNTS",ISNUMBER(SEARCH("V1",P554)),ISNUMBER(SEARCH("V2",P554)),ISNUMBER(SEARCH("V5",P554))),"A — 100%","B — sample ≥ 30%")</f>
        <v/>
      </c>
      <c r="S554" s="67" t="n"/>
      <c r="T554" s="67" t="n"/>
      <c r="U554" s="67" t="n"/>
      <c r="V554" s="67" t="n"/>
      <c r="W554" s="67" t="n"/>
      <c r="X554" s="67" t="n"/>
    </row>
    <row r="555" ht="22.35" customHeight="1" s="45">
      <c r="A555" s="65" t="inlineStr">
        <is>
          <t>PRIN-3</t>
        </is>
      </c>
      <c r="B555" s="66" t="inlineStr">
        <is>
          <t>principal_model_v1</t>
        </is>
      </c>
      <c r="C555" s="66" t="inlineStr">
        <is>
          <t>PROPOSED</t>
        </is>
      </c>
      <c r="D555" s="66" t="inlineStr">
        <is>
          <t>V1 — Test evidence</t>
        </is>
      </c>
      <c r="E555" s="66" t="n"/>
      <c r="F555" s="66" t="inlineStr">
        <is>
          <t>Golden-input, byte-identical output; RED-first test ID; ratchet manifest entry</t>
        </is>
      </c>
      <c r="G555" s="66" t="inlineStr">
        <is>
          <t>A — 100%</t>
        </is>
      </c>
      <c r="H555" s="67" t="n"/>
      <c r="I555" s="67" t="n"/>
      <c r="J555" s="67" t="n"/>
      <c r="K555" s="64">
        <f>IFERROR(INDEX('Status Map'!$B$2:$B$12,MATCH(C555,'Status Map'!$A$2:$A$12,0)),"UNDEFINED")</f>
        <v/>
      </c>
      <c r="L555" s="64">
        <f>IFERROR(INDEX('Status Map'!$C$2:$C$12,MATCH(C555,'Status Map'!$A$2:$A$12,0)),"UNDEFINED")</f>
        <v/>
      </c>
      <c r="M555" s="68" t="inlineStr">
        <is>
          <t>STATEMENT AS REGISTERED</t>
        </is>
      </c>
      <c r="N555" s="68" t="n"/>
      <c r="O555" s="68" t="n"/>
      <c r="P555" s="64">
        <f>IF(O555&lt;&gt;"",O555,LEFT(D555,2))</f>
        <v/>
      </c>
      <c r="Q555" s="64">
        <f>IF(O555&lt;&gt;"","Standards §6",IF(M555="HEADING ONLY","Derived from heading — PROVISIONAL",IF(M555="TEXT NOT IN REGISTRY","No text to derive from — PROVISIONAL","Derived from registered statement")))</f>
        <v/>
      </c>
      <c r="R555" s="64">
        <f>IF(OR(LEFT(G555,1)="A",L555="COUNTS",ISNUMBER(SEARCH("V1",P555)),ISNUMBER(SEARCH("V2",P555)),ISNUMBER(SEARCH("V5",P555))),"A — 100%","B — sample ≥ 30%")</f>
        <v/>
      </c>
      <c r="S555" s="67" t="n"/>
      <c r="T555" s="67" t="n"/>
      <c r="U555" s="67" t="n"/>
      <c r="V555" s="67" t="n"/>
      <c r="W555" s="67" t="n"/>
      <c r="X555" s="67" t="n"/>
    </row>
    <row r="556" ht="22.35" customHeight="1" s="45">
      <c r="A556" s="65" t="inlineStr">
        <is>
          <t>PRIN-4</t>
        </is>
      </c>
      <c r="B556" s="66" t="inlineStr">
        <is>
          <t>principal_model_v1</t>
        </is>
      </c>
      <c r="C556" s="66" t="inlineStr">
        <is>
          <t>PROPOSED</t>
        </is>
      </c>
      <c r="D556" s="66" t="inlineStr">
        <is>
          <t>V7 — Document &amp; design inspection</t>
        </is>
      </c>
      <c r="E556" s="66" t="n"/>
      <c r="F556" s="66" t="inlineStr">
        <is>
          <t>Specification text against implementation description; provenance sections; objective card lines</t>
        </is>
      </c>
      <c r="G556" s="66" t="inlineStr">
        <is>
          <t>A — 100%</t>
        </is>
      </c>
      <c r="H556" s="67" t="n"/>
      <c r="I556" s="67" t="n"/>
      <c r="J556" s="67" t="n"/>
      <c r="K556" s="64">
        <f>IFERROR(INDEX('Status Map'!$B$2:$B$12,MATCH(C556,'Status Map'!$A$2:$A$12,0)),"UNDEFINED")</f>
        <v/>
      </c>
      <c r="L556" s="64">
        <f>IFERROR(INDEX('Status Map'!$C$2:$C$12,MATCH(C556,'Status Map'!$A$2:$A$12,0)),"UNDEFINED")</f>
        <v/>
      </c>
      <c r="M556" s="68" t="inlineStr">
        <is>
          <t>STATEMENT AS REGISTERED</t>
        </is>
      </c>
      <c r="N556" s="68" t="n"/>
      <c r="O556" s="68" t="n"/>
      <c r="P556" s="64">
        <f>IF(O556&lt;&gt;"",O556,LEFT(D556,2))</f>
        <v/>
      </c>
      <c r="Q556" s="64">
        <f>IF(O556&lt;&gt;"","Standards §6",IF(M556="HEADING ONLY","Derived from heading — PROVISIONAL",IF(M556="TEXT NOT IN REGISTRY","No text to derive from — PROVISIONAL","Derived from registered statement")))</f>
        <v/>
      </c>
      <c r="R556" s="64">
        <f>IF(OR(LEFT(G556,1)="A",L556="COUNTS",ISNUMBER(SEARCH("V1",P556)),ISNUMBER(SEARCH("V2",P556)),ISNUMBER(SEARCH("V5",P556))),"A — 100%","B — sample ≥ 30%")</f>
        <v/>
      </c>
      <c r="S556" s="67" t="n"/>
      <c r="T556" s="67" t="n"/>
      <c r="U556" s="67" t="n"/>
      <c r="V556" s="67" t="n"/>
      <c r="W556" s="67" t="n"/>
      <c r="X556" s="67" t="n"/>
    </row>
    <row r="557" ht="22.35" customHeight="1" s="45">
      <c r="A557" s="65" t="inlineStr">
        <is>
          <t>PRIN-5</t>
        </is>
      </c>
      <c r="B557" s="66" t="inlineStr">
        <is>
          <t>principal_model_v1</t>
        </is>
      </c>
      <c r="C557" s="66" t="inlineStr">
        <is>
          <t>PROPOSED</t>
        </is>
      </c>
      <c r="D557" s="66" t="inlineStr">
        <is>
          <t>V7 — Document &amp; design inspection</t>
        </is>
      </c>
      <c r="E557" s="66" t="n"/>
      <c r="F557" s="66" t="inlineStr">
        <is>
          <t>Specification text against implementation description; provenance sections; objective card lines</t>
        </is>
      </c>
      <c r="G557" s="66" t="inlineStr">
        <is>
          <t>A — 100%</t>
        </is>
      </c>
      <c r="H557" s="67" t="n"/>
      <c r="I557" s="67" t="n"/>
      <c r="J557" s="67" t="n"/>
      <c r="K557" s="64">
        <f>IFERROR(INDEX('Status Map'!$B$2:$B$12,MATCH(C557,'Status Map'!$A$2:$A$12,0)),"UNDEFINED")</f>
        <v/>
      </c>
      <c r="L557" s="64">
        <f>IFERROR(INDEX('Status Map'!$C$2:$C$12,MATCH(C557,'Status Map'!$A$2:$A$12,0)),"UNDEFINED")</f>
        <v/>
      </c>
      <c r="M557" s="68" t="inlineStr">
        <is>
          <t>STATEMENT AS REGISTERED</t>
        </is>
      </c>
      <c r="N557" s="68" t="n"/>
      <c r="O557" s="68" t="n"/>
      <c r="P557" s="64">
        <f>IF(O557&lt;&gt;"",O557,LEFT(D557,2))</f>
        <v/>
      </c>
      <c r="Q557" s="64">
        <f>IF(O557&lt;&gt;"","Standards §6",IF(M557="HEADING ONLY","Derived from heading — PROVISIONAL",IF(M557="TEXT NOT IN REGISTRY","No text to derive from — PROVISIONAL","Derived from registered statement")))</f>
        <v/>
      </c>
      <c r="R557" s="64">
        <f>IF(OR(LEFT(G557,1)="A",L557="COUNTS",ISNUMBER(SEARCH("V1",P557)),ISNUMBER(SEARCH("V2",P557)),ISNUMBER(SEARCH("V5",P557))),"A — 100%","B — sample ≥ 30%")</f>
        <v/>
      </c>
      <c r="S557" s="67" t="n"/>
      <c r="T557" s="67" t="n"/>
      <c r="U557" s="67" t="n"/>
      <c r="V557" s="67" t="n"/>
      <c r="W557" s="67" t="n"/>
      <c r="X557" s="67" t="n"/>
    </row>
    <row r="558" ht="22.35" customHeight="1" s="45">
      <c r="A558" s="65" t="inlineStr">
        <is>
          <t>PRIN-6</t>
        </is>
      </c>
      <c r="B558" s="66" t="inlineStr">
        <is>
          <t>principal_model_v1</t>
        </is>
      </c>
      <c r="C558" s="66" t="inlineStr">
        <is>
          <t>PROPOSED</t>
        </is>
      </c>
      <c r="D558" s="66" t="inlineStr">
        <is>
          <t>V6 — Surface inspection</t>
        </is>
      </c>
      <c r="E558" s="66" t="n"/>
      <c r="F558" s="66" t="inlineStr">
        <is>
          <t>DOM-bound substitution rule or harness receipt; fixed string verbatim; honest-gap variant rendered on null</t>
        </is>
      </c>
      <c r="G558" s="66" t="inlineStr">
        <is>
          <t>A — 100%</t>
        </is>
      </c>
      <c r="H558" s="67" t="n"/>
      <c r="I558" s="67" t="n"/>
      <c r="J558" s="67" t="n"/>
      <c r="K558" s="64">
        <f>IFERROR(INDEX('Status Map'!$B$2:$B$12,MATCH(C558,'Status Map'!$A$2:$A$12,0)),"UNDEFINED")</f>
        <v/>
      </c>
      <c r="L558" s="64">
        <f>IFERROR(INDEX('Status Map'!$C$2:$C$12,MATCH(C558,'Status Map'!$A$2:$A$12,0)),"UNDEFINED")</f>
        <v/>
      </c>
      <c r="M558" s="68" t="inlineStr">
        <is>
          <t>STATEMENT AS REGISTERED</t>
        </is>
      </c>
      <c r="N558" s="68" t="inlineStr">
        <is>
          <t>C-6.8.3</t>
        </is>
      </c>
      <c r="O558" s="68" t="inlineStr">
        <is>
          <t>V2 + V5</t>
        </is>
      </c>
      <c r="P558" s="64">
        <f>IF(O558&lt;&gt;"",O558,LEFT(D558,2))</f>
        <v/>
      </c>
      <c r="Q558" s="64">
        <f>IF(O558&lt;&gt;"","Standards §6",IF(M558="HEADING ONLY","Derived from heading — PROVISIONAL",IF(M558="TEXT NOT IN REGISTRY","No text to derive from — PROVISIONAL","Derived from registered statement")))</f>
        <v/>
      </c>
      <c r="R558" s="64">
        <f>IF(OR(LEFT(G558,1)="A",L558="COUNTS",ISNUMBER(SEARCH("V1",P558)),ISNUMBER(SEARCH("V2",P558)),ISNUMBER(SEARCH("V5",P558))),"A — 100%","B — sample ≥ 30%")</f>
        <v/>
      </c>
      <c r="S558" s="67" t="n"/>
      <c r="T558" s="67" t="n"/>
      <c r="U558" s="67" t="n"/>
      <c r="V558" s="67" t="n"/>
      <c r="W558" s="67" t="n"/>
      <c r="X558" s="67" t="n"/>
    </row>
    <row r="559" ht="22.35" customHeight="1" s="45">
      <c r="A559" s="65" t="inlineStr">
        <is>
          <t>PRIN-7</t>
        </is>
      </c>
      <c r="B559" s="66" t="inlineStr">
        <is>
          <t>principal_model_v1</t>
        </is>
      </c>
      <c r="C559" s="66" t="inlineStr">
        <is>
          <t>PROPOSED</t>
        </is>
      </c>
      <c r="D559" s="66" t="inlineStr">
        <is>
          <t>V2 — Structural evidence</t>
        </is>
      </c>
      <c r="E559" s="66" t="n"/>
      <c r="F559" s="66" t="inlineStr">
        <is>
          <t>Negative-scan or AST rule present, named, and green in CI; scan surface stated</t>
        </is>
      </c>
      <c r="G559" s="66" t="inlineStr">
        <is>
          <t>A — 100%</t>
        </is>
      </c>
      <c r="H559" s="67" t="n"/>
      <c r="I559" s="67" t="n"/>
      <c r="J559" s="67" t="n"/>
      <c r="K559" s="64">
        <f>IFERROR(INDEX('Status Map'!$B$2:$B$12,MATCH(C559,'Status Map'!$A$2:$A$12,0)),"UNDEFINED")</f>
        <v/>
      </c>
      <c r="L559" s="64">
        <f>IFERROR(INDEX('Status Map'!$C$2:$C$12,MATCH(C559,'Status Map'!$A$2:$A$12,0)),"UNDEFINED")</f>
        <v/>
      </c>
      <c r="M559" s="68" t="inlineStr">
        <is>
          <t>STATEMENT AS REGISTERED</t>
        </is>
      </c>
      <c r="N559" s="68" t="n"/>
      <c r="O559" s="68" t="n"/>
      <c r="P559" s="64">
        <f>IF(O559&lt;&gt;"",O559,LEFT(D559,2))</f>
        <v/>
      </c>
      <c r="Q559" s="64">
        <f>IF(O559&lt;&gt;"","Standards §6",IF(M559="HEADING ONLY","Derived from heading — PROVISIONAL",IF(M559="TEXT NOT IN REGISTRY","No text to derive from — PROVISIONAL","Derived from registered statement")))</f>
        <v/>
      </c>
      <c r="R559" s="64">
        <f>IF(OR(LEFT(G559,1)="A",L559="COUNTS",ISNUMBER(SEARCH("V1",P559)),ISNUMBER(SEARCH("V2",P559)),ISNUMBER(SEARCH("V5",P559))),"A — 100%","B — sample ≥ 30%")</f>
        <v/>
      </c>
      <c r="S559" s="67" t="n"/>
      <c r="T559" s="67" t="n"/>
      <c r="U559" s="67" t="n"/>
      <c r="V559" s="67" t="n"/>
      <c r="W559" s="67" t="n"/>
      <c r="X559" s="67" t="n"/>
    </row>
    <row r="560" ht="22.35" customHeight="1" s="45">
      <c r="A560" s="65" t="inlineStr">
        <is>
          <t>PRIN-8</t>
        </is>
      </c>
      <c r="B560" s="66" t="inlineStr">
        <is>
          <t>principal_model_v1</t>
        </is>
      </c>
      <c r="C560" s="66" t="inlineStr">
        <is>
          <t>PROPOSED</t>
        </is>
      </c>
      <c r="D560" s="66" t="inlineStr">
        <is>
          <t>V7 — Document &amp; design inspection</t>
        </is>
      </c>
      <c r="E560" s="66" t="n"/>
      <c r="F560" s="66" t="inlineStr">
        <is>
          <t>Specification text against implementation description; provenance sections; objective card lines</t>
        </is>
      </c>
      <c r="G560" s="66" t="inlineStr">
        <is>
          <t>A — 100%</t>
        </is>
      </c>
      <c r="H560" s="67" t="n"/>
      <c r="I560" s="67" t="n"/>
      <c r="J560" s="67" t="n"/>
      <c r="K560" s="64">
        <f>IFERROR(INDEX('Status Map'!$B$2:$B$12,MATCH(C560,'Status Map'!$A$2:$A$12,0)),"UNDEFINED")</f>
        <v/>
      </c>
      <c r="L560" s="64">
        <f>IFERROR(INDEX('Status Map'!$C$2:$C$12,MATCH(C560,'Status Map'!$A$2:$A$12,0)),"UNDEFINED")</f>
        <v/>
      </c>
      <c r="M560" s="68" t="inlineStr">
        <is>
          <t>STATEMENT AS REGISTERED</t>
        </is>
      </c>
      <c r="N560" s="68" t="n"/>
      <c r="O560" s="68" t="n"/>
      <c r="P560" s="64">
        <f>IF(O560&lt;&gt;"",O560,LEFT(D560,2))</f>
        <v/>
      </c>
      <c r="Q560" s="64">
        <f>IF(O560&lt;&gt;"","Standards §6",IF(M560="HEADING ONLY","Derived from heading — PROVISIONAL",IF(M560="TEXT NOT IN REGISTRY","No text to derive from — PROVISIONAL","Derived from registered statement")))</f>
        <v/>
      </c>
      <c r="R560" s="64">
        <f>IF(OR(LEFT(G560,1)="A",L560="COUNTS",ISNUMBER(SEARCH("V1",P560)),ISNUMBER(SEARCH("V2",P560)),ISNUMBER(SEARCH("V5",P560))),"A — 100%","B — sample ≥ 30%")</f>
        <v/>
      </c>
      <c r="S560" s="67" t="n"/>
      <c r="T560" s="67" t="n"/>
      <c r="U560" s="67" t="n"/>
      <c r="V560" s="67" t="n"/>
      <c r="W560" s="67" t="n"/>
      <c r="X560" s="67" t="n"/>
    </row>
    <row r="561" ht="22.35" customHeight="1" s="45">
      <c r="A561" s="65" t="inlineStr">
        <is>
          <t>PRIN-9</t>
        </is>
      </c>
      <c r="B561" s="66" t="inlineStr">
        <is>
          <t>principal_model_v1</t>
        </is>
      </c>
      <c r="C561" s="66" t="inlineStr">
        <is>
          <t>PROPOSED</t>
        </is>
      </c>
      <c r="D561" s="66" t="inlineStr">
        <is>
          <t>V2 — Structural evidence</t>
        </is>
      </c>
      <c r="E561" s="66" t="n"/>
      <c r="F561" s="66" t="inlineStr">
        <is>
          <t>Negative-scan or AST rule present, named, and green in CI; scan surface stated</t>
        </is>
      </c>
      <c r="G561" s="66" t="inlineStr">
        <is>
          <t>A — 100%</t>
        </is>
      </c>
      <c r="H561" s="67" t="n"/>
      <c r="I561" s="67" t="n"/>
      <c r="J561" s="67" t="n"/>
      <c r="K561" s="64">
        <f>IFERROR(INDEX('Status Map'!$B$2:$B$12,MATCH(C561,'Status Map'!$A$2:$A$12,0)),"UNDEFINED")</f>
        <v/>
      </c>
      <c r="L561" s="64">
        <f>IFERROR(INDEX('Status Map'!$C$2:$C$12,MATCH(C561,'Status Map'!$A$2:$A$12,0)),"UNDEFINED")</f>
        <v/>
      </c>
      <c r="M561" s="68" t="inlineStr">
        <is>
          <t>STATEMENT AS REGISTERED</t>
        </is>
      </c>
      <c r="N561" s="68" t="inlineStr">
        <is>
          <t>C-6.8.4</t>
        </is>
      </c>
      <c r="O561" s="68" t="inlineStr">
        <is>
          <t>V5</t>
        </is>
      </c>
      <c r="P561" s="64">
        <f>IF(O561&lt;&gt;"",O561,LEFT(D561,2))</f>
        <v/>
      </c>
      <c r="Q561" s="64">
        <f>IF(O561&lt;&gt;"","Standards §6",IF(M561="HEADING ONLY","Derived from heading — PROVISIONAL",IF(M561="TEXT NOT IN REGISTRY","No text to derive from — PROVISIONAL","Derived from registered statement")))</f>
        <v/>
      </c>
      <c r="R561" s="64">
        <f>IF(OR(LEFT(G561,1)="A",L561="COUNTS",ISNUMBER(SEARCH("V1",P561)),ISNUMBER(SEARCH("V2",P561)),ISNUMBER(SEARCH("V5",P561))),"A — 100%","B — sample ≥ 30%")</f>
        <v/>
      </c>
      <c r="S561" s="67" t="n"/>
      <c r="T561" s="67" t="n"/>
      <c r="U561" s="67" t="n"/>
      <c r="V561" s="67" t="n"/>
      <c r="W561" s="67" t="n"/>
      <c r="X561" s="67" t="n"/>
    </row>
    <row r="562" ht="32.8" customHeight="1" s="45">
      <c r="A562" s="65" t="inlineStr">
        <is>
          <t>PRIN-10</t>
        </is>
      </c>
      <c r="B562" s="66" t="inlineStr">
        <is>
          <t>principal_model_v1</t>
        </is>
      </c>
      <c r="C562" s="66" t="inlineStr">
        <is>
          <t>PROPOSED</t>
        </is>
      </c>
      <c r="D562" s="66" t="inlineStr">
        <is>
          <t>V5 — Failure-injection demonstration</t>
        </is>
      </c>
      <c r="E562" s="66" t="n"/>
      <c r="F562" s="66" t="inlineStr">
        <is>
          <t>Dependency made unreachable or check made to error; observed refusal; no result returned; stale marker where degradation is the ruled posture</t>
        </is>
      </c>
      <c r="G562" s="66" t="inlineStr">
        <is>
          <t>A — 100%</t>
        </is>
      </c>
      <c r="H562" s="67" t="n"/>
      <c r="I562" s="67" t="n"/>
      <c r="J562" s="67" t="n"/>
      <c r="K562" s="64">
        <f>IFERROR(INDEX('Status Map'!$B$2:$B$12,MATCH(C562,'Status Map'!$A$2:$A$12,0)),"UNDEFINED")</f>
        <v/>
      </c>
      <c r="L562" s="64">
        <f>IFERROR(INDEX('Status Map'!$C$2:$C$12,MATCH(C562,'Status Map'!$A$2:$A$12,0)),"UNDEFINED")</f>
        <v/>
      </c>
      <c r="M562" s="68" t="inlineStr">
        <is>
          <t>STATEMENT AS REGISTERED</t>
        </is>
      </c>
      <c r="N562" s="68" t="inlineStr">
        <is>
          <t>C-6.8.4</t>
        </is>
      </c>
      <c r="O562" s="68" t="inlineStr">
        <is>
          <t>V5</t>
        </is>
      </c>
      <c r="P562" s="64">
        <f>IF(O562&lt;&gt;"",O562,LEFT(D562,2))</f>
        <v/>
      </c>
      <c r="Q562" s="64">
        <f>IF(O562&lt;&gt;"","Standards §6",IF(M562="HEADING ONLY","Derived from heading — PROVISIONAL",IF(M562="TEXT NOT IN REGISTRY","No text to derive from — PROVISIONAL","Derived from registered statement")))</f>
        <v/>
      </c>
      <c r="R562" s="64">
        <f>IF(OR(LEFT(G562,1)="A",L562="COUNTS",ISNUMBER(SEARCH("V1",P562)),ISNUMBER(SEARCH("V2",P562)),ISNUMBER(SEARCH("V5",P562))),"A — 100%","B — sample ≥ 30%")</f>
        <v/>
      </c>
      <c r="S562" s="67" t="n"/>
      <c r="T562" s="67" t="n"/>
      <c r="U562" s="67" t="n"/>
      <c r="V562" s="67" t="n"/>
      <c r="W562" s="67" t="n"/>
      <c r="X562" s="67" t="n"/>
    </row>
    <row r="563" ht="22.35" customHeight="1" s="45">
      <c r="A563" s="65" t="inlineStr">
        <is>
          <t>PRIN-11</t>
        </is>
      </c>
      <c r="B563" s="66" t="inlineStr">
        <is>
          <t>principal_model_v1</t>
        </is>
      </c>
      <c r="C563" s="66" t="inlineStr">
        <is>
          <t>PROPOSED</t>
        </is>
      </c>
      <c r="D563" s="66" t="inlineStr">
        <is>
          <t>V7 — Document &amp; design inspection</t>
        </is>
      </c>
      <c r="E563" s="66" t="n"/>
      <c r="F563" s="66" t="inlineStr">
        <is>
          <t>Specification text against implementation description; provenance sections; objective card lines</t>
        </is>
      </c>
      <c r="G563" s="66" t="inlineStr">
        <is>
          <t>A — 100%</t>
        </is>
      </c>
      <c r="H563" s="67" t="n"/>
      <c r="I563" s="67" t="n"/>
      <c r="J563" s="67" t="n"/>
      <c r="K563" s="64">
        <f>IFERROR(INDEX('Status Map'!$B$2:$B$12,MATCH(C563,'Status Map'!$A$2:$A$12,0)),"UNDEFINED")</f>
        <v/>
      </c>
      <c r="L563" s="64">
        <f>IFERROR(INDEX('Status Map'!$C$2:$C$12,MATCH(C563,'Status Map'!$A$2:$A$12,0)),"UNDEFINED")</f>
        <v/>
      </c>
      <c r="M563" s="68" t="inlineStr">
        <is>
          <t>STATEMENT AS REGISTERED</t>
        </is>
      </c>
      <c r="N563" s="68" t="inlineStr">
        <is>
          <t>C-6.8.5</t>
        </is>
      </c>
      <c r="O563" s="68" t="inlineStr">
        <is>
          <t>V2 + V5</t>
        </is>
      </c>
      <c r="P563" s="64">
        <f>IF(O563&lt;&gt;"",O563,LEFT(D563,2))</f>
        <v/>
      </c>
      <c r="Q563" s="64">
        <f>IF(O563&lt;&gt;"","Standards §6",IF(M563="HEADING ONLY","Derived from heading — PROVISIONAL",IF(M563="TEXT NOT IN REGISTRY","No text to derive from — PROVISIONAL","Derived from registered statement")))</f>
        <v/>
      </c>
      <c r="R563" s="64">
        <f>IF(OR(LEFT(G563,1)="A",L563="COUNTS",ISNUMBER(SEARCH("V1",P563)),ISNUMBER(SEARCH("V2",P563)),ISNUMBER(SEARCH("V5",P563))),"A — 100%","B — sample ≥ 30%")</f>
        <v/>
      </c>
      <c r="S563" s="67" t="n"/>
      <c r="T563" s="67" t="n"/>
      <c r="U563" s="67" t="n"/>
      <c r="V563" s="67" t="n"/>
      <c r="W563" s="67" t="n"/>
      <c r="X563" s="67" t="n"/>
    </row>
    <row r="564" ht="22.35" customHeight="1" s="45">
      <c r="A564" s="65" t="inlineStr">
        <is>
          <t>PRIN-12</t>
        </is>
      </c>
      <c r="B564" s="66" t="inlineStr">
        <is>
          <t>principal_model_v1</t>
        </is>
      </c>
      <c r="C564" s="66" t="inlineStr">
        <is>
          <t>PROPOSED</t>
        </is>
      </c>
      <c r="D564" s="66" t="inlineStr">
        <is>
          <t>V3 — Record evidence</t>
        </is>
      </c>
      <c r="E564" s="66" t="inlineStr">
        <is>
          <t>V6</t>
        </is>
      </c>
      <c r="F564" s="66" t="inlineStr">
        <is>
          <t>Ledger rows inspected; hash-chain verifier receipt; refused operations present on identical terms</t>
        </is>
      </c>
      <c r="G564" s="66" t="inlineStr">
        <is>
          <t>A — 100%</t>
        </is>
      </c>
      <c r="H564" s="67" t="n"/>
      <c r="I564" s="67" t="n"/>
      <c r="J564" s="67" t="n"/>
      <c r="K564" s="64">
        <f>IFERROR(INDEX('Status Map'!$B$2:$B$12,MATCH(C564,'Status Map'!$A$2:$A$12,0)),"UNDEFINED")</f>
        <v/>
      </c>
      <c r="L564" s="64">
        <f>IFERROR(INDEX('Status Map'!$C$2:$C$12,MATCH(C564,'Status Map'!$A$2:$A$12,0)),"UNDEFINED")</f>
        <v/>
      </c>
      <c r="M564" s="68" t="inlineStr">
        <is>
          <t>STATEMENT AS REGISTERED</t>
        </is>
      </c>
      <c r="N564" s="68" t="inlineStr">
        <is>
          <t>C-6.8.5</t>
        </is>
      </c>
      <c r="O564" s="68" t="inlineStr">
        <is>
          <t>V2 + V5</t>
        </is>
      </c>
      <c r="P564" s="64">
        <f>IF(O564&lt;&gt;"",O564,LEFT(D564,2))</f>
        <v/>
      </c>
      <c r="Q564" s="64">
        <f>IF(O564&lt;&gt;"","Standards §6",IF(M564="HEADING ONLY","Derived from heading — PROVISIONAL",IF(M564="TEXT NOT IN REGISTRY","No text to derive from — PROVISIONAL","Derived from registered statement")))</f>
        <v/>
      </c>
      <c r="R564" s="64">
        <f>IF(OR(LEFT(G564,1)="A",L564="COUNTS",ISNUMBER(SEARCH("V1",P564)),ISNUMBER(SEARCH("V2",P564)),ISNUMBER(SEARCH("V5",P564))),"A — 100%","B — sample ≥ 30%")</f>
        <v/>
      </c>
      <c r="S564" s="67" t="n"/>
      <c r="T564" s="67" t="n"/>
      <c r="U564" s="67" t="n"/>
      <c r="V564" s="67" t="n"/>
      <c r="W564" s="67" t="n"/>
      <c r="X564" s="67" t="n"/>
    </row>
    <row r="565" ht="22.35" customHeight="1" s="45">
      <c r="A565" s="65" t="inlineStr">
        <is>
          <t>PRIN-13</t>
        </is>
      </c>
      <c r="B565" s="66" t="inlineStr">
        <is>
          <t>principal_model_v1</t>
        </is>
      </c>
      <c r="C565" s="66" t="inlineStr">
        <is>
          <t>PROPOSED</t>
        </is>
      </c>
      <c r="D565" s="66" t="inlineStr">
        <is>
          <t>V7 — Document &amp; design inspection</t>
        </is>
      </c>
      <c r="E565" s="66" t="n"/>
      <c r="F565" s="66" t="inlineStr">
        <is>
          <t>Specification text against implementation description; provenance sections; objective card lines</t>
        </is>
      </c>
      <c r="G565" s="66" t="inlineStr">
        <is>
          <t>A — 100%</t>
        </is>
      </c>
      <c r="H565" s="67" t="n"/>
      <c r="I565" s="67" t="n"/>
      <c r="J565" s="67" t="n"/>
      <c r="K565" s="64">
        <f>IFERROR(INDEX('Status Map'!$B$2:$B$12,MATCH(C565,'Status Map'!$A$2:$A$12,0)),"UNDEFINED")</f>
        <v/>
      </c>
      <c r="L565" s="64">
        <f>IFERROR(INDEX('Status Map'!$C$2:$C$12,MATCH(C565,'Status Map'!$A$2:$A$12,0)),"UNDEFINED")</f>
        <v/>
      </c>
      <c r="M565" s="68" t="inlineStr">
        <is>
          <t>STATEMENT AS REGISTERED</t>
        </is>
      </c>
      <c r="N565" s="68" t="inlineStr">
        <is>
          <t>C-6.8.6</t>
        </is>
      </c>
      <c r="O565" s="68" t="inlineStr">
        <is>
          <t>V2</t>
        </is>
      </c>
      <c r="P565" s="64">
        <f>IF(O565&lt;&gt;"",O565,LEFT(D565,2))</f>
        <v/>
      </c>
      <c r="Q565" s="64">
        <f>IF(O565&lt;&gt;"","Standards §6",IF(M565="HEADING ONLY","Derived from heading — PROVISIONAL",IF(M565="TEXT NOT IN REGISTRY","No text to derive from — PROVISIONAL","Derived from registered statement")))</f>
        <v/>
      </c>
      <c r="R565" s="64">
        <f>IF(OR(LEFT(G565,1)="A",L565="COUNTS",ISNUMBER(SEARCH("V1",P565)),ISNUMBER(SEARCH("V2",P565)),ISNUMBER(SEARCH("V5",P565))),"A — 100%","B — sample ≥ 30%")</f>
        <v/>
      </c>
      <c r="S565" s="67" t="n"/>
      <c r="T565" s="67" t="n"/>
      <c r="U565" s="67" t="n"/>
      <c r="V565" s="67" t="n"/>
      <c r="W565" s="67" t="n"/>
      <c r="X565" s="67" t="n"/>
    </row>
    <row r="566" ht="22.35" customHeight="1" s="45">
      <c r="A566" s="65" t="inlineStr">
        <is>
          <t>CON-1</t>
        </is>
      </c>
      <c r="B566" s="66" t="inlineStr">
        <is>
          <t>content_registry_v1</t>
        </is>
      </c>
      <c r="C566" s="66" t="inlineStr">
        <is>
          <t>PROPOSED</t>
        </is>
      </c>
      <c r="D566" s="66" t="inlineStr">
        <is>
          <t>V2 — Structural evidence</t>
        </is>
      </c>
      <c r="E566" s="66" t="inlineStr">
        <is>
          <t>V6</t>
        </is>
      </c>
      <c r="F566" s="66" t="inlineStr">
        <is>
          <t>Negative-scan or AST rule present, named, and green in CI; scan surface stated</t>
        </is>
      </c>
      <c r="G566" s="66" t="inlineStr">
        <is>
          <t>A — 100%</t>
        </is>
      </c>
      <c r="H566" s="67" t="n"/>
      <c r="I566" s="67" t="n"/>
      <c r="J566" s="67" t="n"/>
      <c r="K566" s="64">
        <f>IFERROR(INDEX('Status Map'!$B$2:$B$12,MATCH(C566,'Status Map'!$A$2:$A$12,0)),"UNDEFINED")</f>
        <v/>
      </c>
      <c r="L566" s="64">
        <f>IFERROR(INDEX('Status Map'!$C$2:$C$12,MATCH(C566,'Status Map'!$A$2:$A$12,0)),"UNDEFINED")</f>
        <v/>
      </c>
      <c r="M566" s="68" t="inlineStr">
        <is>
          <t>STATEMENT AS REGISTERED</t>
        </is>
      </c>
      <c r="N566" s="68" t="inlineStr">
        <is>
          <t>C-6.12.1</t>
        </is>
      </c>
      <c r="O566" s="68" t="inlineStr">
        <is>
          <t>V2 + V6</t>
        </is>
      </c>
      <c r="P566" s="64">
        <f>IF(O566&lt;&gt;"",O566,LEFT(D566,2))</f>
        <v/>
      </c>
      <c r="Q566" s="64">
        <f>IF(O566&lt;&gt;"","Standards §6",IF(M566="HEADING ONLY","Derived from heading — PROVISIONAL",IF(M566="TEXT NOT IN REGISTRY","No text to derive from — PROVISIONAL","Derived from registered statement")))</f>
        <v/>
      </c>
      <c r="R566" s="64">
        <f>IF(OR(LEFT(G566,1)="A",L566="COUNTS",ISNUMBER(SEARCH("V1",P566)),ISNUMBER(SEARCH("V2",P566)),ISNUMBER(SEARCH("V5",P566))),"A — 100%","B — sample ≥ 30%")</f>
        <v/>
      </c>
      <c r="S566" s="67" t="n"/>
      <c r="T566" s="67" t="n"/>
      <c r="U566" s="67" t="n"/>
      <c r="V566" s="67" t="n"/>
      <c r="W566" s="67" t="n"/>
      <c r="X566" s="67" t="n"/>
    </row>
    <row r="567" ht="22.35" customHeight="1" s="45">
      <c r="A567" s="65" t="inlineStr">
        <is>
          <t>CON-2</t>
        </is>
      </c>
      <c r="B567" s="66" t="inlineStr">
        <is>
          <t>content_registry_v1</t>
        </is>
      </c>
      <c r="C567" s="66" t="inlineStr">
        <is>
          <t>PROPOSED</t>
        </is>
      </c>
      <c r="D567" s="66" t="inlineStr">
        <is>
          <t>V4 — Governance-record evidence</t>
        </is>
      </c>
      <c r="E567" s="66" t="inlineStr">
        <is>
          <t>V6</t>
        </is>
      </c>
      <c r="F567" s="66" t="inlineStr">
        <is>
          <t>DECISIONS.md entry; ceremony record with tier, countersign, countdown, apply, re-verify; canon_ref present</t>
        </is>
      </c>
      <c r="G567" s="66" t="inlineStr">
        <is>
          <t>B — sample ≥ 30%</t>
        </is>
      </c>
      <c r="H567" s="67" t="n"/>
      <c r="I567" s="67" t="n"/>
      <c r="J567" s="67" t="n"/>
      <c r="K567" s="64">
        <f>IFERROR(INDEX('Status Map'!$B$2:$B$12,MATCH(C567,'Status Map'!$A$2:$A$12,0)),"UNDEFINED")</f>
        <v/>
      </c>
      <c r="L567" s="64">
        <f>IFERROR(INDEX('Status Map'!$C$2:$C$12,MATCH(C567,'Status Map'!$A$2:$A$12,0)),"UNDEFINED")</f>
        <v/>
      </c>
      <c r="M567" s="68" t="inlineStr">
        <is>
          <t>STATEMENT AS REGISTERED</t>
        </is>
      </c>
      <c r="N567" s="68" t="n"/>
      <c r="O567" s="68" t="n"/>
      <c r="P567" s="64">
        <f>IF(O567&lt;&gt;"",O567,LEFT(D567,2))</f>
        <v/>
      </c>
      <c r="Q567" s="64">
        <f>IF(O567&lt;&gt;"","Standards §6",IF(M567="HEADING ONLY","Derived from heading — PROVISIONAL",IF(M567="TEXT NOT IN REGISTRY","No text to derive from — PROVISIONAL","Derived from registered statement")))</f>
        <v/>
      </c>
      <c r="R567" s="64">
        <f>IF(OR(LEFT(G567,1)="A",L567="COUNTS",ISNUMBER(SEARCH("V1",P567)),ISNUMBER(SEARCH("V2",P567)),ISNUMBER(SEARCH("V5",P567))),"A — 100%","B — sample ≥ 30%")</f>
        <v/>
      </c>
      <c r="S567" s="67" t="n"/>
      <c r="T567" s="67" t="n"/>
      <c r="U567" s="67" t="n"/>
      <c r="V567" s="67" t="n"/>
      <c r="W567" s="67" t="n"/>
      <c r="X567" s="67" t="n"/>
    </row>
    <row r="568" ht="22.35" customHeight="1" s="45">
      <c r="A568" s="65" t="inlineStr">
        <is>
          <t>CON-3</t>
        </is>
      </c>
      <c r="B568" s="66" t="inlineStr">
        <is>
          <t>content_registry_v1</t>
        </is>
      </c>
      <c r="C568" s="66" t="inlineStr">
        <is>
          <t>PROPOSED</t>
        </is>
      </c>
      <c r="D568" s="66" t="inlineStr">
        <is>
          <t>V4 — Governance-record evidence</t>
        </is>
      </c>
      <c r="E568" s="66" t="inlineStr">
        <is>
          <t>V6</t>
        </is>
      </c>
      <c r="F568" s="66" t="inlineStr">
        <is>
          <t>DECISIONS.md entry; ceremony record with tier, countersign, countdown, apply, re-verify; canon_ref present</t>
        </is>
      </c>
      <c r="G568" s="66" t="inlineStr">
        <is>
          <t>B — sample ≥ 30%</t>
        </is>
      </c>
      <c r="H568" s="67" t="n"/>
      <c r="I568" s="67" t="n"/>
      <c r="J568" s="67" t="n"/>
      <c r="K568" s="64">
        <f>IFERROR(INDEX('Status Map'!$B$2:$B$12,MATCH(C568,'Status Map'!$A$2:$A$12,0)),"UNDEFINED")</f>
        <v/>
      </c>
      <c r="L568" s="64">
        <f>IFERROR(INDEX('Status Map'!$C$2:$C$12,MATCH(C568,'Status Map'!$A$2:$A$12,0)),"UNDEFINED")</f>
        <v/>
      </c>
      <c r="M568" s="68" t="inlineStr">
        <is>
          <t>STATEMENT AS REGISTERED</t>
        </is>
      </c>
      <c r="N568" s="68" t="inlineStr">
        <is>
          <t>C-6.12.2</t>
        </is>
      </c>
      <c r="O568" s="68" t="inlineStr">
        <is>
          <t>V1 + V6</t>
        </is>
      </c>
      <c r="P568" s="64">
        <f>IF(O568&lt;&gt;"",O568,LEFT(D568,2))</f>
        <v/>
      </c>
      <c r="Q568" s="64">
        <f>IF(O568&lt;&gt;"","Standards §6",IF(M568="HEADING ONLY","Derived from heading — PROVISIONAL",IF(M568="TEXT NOT IN REGISTRY","No text to derive from — PROVISIONAL","Derived from registered statement")))</f>
        <v/>
      </c>
      <c r="R568" s="64">
        <f>IF(OR(LEFT(G568,1)="A",L568="COUNTS",ISNUMBER(SEARCH("V1",P568)),ISNUMBER(SEARCH("V2",P568)),ISNUMBER(SEARCH("V5",P568))),"A — 100%","B — sample ≥ 30%")</f>
        <v/>
      </c>
      <c r="S568" s="67" t="n"/>
      <c r="T568" s="67" t="n"/>
      <c r="U568" s="67" t="n"/>
      <c r="V568" s="67" t="n"/>
      <c r="W568" s="67" t="n"/>
      <c r="X568" s="67" t="n"/>
    </row>
    <row r="569" ht="22.35" customHeight="1" s="45">
      <c r="A569" s="65" t="inlineStr">
        <is>
          <t>CON-4</t>
        </is>
      </c>
      <c r="B569" s="66" t="inlineStr">
        <is>
          <t>content_registry_v1</t>
        </is>
      </c>
      <c r="C569" s="66" t="inlineStr">
        <is>
          <t>PROPOSED</t>
        </is>
      </c>
      <c r="D569" s="66" t="inlineStr">
        <is>
          <t>V2 — Structural evidence</t>
        </is>
      </c>
      <c r="E569" s="66" t="inlineStr">
        <is>
          <t>V6</t>
        </is>
      </c>
      <c r="F569" s="66" t="inlineStr">
        <is>
          <t>Negative-scan or AST rule present, named, and green in CI; scan surface stated</t>
        </is>
      </c>
      <c r="G569" s="66" t="inlineStr">
        <is>
          <t>A — 100%</t>
        </is>
      </c>
      <c r="H569" s="67" t="n"/>
      <c r="I569" s="67" t="n"/>
      <c r="J569" s="67" t="n"/>
      <c r="K569" s="64">
        <f>IFERROR(INDEX('Status Map'!$B$2:$B$12,MATCH(C569,'Status Map'!$A$2:$A$12,0)),"UNDEFINED")</f>
        <v/>
      </c>
      <c r="L569" s="64">
        <f>IFERROR(INDEX('Status Map'!$C$2:$C$12,MATCH(C569,'Status Map'!$A$2:$A$12,0)),"UNDEFINED")</f>
        <v/>
      </c>
      <c r="M569" s="68" t="inlineStr">
        <is>
          <t>STATEMENT AS REGISTERED</t>
        </is>
      </c>
      <c r="N569" s="68" t="inlineStr">
        <is>
          <t>C-6.12.2</t>
        </is>
      </c>
      <c r="O569" s="68" t="inlineStr">
        <is>
          <t>V1 + V6</t>
        </is>
      </c>
      <c r="P569" s="64">
        <f>IF(O569&lt;&gt;"",O569,LEFT(D569,2))</f>
        <v/>
      </c>
      <c r="Q569" s="64">
        <f>IF(O569&lt;&gt;"","Standards §6",IF(M569="HEADING ONLY","Derived from heading — PROVISIONAL",IF(M569="TEXT NOT IN REGISTRY","No text to derive from — PROVISIONAL","Derived from registered statement")))</f>
        <v/>
      </c>
      <c r="R569" s="64">
        <f>IF(OR(LEFT(G569,1)="A",L569="COUNTS",ISNUMBER(SEARCH("V1",P569)),ISNUMBER(SEARCH("V2",P569)),ISNUMBER(SEARCH("V5",P569))),"A — 100%","B — sample ≥ 30%")</f>
        <v/>
      </c>
      <c r="S569" s="67" t="n"/>
      <c r="T569" s="67" t="n"/>
      <c r="U569" s="67" t="n"/>
      <c r="V569" s="67" t="n"/>
      <c r="W569" s="67" t="n"/>
      <c r="X569" s="67" t="n"/>
    </row>
    <row r="570" ht="32.8" customHeight="1" s="45">
      <c r="A570" s="65" t="inlineStr">
        <is>
          <t>CON-5</t>
        </is>
      </c>
      <c r="B570" s="66" t="inlineStr">
        <is>
          <t>content_registry_v1</t>
        </is>
      </c>
      <c r="C570" s="66" t="inlineStr">
        <is>
          <t>PROPOSED</t>
        </is>
      </c>
      <c r="D570" s="66" t="inlineStr">
        <is>
          <t>V5 — Failure-injection demonstration</t>
        </is>
      </c>
      <c r="E570" s="66" t="inlineStr">
        <is>
          <t>V6</t>
        </is>
      </c>
      <c r="F570" s="66" t="inlineStr">
        <is>
          <t>Dependency made unreachable or check made to error; observed refusal; no result returned; stale marker where degradation is the ruled posture</t>
        </is>
      </c>
      <c r="G570" s="66" t="inlineStr">
        <is>
          <t>A — 100%</t>
        </is>
      </c>
      <c r="H570" s="67" t="n"/>
      <c r="I570" s="67" t="n"/>
      <c r="J570" s="67" t="n"/>
      <c r="K570" s="64">
        <f>IFERROR(INDEX('Status Map'!$B$2:$B$12,MATCH(C570,'Status Map'!$A$2:$A$12,0)),"UNDEFINED")</f>
        <v/>
      </c>
      <c r="L570" s="64">
        <f>IFERROR(INDEX('Status Map'!$C$2:$C$12,MATCH(C570,'Status Map'!$A$2:$A$12,0)),"UNDEFINED")</f>
        <v/>
      </c>
      <c r="M570" s="68" t="inlineStr">
        <is>
          <t>STATEMENT AS REGISTERED</t>
        </is>
      </c>
      <c r="N570" s="68" t="n"/>
      <c r="O570" s="68" t="n"/>
      <c r="P570" s="64">
        <f>IF(O570&lt;&gt;"",O570,LEFT(D570,2))</f>
        <v/>
      </c>
      <c r="Q570" s="64">
        <f>IF(O570&lt;&gt;"","Standards §6",IF(M570="HEADING ONLY","Derived from heading — PROVISIONAL",IF(M570="TEXT NOT IN REGISTRY","No text to derive from — PROVISIONAL","Derived from registered statement")))</f>
        <v/>
      </c>
      <c r="R570" s="64">
        <f>IF(OR(LEFT(G570,1)="A",L570="COUNTS",ISNUMBER(SEARCH("V1",P570)),ISNUMBER(SEARCH("V2",P570)),ISNUMBER(SEARCH("V5",P570))),"A — 100%","B — sample ≥ 30%")</f>
        <v/>
      </c>
      <c r="S570" s="67" t="n"/>
      <c r="T570" s="67" t="n"/>
      <c r="U570" s="67" t="n"/>
      <c r="V570" s="67" t="n"/>
      <c r="W570" s="67" t="n"/>
      <c r="X570" s="67" t="n"/>
    </row>
    <row r="571" ht="22.35" customHeight="1" s="45">
      <c r="A571" s="65" t="inlineStr">
        <is>
          <t>CON-6</t>
        </is>
      </c>
      <c r="B571" s="66" t="inlineStr">
        <is>
          <t>content_registry_v1</t>
        </is>
      </c>
      <c r="C571" s="66" t="inlineStr">
        <is>
          <t>PROPOSED</t>
        </is>
      </c>
      <c r="D571" s="66" t="inlineStr">
        <is>
          <t>V2 — Structural evidence</t>
        </is>
      </c>
      <c r="E571" s="66" t="inlineStr">
        <is>
          <t>V6</t>
        </is>
      </c>
      <c r="F571" s="66" t="inlineStr">
        <is>
          <t>Negative-scan or AST rule present, named, and green in CI; scan surface stated</t>
        </is>
      </c>
      <c r="G571" s="66" t="inlineStr">
        <is>
          <t>A — 100%</t>
        </is>
      </c>
      <c r="H571" s="67" t="n"/>
      <c r="I571" s="67" t="n"/>
      <c r="J571" s="67" t="n"/>
      <c r="K571" s="64">
        <f>IFERROR(INDEX('Status Map'!$B$2:$B$12,MATCH(C571,'Status Map'!$A$2:$A$12,0)),"UNDEFINED")</f>
        <v/>
      </c>
      <c r="L571" s="64">
        <f>IFERROR(INDEX('Status Map'!$C$2:$C$12,MATCH(C571,'Status Map'!$A$2:$A$12,0)),"UNDEFINED")</f>
        <v/>
      </c>
      <c r="M571" s="68" t="inlineStr">
        <is>
          <t>STATEMENT AS REGISTERED</t>
        </is>
      </c>
      <c r="N571" s="68" t="inlineStr">
        <is>
          <t>C-6.12.3</t>
        </is>
      </c>
      <c r="O571" s="68" t="inlineStr">
        <is>
          <t>V6</t>
        </is>
      </c>
      <c r="P571" s="64">
        <f>IF(O571&lt;&gt;"",O571,LEFT(D571,2))</f>
        <v/>
      </c>
      <c r="Q571" s="64">
        <f>IF(O571&lt;&gt;"","Standards §6",IF(M571="HEADING ONLY","Derived from heading — PROVISIONAL",IF(M571="TEXT NOT IN REGISTRY","No text to derive from — PROVISIONAL","Derived from registered statement")))</f>
        <v/>
      </c>
      <c r="R571" s="64">
        <f>IF(OR(LEFT(G571,1)="A",L571="COUNTS",ISNUMBER(SEARCH("V1",P571)),ISNUMBER(SEARCH("V2",P571)),ISNUMBER(SEARCH("V5",P571))),"A — 100%","B — sample ≥ 30%")</f>
        <v/>
      </c>
      <c r="S571" s="67" t="n"/>
      <c r="T571" s="67" t="n"/>
      <c r="U571" s="67" t="n"/>
      <c r="V571" s="67" t="n"/>
      <c r="W571" s="67" t="n"/>
      <c r="X571" s="67" t="n"/>
    </row>
    <row r="572" ht="32.8" customHeight="1" s="45">
      <c r="A572" s="65" t="inlineStr">
        <is>
          <t>CON-7</t>
        </is>
      </c>
      <c r="B572" s="66" t="inlineStr">
        <is>
          <t>content_registry_v1</t>
        </is>
      </c>
      <c r="C572" s="66" t="inlineStr">
        <is>
          <t>PROPOSED</t>
        </is>
      </c>
      <c r="D572" s="66" t="inlineStr">
        <is>
          <t>V5 — Failure-injection demonstration</t>
        </is>
      </c>
      <c r="E572" s="66" t="inlineStr">
        <is>
          <t>V6</t>
        </is>
      </c>
      <c r="F572" s="66" t="inlineStr">
        <is>
          <t>Dependency made unreachable or check made to error; observed refusal; no result returned; stale marker where degradation is the ruled posture</t>
        </is>
      </c>
      <c r="G572" s="66" t="inlineStr">
        <is>
          <t>A — 100%</t>
        </is>
      </c>
      <c r="H572" s="67" t="n"/>
      <c r="I572" s="67" t="n"/>
      <c r="J572" s="67" t="n"/>
      <c r="K572" s="64">
        <f>IFERROR(INDEX('Status Map'!$B$2:$B$12,MATCH(C572,'Status Map'!$A$2:$A$12,0)),"UNDEFINED")</f>
        <v/>
      </c>
      <c r="L572" s="64">
        <f>IFERROR(INDEX('Status Map'!$C$2:$C$12,MATCH(C572,'Status Map'!$A$2:$A$12,0)),"UNDEFINED")</f>
        <v/>
      </c>
      <c r="M572" s="68" t="inlineStr">
        <is>
          <t>STATEMENT AS REGISTERED</t>
        </is>
      </c>
      <c r="N572" s="68" t="n"/>
      <c r="O572" s="68" t="n"/>
      <c r="P572" s="64">
        <f>IF(O572&lt;&gt;"",O572,LEFT(D572,2))</f>
        <v/>
      </c>
      <c r="Q572" s="64">
        <f>IF(O572&lt;&gt;"","Standards §6",IF(M572="HEADING ONLY","Derived from heading — PROVISIONAL",IF(M572="TEXT NOT IN REGISTRY","No text to derive from — PROVISIONAL","Derived from registered statement")))</f>
        <v/>
      </c>
      <c r="R572" s="64">
        <f>IF(OR(LEFT(G572,1)="A",L572="COUNTS",ISNUMBER(SEARCH("V1",P572)),ISNUMBER(SEARCH("V2",P572)),ISNUMBER(SEARCH("V5",P572))),"A — 100%","B — sample ≥ 30%")</f>
        <v/>
      </c>
      <c r="S572" s="67" t="n"/>
      <c r="T572" s="67" t="n"/>
      <c r="U572" s="67" t="n"/>
      <c r="V572" s="67" t="n"/>
      <c r="W572" s="67" t="n"/>
      <c r="X572" s="67" t="n"/>
    </row>
    <row r="573" ht="22.35" customHeight="1" s="45">
      <c r="A573" s="65" t="inlineStr">
        <is>
          <t>CON-8</t>
        </is>
      </c>
      <c r="B573" s="66" t="inlineStr">
        <is>
          <t>content_registry_v1</t>
        </is>
      </c>
      <c r="C573" s="66" t="inlineStr">
        <is>
          <t>PROPOSED</t>
        </is>
      </c>
      <c r="D573" s="66" t="inlineStr">
        <is>
          <t>V4 — Governance-record evidence</t>
        </is>
      </c>
      <c r="E573" s="66" t="inlineStr">
        <is>
          <t>V6</t>
        </is>
      </c>
      <c r="F573" s="66" t="inlineStr">
        <is>
          <t>DECISIONS.md entry; ceremony record with tier, countersign, countdown, apply, re-verify; canon_ref present</t>
        </is>
      </c>
      <c r="G573" s="66" t="inlineStr">
        <is>
          <t>B — sample ≥ 30%</t>
        </is>
      </c>
      <c r="H573" s="67" t="n"/>
      <c r="I573" s="67" t="n"/>
      <c r="J573" s="67" t="n"/>
      <c r="K573" s="64">
        <f>IFERROR(INDEX('Status Map'!$B$2:$B$12,MATCH(C573,'Status Map'!$A$2:$A$12,0)),"UNDEFINED")</f>
        <v/>
      </c>
      <c r="L573" s="64">
        <f>IFERROR(INDEX('Status Map'!$C$2:$C$12,MATCH(C573,'Status Map'!$A$2:$A$12,0)),"UNDEFINED")</f>
        <v/>
      </c>
      <c r="M573" s="68" t="inlineStr">
        <is>
          <t>STATEMENT AS REGISTERED</t>
        </is>
      </c>
      <c r="N573" s="68" t="n"/>
      <c r="O573" s="68" t="n"/>
      <c r="P573" s="64">
        <f>IF(O573&lt;&gt;"",O573,LEFT(D573,2))</f>
        <v/>
      </c>
      <c r="Q573" s="64">
        <f>IF(O573&lt;&gt;"","Standards §6",IF(M573="HEADING ONLY","Derived from heading — PROVISIONAL",IF(M573="TEXT NOT IN REGISTRY","No text to derive from — PROVISIONAL","Derived from registered statement")))</f>
        <v/>
      </c>
      <c r="R573" s="64">
        <f>IF(OR(LEFT(G573,1)="A",L573="COUNTS",ISNUMBER(SEARCH("V1",P573)),ISNUMBER(SEARCH("V2",P573)),ISNUMBER(SEARCH("V5",P573))),"A — 100%","B — sample ≥ 30%")</f>
        <v/>
      </c>
      <c r="S573" s="67" t="n"/>
      <c r="T573" s="67" t="n"/>
      <c r="U573" s="67" t="n"/>
      <c r="V573" s="67" t="n"/>
      <c r="W573" s="67" t="n"/>
      <c r="X573" s="67" t="n"/>
    </row>
    <row r="574" ht="22.35" customHeight="1" s="45">
      <c r="A574" s="65" t="inlineStr">
        <is>
          <t>CON-9</t>
        </is>
      </c>
      <c r="B574" s="66" t="inlineStr">
        <is>
          <t>content_registry_v1</t>
        </is>
      </c>
      <c r="C574" s="66" t="inlineStr">
        <is>
          <t>PROPOSED</t>
        </is>
      </c>
      <c r="D574" s="66" t="inlineStr">
        <is>
          <t>V6 — Surface inspection</t>
        </is>
      </c>
      <c r="E574" s="66" t="n"/>
      <c r="F574" s="66" t="inlineStr">
        <is>
          <t>DOM-bound substitution rule or harness receipt; fixed string verbatim; honest-gap variant rendered on null</t>
        </is>
      </c>
      <c r="G574" s="66" t="inlineStr">
        <is>
          <t>B — sample ≥ 30%</t>
        </is>
      </c>
      <c r="H574" s="67" t="n"/>
      <c r="I574" s="67" t="n"/>
      <c r="J574" s="67" t="n"/>
      <c r="K574" s="64">
        <f>IFERROR(INDEX('Status Map'!$B$2:$B$12,MATCH(C574,'Status Map'!$A$2:$A$12,0)),"UNDEFINED")</f>
        <v/>
      </c>
      <c r="L574" s="64">
        <f>IFERROR(INDEX('Status Map'!$C$2:$C$12,MATCH(C574,'Status Map'!$A$2:$A$12,0)),"UNDEFINED")</f>
        <v/>
      </c>
      <c r="M574" s="68" t="inlineStr">
        <is>
          <t>STATEMENT AS REGISTERED</t>
        </is>
      </c>
      <c r="N574" s="68" t="n"/>
      <c r="O574" s="68" t="n"/>
      <c r="P574" s="64">
        <f>IF(O574&lt;&gt;"",O574,LEFT(D574,2))</f>
        <v/>
      </c>
      <c r="Q574" s="64">
        <f>IF(O574&lt;&gt;"","Standards §6",IF(M574="HEADING ONLY","Derived from heading — PROVISIONAL",IF(M574="TEXT NOT IN REGISTRY","No text to derive from — PROVISIONAL","Derived from registered statement")))</f>
        <v/>
      </c>
      <c r="R574" s="64">
        <f>IF(OR(LEFT(G574,1)="A",L574="COUNTS",ISNUMBER(SEARCH("V1",P574)),ISNUMBER(SEARCH("V2",P574)),ISNUMBER(SEARCH("V5",P574))),"A — 100%","B — sample ≥ 30%")</f>
        <v/>
      </c>
      <c r="S574" s="67" t="n"/>
      <c r="T574" s="67" t="n"/>
      <c r="U574" s="67" t="n"/>
      <c r="V574" s="67" t="n"/>
      <c r="W574" s="67" t="n"/>
      <c r="X574" s="67" t="n"/>
    </row>
    <row r="575" ht="22.35" customHeight="1" s="45">
      <c r="A575" s="65" t="inlineStr">
        <is>
          <t>CON-10</t>
        </is>
      </c>
      <c r="B575" s="66" t="inlineStr">
        <is>
          <t>content_registry_v1</t>
        </is>
      </c>
      <c r="C575" s="66" t="inlineStr">
        <is>
          <t>PROPOSED</t>
        </is>
      </c>
      <c r="D575" s="66" t="inlineStr">
        <is>
          <t>V4 — Governance-record evidence</t>
        </is>
      </c>
      <c r="E575" s="66" t="inlineStr">
        <is>
          <t>V6</t>
        </is>
      </c>
      <c r="F575" s="66" t="inlineStr">
        <is>
          <t>DECISIONS.md entry; ceremony record with tier, countersign, countdown, apply, re-verify; canon_ref present</t>
        </is>
      </c>
      <c r="G575" s="66" t="inlineStr">
        <is>
          <t>B — sample ≥ 30%</t>
        </is>
      </c>
      <c r="H575" s="67" t="n"/>
      <c r="I575" s="67" t="n"/>
      <c r="J575" s="67" t="n"/>
      <c r="K575" s="64">
        <f>IFERROR(INDEX('Status Map'!$B$2:$B$12,MATCH(C575,'Status Map'!$A$2:$A$12,0)),"UNDEFINED")</f>
        <v/>
      </c>
      <c r="L575" s="64">
        <f>IFERROR(INDEX('Status Map'!$C$2:$C$12,MATCH(C575,'Status Map'!$A$2:$A$12,0)),"UNDEFINED")</f>
        <v/>
      </c>
      <c r="M575" s="68" t="inlineStr">
        <is>
          <t>STATEMENT AS REGISTERED</t>
        </is>
      </c>
      <c r="N575" s="68" t="n"/>
      <c r="O575" s="68" t="n"/>
      <c r="P575" s="64">
        <f>IF(O575&lt;&gt;"",O575,LEFT(D575,2))</f>
        <v/>
      </c>
      <c r="Q575" s="64">
        <f>IF(O575&lt;&gt;"","Standards §6",IF(M575="HEADING ONLY","Derived from heading — PROVISIONAL",IF(M575="TEXT NOT IN REGISTRY","No text to derive from — PROVISIONAL","Derived from registered statement")))</f>
        <v/>
      </c>
      <c r="R575" s="64">
        <f>IF(OR(LEFT(G575,1)="A",L575="COUNTS",ISNUMBER(SEARCH("V1",P575)),ISNUMBER(SEARCH("V2",P575)),ISNUMBER(SEARCH("V5",P575))),"A — 100%","B — sample ≥ 30%")</f>
        <v/>
      </c>
      <c r="S575" s="67" t="n"/>
      <c r="T575" s="67" t="n"/>
      <c r="U575" s="67" t="n"/>
      <c r="V575" s="67" t="n"/>
      <c r="W575" s="67" t="n"/>
      <c r="X575" s="67" t="n"/>
    </row>
    <row r="576" ht="32.8" customHeight="1" s="45">
      <c r="A576" s="65" t="inlineStr">
        <is>
          <t>CON-11</t>
        </is>
      </c>
      <c r="B576" s="66" t="inlineStr">
        <is>
          <t>content_registry_v1</t>
        </is>
      </c>
      <c r="C576" s="66" t="inlineStr">
        <is>
          <t>PROPOSED</t>
        </is>
      </c>
      <c r="D576" s="66" t="inlineStr">
        <is>
          <t>V5 — Failure-injection demonstration</t>
        </is>
      </c>
      <c r="E576" s="66" t="inlineStr">
        <is>
          <t>V4</t>
        </is>
      </c>
      <c r="F576" s="66" t="inlineStr">
        <is>
          <t>Dependency made unreachable or check made to error; observed refusal; no result returned; stale marker where degradation is the ruled posture</t>
        </is>
      </c>
      <c r="G576" s="66" t="inlineStr">
        <is>
          <t>A — 100%</t>
        </is>
      </c>
      <c r="H576" s="67" t="n"/>
      <c r="I576" s="67" t="n"/>
      <c r="J576" s="67" t="n"/>
      <c r="K576" s="64">
        <f>IFERROR(INDEX('Status Map'!$B$2:$B$12,MATCH(C576,'Status Map'!$A$2:$A$12,0)),"UNDEFINED")</f>
        <v/>
      </c>
      <c r="L576" s="64">
        <f>IFERROR(INDEX('Status Map'!$C$2:$C$12,MATCH(C576,'Status Map'!$A$2:$A$12,0)),"UNDEFINED")</f>
        <v/>
      </c>
      <c r="M576" s="68" t="inlineStr">
        <is>
          <t>STATEMENT AS REGISTERED</t>
        </is>
      </c>
      <c r="N576" s="68" t="n"/>
      <c r="O576" s="68" t="n"/>
      <c r="P576" s="64">
        <f>IF(O576&lt;&gt;"",O576,LEFT(D576,2))</f>
        <v/>
      </c>
      <c r="Q576" s="64">
        <f>IF(O576&lt;&gt;"","Standards §6",IF(M576="HEADING ONLY","Derived from heading — PROVISIONAL",IF(M576="TEXT NOT IN REGISTRY","No text to derive from — PROVISIONAL","Derived from registered statement")))</f>
        <v/>
      </c>
      <c r="R576" s="64">
        <f>IF(OR(LEFT(G576,1)="A",L576="COUNTS",ISNUMBER(SEARCH("V1",P576)),ISNUMBER(SEARCH("V2",P576)),ISNUMBER(SEARCH("V5",P576))),"A — 100%","B — sample ≥ 30%")</f>
        <v/>
      </c>
      <c r="S576" s="67" t="n"/>
      <c r="T576" s="67" t="n"/>
      <c r="U576" s="67" t="n"/>
      <c r="V576" s="67" t="n"/>
      <c r="W576" s="67" t="n"/>
      <c r="X576" s="67" t="n"/>
    </row>
    <row r="577" ht="22.35" customHeight="1" s="45">
      <c r="A577" s="65" t="inlineStr">
        <is>
          <t>CON-12</t>
        </is>
      </c>
      <c r="B577" s="66" t="inlineStr">
        <is>
          <t>content_registry_v1</t>
        </is>
      </c>
      <c r="C577" s="66" t="inlineStr">
        <is>
          <t>PROPOSED</t>
        </is>
      </c>
      <c r="D577" s="66" t="inlineStr">
        <is>
          <t>V6 — Surface inspection</t>
        </is>
      </c>
      <c r="E577" s="66" t="n"/>
      <c r="F577" s="66" t="inlineStr">
        <is>
          <t>DOM-bound substitution rule or harness receipt; fixed string verbatim; honest-gap variant rendered on null</t>
        </is>
      </c>
      <c r="G577" s="66" t="inlineStr">
        <is>
          <t>B — sample ≥ 30%</t>
        </is>
      </c>
      <c r="H577" s="67" t="n"/>
      <c r="I577" s="67" t="n"/>
      <c r="J577" s="67" t="n"/>
      <c r="K577" s="64">
        <f>IFERROR(INDEX('Status Map'!$B$2:$B$12,MATCH(C577,'Status Map'!$A$2:$A$12,0)),"UNDEFINED")</f>
        <v/>
      </c>
      <c r="L577" s="64">
        <f>IFERROR(INDEX('Status Map'!$C$2:$C$12,MATCH(C577,'Status Map'!$A$2:$A$12,0)),"UNDEFINED")</f>
        <v/>
      </c>
      <c r="M577" s="68" t="inlineStr">
        <is>
          <t>STATEMENT AS REGISTERED</t>
        </is>
      </c>
      <c r="N577" s="68" t="n"/>
      <c r="O577" s="68" t="n"/>
      <c r="P577" s="64">
        <f>IF(O577&lt;&gt;"",O577,LEFT(D577,2))</f>
        <v/>
      </c>
      <c r="Q577" s="64">
        <f>IF(O577&lt;&gt;"","Standards §6",IF(M577="HEADING ONLY","Derived from heading — PROVISIONAL",IF(M577="TEXT NOT IN REGISTRY","No text to derive from — PROVISIONAL","Derived from registered statement")))</f>
        <v/>
      </c>
      <c r="R577" s="64">
        <f>IF(OR(LEFT(G577,1)="A",L577="COUNTS",ISNUMBER(SEARCH("V1",P577)),ISNUMBER(SEARCH("V2",P577)),ISNUMBER(SEARCH("V5",P577))),"A — 100%","B — sample ≥ 30%")</f>
        <v/>
      </c>
      <c r="S577" s="67" t="n"/>
      <c r="T577" s="67" t="n"/>
      <c r="U577" s="67" t="n"/>
      <c r="V577" s="67" t="n"/>
      <c r="W577" s="67" t="n"/>
      <c r="X577" s="67" t="n"/>
    </row>
    <row r="578" ht="22.35" customHeight="1" s="45">
      <c r="A578" s="65" t="inlineStr">
        <is>
          <t>CON-13</t>
        </is>
      </c>
      <c r="B578" s="66" t="inlineStr">
        <is>
          <t>content_registry_v1</t>
        </is>
      </c>
      <c r="C578" s="66" t="inlineStr">
        <is>
          <t>PROPOSED</t>
        </is>
      </c>
      <c r="D578" s="66" t="inlineStr">
        <is>
          <t>V4 — Governance-record evidence</t>
        </is>
      </c>
      <c r="E578" s="66" t="n"/>
      <c r="F578" s="66" t="inlineStr">
        <is>
          <t>DECISIONS.md entry; ceremony record with tier, countersign, countdown, apply, re-verify; canon_ref present</t>
        </is>
      </c>
      <c r="G578" s="66" t="inlineStr">
        <is>
          <t>B — sample ≥ 30%</t>
        </is>
      </c>
      <c r="H578" s="67" t="n"/>
      <c r="I578" s="67" t="n"/>
      <c r="J578" s="67" t="n"/>
      <c r="K578" s="64">
        <f>IFERROR(INDEX('Status Map'!$B$2:$B$12,MATCH(C578,'Status Map'!$A$2:$A$12,0)),"UNDEFINED")</f>
        <v/>
      </c>
      <c r="L578" s="64">
        <f>IFERROR(INDEX('Status Map'!$C$2:$C$12,MATCH(C578,'Status Map'!$A$2:$A$12,0)),"UNDEFINED")</f>
        <v/>
      </c>
      <c r="M578" s="68" t="inlineStr">
        <is>
          <t>STATEMENT AS REGISTERED</t>
        </is>
      </c>
      <c r="N578" s="68" t="n"/>
      <c r="O578" s="68" t="n"/>
      <c r="P578" s="64">
        <f>IF(O578&lt;&gt;"",O578,LEFT(D578,2))</f>
        <v/>
      </c>
      <c r="Q578" s="64">
        <f>IF(O578&lt;&gt;"","Standards §6",IF(M578="HEADING ONLY","Derived from heading — PROVISIONAL",IF(M578="TEXT NOT IN REGISTRY","No text to derive from — PROVISIONAL","Derived from registered statement")))</f>
        <v/>
      </c>
      <c r="R578" s="64">
        <f>IF(OR(LEFT(G578,1)="A",L578="COUNTS",ISNUMBER(SEARCH("V1",P578)),ISNUMBER(SEARCH("V2",P578)),ISNUMBER(SEARCH("V5",P578))),"A — 100%","B — sample ≥ 30%")</f>
        <v/>
      </c>
      <c r="S578" s="67" t="n"/>
      <c r="T578" s="67" t="n"/>
      <c r="U578" s="67" t="n"/>
      <c r="V578" s="67" t="n"/>
      <c r="W578" s="67" t="n"/>
      <c r="X578" s="67" t="n"/>
    </row>
    <row r="579" ht="32.8" customHeight="1" s="45">
      <c r="A579" s="65" t="inlineStr">
        <is>
          <t>CON-14</t>
        </is>
      </c>
      <c r="B579" s="66" t="inlineStr">
        <is>
          <t>content_registry_v1</t>
        </is>
      </c>
      <c r="C579" s="66" t="inlineStr">
        <is>
          <t>PROPOSED</t>
        </is>
      </c>
      <c r="D579" s="66" t="inlineStr">
        <is>
          <t>V5 — Failure-injection demonstration</t>
        </is>
      </c>
      <c r="E579" s="66" t="inlineStr">
        <is>
          <t>V6</t>
        </is>
      </c>
      <c r="F579" s="66" t="inlineStr">
        <is>
          <t>Dependency made unreachable or check made to error; observed refusal; no result returned; stale marker where degradation is the ruled posture</t>
        </is>
      </c>
      <c r="G579" s="66" t="inlineStr">
        <is>
          <t>A — 100%</t>
        </is>
      </c>
      <c r="H579" s="67" t="n"/>
      <c r="I579" s="67" t="n"/>
      <c r="J579" s="67" t="n"/>
      <c r="K579" s="64">
        <f>IFERROR(INDEX('Status Map'!$B$2:$B$12,MATCH(C579,'Status Map'!$A$2:$A$12,0)),"UNDEFINED")</f>
        <v/>
      </c>
      <c r="L579" s="64">
        <f>IFERROR(INDEX('Status Map'!$C$2:$C$12,MATCH(C579,'Status Map'!$A$2:$A$12,0)),"UNDEFINED")</f>
        <v/>
      </c>
      <c r="M579" s="68" t="inlineStr">
        <is>
          <t>STATEMENT AS REGISTERED</t>
        </is>
      </c>
      <c r="N579" s="68" t="n"/>
      <c r="O579" s="68" t="n"/>
      <c r="P579" s="64">
        <f>IF(O579&lt;&gt;"",O579,LEFT(D579,2))</f>
        <v/>
      </c>
      <c r="Q579" s="64">
        <f>IF(O579&lt;&gt;"","Standards §6",IF(M579="HEADING ONLY","Derived from heading — PROVISIONAL",IF(M579="TEXT NOT IN REGISTRY","No text to derive from — PROVISIONAL","Derived from registered statement")))</f>
        <v/>
      </c>
      <c r="R579" s="64">
        <f>IF(OR(LEFT(G579,1)="A",L579="COUNTS",ISNUMBER(SEARCH("V1",P579)),ISNUMBER(SEARCH("V2",P579)),ISNUMBER(SEARCH("V5",P579))),"A — 100%","B — sample ≥ 30%")</f>
        <v/>
      </c>
      <c r="S579" s="67" t="n"/>
      <c r="T579" s="67" t="n"/>
      <c r="U579" s="67" t="n"/>
      <c r="V579" s="67" t="n"/>
      <c r="W579" s="67" t="n"/>
      <c r="X579" s="67" t="n"/>
    </row>
    <row r="580" ht="22.35" customHeight="1" s="45">
      <c r="A580" s="65" t="inlineStr">
        <is>
          <t>CON-15</t>
        </is>
      </c>
      <c r="B580" s="66" t="inlineStr">
        <is>
          <t>content_registry_v1</t>
        </is>
      </c>
      <c r="C580" s="66" t="inlineStr">
        <is>
          <t>PROPOSED</t>
        </is>
      </c>
      <c r="D580" s="66" t="inlineStr">
        <is>
          <t>V1 — Test evidence</t>
        </is>
      </c>
      <c r="E580" s="66" t="inlineStr">
        <is>
          <t>V5</t>
        </is>
      </c>
      <c r="F580" s="66" t="inlineStr">
        <is>
          <t>Golden-input, byte-identical output; RED-first test ID; ratchet manifest entry</t>
        </is>
      </c>
      <c r="G580" s="66" t="inlineStr">
        <is>
          <t>A — 100%</t>
        </is>
      </c>
      <c r="H580" s="67" t="n"/>
      <c r="I580" s="67" t="n"/>
      <c r="J580" s="67" t="n"/>
      <c r="K580" s="64">
        <f>IFERROR(INDEX('Status Map'!$B$2:$B$12,MATCH(C580,'Status Map'!$A$2:$A$12,0)),"UNDEFINED")</f>
        <v/>
      </c>
      <c r="L580" s="64">
        <f>IFERROR(INDEX('Status Map'!$C$2:$C$12,MATCH(C580,'Status Map'!$A$2:$A$12,0)),"UNDEFINED")</f>
        <v/>
      </c>
      <c r="M580" s="68" t="inlineStr">
        <is>
          <t>STATEMENT AS REGISTERED</t>
        </is>
      </c>
      <c r="N580" s="68" t="inlineStr">
        <is>
          <t>C-6.12.4</t>
        </is>
      </c>
      <c r="O580" s="68" t="inlineStr">
        <is>
          <t>V1</t>
        </is>
      </c>
      <c r="P580" s="64">
        <f>IF(O580&lt;&gt;"",O580,LEFT(D580,2))</f>
        <v/>
      </c>
      <c r="Q580" s="64">
        <f>IF(O580&lt;&gt;"","Standards §6",IF(M580="HEADING ONLY","Derived from heading — PROVISIONAL",IF(M580="TEXT NOT IN REGISTRY","No text to derive from — PROVISIONAL","Derived from registered statement")))</f>
        <v/>
      </c>
      <c r="R580" s="64">
        <f>IF(OR(LEFT(G580,1)="A",L580="COUNTS",ISNUMBER(SEARCH("V1",P580)),ISNUMBER(SEARCH("V2",P580)),ISNUMBER(SEARCH("V5",P580))),"A — 100%","B — sample ≥ 30%")</f>
        <v/>
      </c>
      <c r="S580" s="67" t="n"/>
      <c r="T580" s="67" t="n"/>
      <c r="U580" s="67" t="n"/>
      <c r="V580" s="67" t="n"/>
      <c r="W580" s="67" t="n"/>
      <c r="X580" s="67" t="n"/>
    </row>
    <row r="581" ht="22.35" customHeight="1" s="45">
      <c r="A581" s="65" t="inlineStr">
        <is>
          <t>CON-16</t>
        </is>
      </c>
      <c r="B581" s="66" t="inlineStr">
        <is>
          <t>content_registry_v1</t>
        </is>
      </c>
      <c r="C581" s="66" t="inlineStr">
        <is>
          <t>PROPOSED</t>
        </is>
      </c>
      <c r="D581" s="66" t="inlineStr">
        <is>
          <t>V1 — Test evidence</t>
        </is>
      </c>
      <c r="E581" s="66" t="n"/>
      <c r="F581" s="66" t="inlineStr">
        <is>
          <t>Golden-input, byte-identical output; RED-first test ID; ratchet manifest entry</t>
        </is>
      </c>
      <c r="G581" s="66" t="inlineStr">
        <is>
          <t>A — 100%</t>
        </is>
      </c>
      <c r="H581" s="67" t="n"/>
      <c r="I581" s="67" t="n"/>
      <c r="J581" s="67" t="n"/>
      <c r="K581" s="64">
        <f>IFERROR(INDEX('Status Map'!$B$2:$B$12,MATCH(C581,'Status Map'!$A$2:$A$12,0)),"UNDEFINED")</f>
        <v/>
      </c>
      <c r="L581" s="64">
        <f>IFERROR(INDEX('Status Map'!$C$2:$C$12,MATCH(C581,'Status Map'!$A$2:$A$12,0)),"UNDEFINED")</f>
        <v/>
      </c>
      <c r="M581" s="68" t="inlineStr">
        <is>
          <t>STATEMENT AS REGISTERED</t>
        </is>
      </c>
      <c r="N581" s="68" t="inlineStr">
        <is>
          <t>C-6.12.4</t>
        </is>
      </c>
      <c r="O581" s="68" t="inlineStr">
        <is>
          <t>V1</t>
        </is>
      </c>
      <c r="P581" s="64">
        <f>IF(O581&lt;&gt;"",O581,LEFT(D581,2))</f>
        <v/>
      </c>
      <c r="Q581" s="64">
        <f>IF(O581&lt;&gt;"","Standards §6",IF(M581="HEADING ONLY","Derived from heading — PROVISIONAL",IF(M581="TEXT NOT IN REGISTRY","No text to derive from — PROVISIONAL","Derived from registered statement")))</f>
        <v/>
      </c>
      <c r="R581" s="64">
        <f>IF(OR(LEFT(G581,1)="A",L581="COUNTS",ISNUMBER(SEARCH("V1",P581)),ISNUMBER(SEARCH("V2",P581)),ISNUMBER(SEARCH("V5",P581))),"A — 100%","B — sample ≥ 30%")</f>
        <v/>
      </c>
      <c r="S581" s="67" t="n"/>
      <c r="T581" s="67" t="n"/>
      <c r="U581" s="67" t="n"/>
      <c r="V581" s="67" t="n"/>
      <c r="W581" s="67" t="n"/>
      <c r="X581" s="67" t="n"/>
    </row>
    <row r="582" ht="22.35" customHeight="1" s="45">
      <c r="A582" s="65" t="inlineStr">
        <is>
          <t>CON-17</t>
        </is>
      </c>
      <c r="B582" s="66" t="inlineStr">
        <is>
          <t>content_registry_v1</t>
        </is>
      </c>
      <c r="C582" s="66" t="inlineStr">
        <is>
          <t>PROPOSED</t>
        </is>
      </c>
      <c r="D582" s="66" t="inlineStr">
        <is>
          <t>V6 — Surface inspection</t>
        </is>
      </c>
      <c r="E582" s="66" t="n"/>
      <c r="F582" s="66" t="inlineStr">
        <is>
          <t>DOM-bound substitution rule or harness receipt; fixed string verbatim; honest-gap variant rendered on null</t>
        </is>
      </c>
      <c r="G582" s="66" t="inlineStr">
        <is>
          <t>B — sample ≥ 30%</t>
        </is>
      </c>
      <c r="H582" s="67" t="n"/>
      <c r="I582" s="67" t="n"/>
      <c r="J582" s="67" t="n"/>
      <c r="K582" s="64">
        <f>IFERROR(INDEX('Status Map'!$B$2:$B$12,MATCH(C582,'Status Map'!$A$2:$A$12,0)),"UNDEFINED")</f>
        <v/>
      </c>
      <c r="L582" s="64">
        <f>IFERROR(INDEX('Status Map'!$C$2:$C$12,MATCH(C582,'Status Map'!$A$2:$A$12,0)),"UNDEFINED")</f>
        <v/>
      </c>
      <c r="M582" s="68" t="inlineStr">
        <is>
          <t>STATEMENT AS REGISTERED</t>
        </is>
      </c>
      <c r="N582" s="68" t="inlineStr">
        <is>
          <t>C-6.12.4</t>
        </is>
      </c>
      <c r="O582" s="68" t="inlineStr">
        <is>
          <t>V1</t>
        </is>
      </c>
      <c r="P582" s="64">
        <f>IF(O582&lt;&gt;"",O582,LEFT(D582,2))</f>
        <v/>
      </c>
      <c r="Q582" s="64">
        <f>IF(O582&lt;&gt;"","Standards §6",IF(M582="HEADING ONLY","Derived from heading — PROVISIONAL",IF(M582="TEXT NOT IN REGISTRY","No text to derive from — PROVISIONAL","Derived from registered statement")))</f>
        <v/>
      </c>
      <c r="R582" s="64">
        <f>IF(OR(LEFT(G582,1)="A",L582="COUNTS",ISNUMBER(SEARCH("V1",P582)),ISNUMBER(SEARCH("V2",P582)),ISNUMBER(SEARCH("V5",P582))),"A — 100%","B — sample ≥ 30%")</f>
        <v/>
      </c>
      <c r="S582" s="67" t="n"/>
      <c r="T582" s="67" t="n"/>
      <c r="U582" s="67" t="n"/>
      <c r="V582" s="67" t="n"/>
      <c r="W582" s="67" t="n"/>
      <c r="X582" s="67" t="n"/>
    </row>
    <row r="583" ht="22.35" customHeight="1" s="45">
      <c r="A583" s="65" t="inlineStr">
        <is>
          <t>CON-18</t>
        </is>
      </c>
      <c r="B583" s="66" t="inlineStr">
        <is>
          <t>content_registry_v1</t>
        </is>
      </c>
      <c r="C583" s="66" t="inlineStr">
        <is>
          <t>PROPOSED</t>
        </is>
      </c>
      <c r="D583" s="66" t="inlineStr">
        <is>
          <t>V7 — Document &amp; design inspection</t>
        </is>
      </c>
      <c r="E583" s="66" t="n"/>
      <c r="F583" s="66" t="inlineStr">
        <is>
          <t>Specification text against implementation description; provenance sections; objective card lines</t>
        </is>
      </c>
      <c r="G583" s="66" t="inlineStr">
        <is>
          <t>B — sample ≥ 30%</t>
        </is>
      </c>
      <c r="H583" s="67" t="n"/>
      <c r="I583" s="67" t="n"/>
      <c r="J583" s="67" t="n"/>
      <c r="K583" s="64">
        <f>IFERROR(INDEX('Status Map'!$B$2:$B$12,MATCH(C583,'Status Map'!$A$2:$A$12,0)),"UNDEFINED")</f>
        <v/>
      </c>
      <c r="L583" s="64">
        <f>IFERROR(INDEX('Status Map'!$C$2:$C$12,MATCH(C583,'Status Map'!$A$2:$A$12,0)),"UNDEFINED")</f>
        <v/>
      </c>
      <c r="M583" s="68" t="inlineStr">
        <is>
          <t>STATEMENT AS REGISTERED</t>
        </is>
      </c>
      <c r="N583" s="68" t="inlineStr">
        <is>
          <t>C-6.12.5</t>
        </is>
      </c>
      <c r="O583" s="68" t="inlineStr">
        <is>
          <t>V2</t>
        </is>
      </c>
      <c r="P583" s="64">
        <f>IF(O583&lt;&gt;"",O583,LEFT(D583,2))</f>
        <v/>
      </c>
      <c r="Q583" s="64">
        <f>IF(O583&lt;&gt;"","Standards §6",IF(M583="HEADING ONLY","Derived from heading — PROVISIONAL",IF(M583="TEXT NOT IN REGISTRY","No text to derive from — PROVISIONAL","Derived from registered statement")))</f>
        <v/>
      </c>
      <c r="R583" s="64">
        <f>IF(OR(LEFT(G583,1)="A",L583="COUNTS",ISNUMBER(SEARCH("V1",P583)),ISNUMBER(SEARCH("V2",P583)),ISNUMBER(SEARCH("V5",P583))),"A — 100%","B — sample ≥ 30%")</f>
        <v/>
      </c>
      <c r="S583" s="67" t="n"/>
      <c r="T583" s="67" t="n"/>
      <c r="U583" s="67" t="n"/>
      <c r="V583" s="67" t="n"/>
      <c r="W583" s="67" t="n"/>
      <c r="X583" s="67" t="n"/>
    </row>
    <row r="584" ht="22.35" customHeight="1" s="45">
      <c r="A584" s="65" t="inlineStr">
        <is>
          <t>CON-19</t>
        </is>
      </c>
      <c r="B584" s="66" t="inlineStr">
        <is>
          <t>content_registry_v1</t>
        </is>
      </c>
      <c r="C584" s="66" t="inlineStr">
        <is>
          <t>PROPOSED</t>
        </is>
      </c>
      <c r="D584" s="66" t="inlineStr">
        <is>
          <t>V7 — Document &amp; design inspection</t>
        </is>
      </c>
      <c r="E584" s="66" t="n"/>
      <c r="F584" s="66" t="inlineStr">
        <is>
          <t>Specification text against implementation description; provenance sections; objective card lines</t>
        </is>
      </c>
      <c r="G584" s="66" t="inlineStr">
        <is>
          <t>B — sample ≥ 30%</t>
        </is>
      </c>
      <c r="H584" s="67" t="n"/>
      <c r="I584" s="67" t="n"/>
      <c r="J584" s="67" t="n"/>
      <c r="K584" s="64">
        <f>IFERROR(INDEX('Status Map'!$B$2:$B$12,MATCH(C584,'Status Map'!$A$2:$A$12,0)),"UNDEFINED")</f>
        <v/>
      </c>
      <c r="L584" s="64">
        <f>IFERROR(INDEX('Status Map'!$C$2:$C$12,MATCH(C584,'Status Map'!$A$2:$A$12,0)),"UNDEFINED")</f>
        <v/>
      </c>
      <c r="M584" s="68" t="inlineStr">
        <is>
          <t>STATEMENT AS REGISTERED</t>
        </is>
      </c>
      <c r="N584" s="68" t="n"/>
      <c r="O584" s="68" t="n"/>
      <c r="P584" s="64">
        <f>IF(O584&lt;&gt;"",O584,LEFT(D584,2))</f>
        <v/>
      </c>
      <c r="Q584" s="64">
        <f>IF(O584&lt;&gt;"","Standards §6",IF(M584="HEADING ONLY","Derived from heading — PROVISIONAL",IF(M584="TEXT NOT IN REGISTRY","No text to derive from — PROVISIONAL","Derived from registered statement")))</f>
        <v/>
      </c>
      <c r="R584" s="64">
        <f>IF(OR(LEFT(G584,1)="A",L584="COUNTS",ISNUMBER(SEARCH("V1",P584)),ISNUMBER(SEARCH("V2",P584)),ISNUMBER(SEARCH("V5",P584))),"A — 100%","B — sample ≥ 30%")</f>
        <v/>
      </c>
      <c r="S584" s="67" t="n"/>
      <c r="T584" s="67" t="n"/>
      <c r="U584" s="67" t="n"/>
      <c r="V584" s="67" t="n"/>
      <c r="W584" s="67" t="n"/>
      <c r="X584" s="67" t="n"/>
    </row>
    <row r="585" ht="22.35" customHeight="1" s="45">
      <c r="A585" s="65" t="inlineStr">
        <is>
          <t>CON-20</t>
        </is>
      </c>
      <c r="B585" s="66" t="inlineStr">
        <is>
          <t>content_registry_v1</t>
        </is>
      </c>
      <c r="C585" s="66" t="inlineStr">
        <is>
          <t>PROPOSED</t>
        </is>
      </c>
      <c r="D585" s="66" t="inlineStr">
        <is>
          <t>V3 — Record evidence</t>
        </is>
      </c>
      <c r="E585" s="66" t="inlineStr">
        <is>
          <t>V6</t>
        </is>
      </c>
      <c r="F585" s="66" t="inlineStr">
        <is>
          <t>Ledger rows inspected; hash-chain verifier receipt; refused operations present on identical terms</t>
        </is>
      </c>
      <c r="G585" s="66" t="inlineStr">
        <is>
          <t>B — sample ≥ 30%</t>
        </is>
      </c>
      <c r="H585" s="67" t="n"/>
      <c r="I585" s="67" t="n"/>
      <c r="J585" s="67" t="n"/>
      <c r="K585" s="64">
        <f>IFERROR(INDEX('Status Map'!$B$2:$B$12,MATCH(C585,'Status Map'!$A$2:$A$12,0)),"UNDEFINED")</f>
        <v/>
      </c>
      <c r="L585" s="64">
        <f>IFERROR(INDEX('Status Map'!$C$2:$C$12,MATCH(C585,'Status Map'!$A$2:$A$12,0)),"UNDEFINED")</f>
        <v/>
      </c>
      <c r="M585" s="68" t="inlineStr">
        <is>
          <t>STATEMENT AS REGISTERED</t>
        </is>
      </c>
      <c r="N585" s="68" t="inlineStr">
        <is>
          <t>C-6.12.6</t>
        </is>
      </c>
      <c r="O585" s="68" t="inlineStr">
        <is>
          <t>V3 + V6</t>
        </is>
      </c>
      <c r="P585" s="64">
        <f>IF(O585&lt;&gt;"",O585,LEFT(D585,2))</f>
        <v/>
      </c>
      <c r="Q585" s="64">
        <f>IF(O585&lt;&gt;"","Standards §6",IF(M585="HEADING ONLY","Derived from heading — PROVISIONAL",IF(M585="TEXT NOT IN REGISTRY","No text to derive from — PROVISIONAL","Derived from registered statement")))</f>
        <v/>
      </c>
      <c r="R585" s="64">
        <f>IF(OR(LEFT(G585,1)="A",L585="COUNTS",ISNUMBER(SEARCH("V1",P585)),ISNUMBER(SEARCH("V2",P585)),ISNUMBER(SEARCH("V5",P585))),"A — 100%","B — sample ≥ 30%")</f>
        <v/>
      </c>
      <c r="S585" s="67" t="n"/>
      <c r="T585" s="67" t="n"/>
      <c r="U585" s="67" t="n"/>
      <c r="V585" s="67" t="n"/>
      <c r="W585" s="67" t="n"/>
      <c r="X585" s="67" t="n"/>
    </row>
    <row r="586" ht="22.35" customHeight="1" s="45">
      <c r="A586" s="65" t="inlineStr">
        <is>
          <t>CON-21</t>
        </is>
      </c>
      <c r="B586" s="66" t="inlineStr">
        <is>
          <t>content_registry_v1</t>
        </is>
      </c>
      <c r="C586" s="66" t="inlineStr">
        <is>
          <t>PROPOSED</t>
        </is>
      </c>
      <c r="D586" s="66" t="inlineStr">
        <is>
          <t>V2 — Structural evidence</t>
        </is>
      </c>
      <c r="E586" s="66" t="n"/>
      <c r="F586" s="66" t="inlineStr">
        <is>
          <t>Negative-scan or AST rule present, named, and green in CI; scan surface stated</t>
        </is>
      </c>
      <c r="G586" s="66" t="inlineStr">
        <is>
          <t>A — 100%</t>
        </is>
      </c>
      <c r="H586" s="67" t="n"/>
      <c r="I586" s="67" t="n"/>
      <c r="J586" s="67" t="n"/>
      <c r="K586" s="64">
        <f>IFERROR(INDEX('Status Map'!$B$2:$B$12,MATCH(C586,'Status Map'!$A$2:$A$12,0)),"UNDEFINED")</f>
        <v/>
      </c>
      <c r="L586" s="64">
        <f>IFERROR(INDEX('Status Map'!$C$2:$C$12,MATCH(C586,'Status Map'!$A$2:$A$12,0)),"UNDEFINED")</f>
        <v/>
      </c>
      <c r="M586" s="68" t="inlineStr">
        <is>
          <t>STATEMENT AS REGISTERED</t>
        </is>
      </c>
      <c r="N586" s="68" t="n"/>
      <c r="O586" s="68" t="n"/>
      <c r="P586" s="64">
        <f>IF(O586&lt;&gt;"",O586,LEFT(D586,2))</f>
        <v/>
      </c>
      <c r="Q586" s="64">
        <f>IF(O586&lt;&gt;"","Standards §6",IF(M586="HEADING ONLY","Derived from heading — PROVISIONAL",IF(M586="TEXT NOT IN REGISTRY","No text to derive from — PROVISIONAL","Derived from registered statement")))</f>
        <v/>
      </c>
      <c r="R586" s="64">
        <f>IF(OR(LEFT(G586,1)="A",L586="COUNTS",ISNUMBER(SEARCH("V1",P586)),ISNUMBER(SEARCH("V2",P586)),ISNUMBER(SEARCH("V5",P586))),"A — 100%","B — sample ≥ 30%")</f>
        <v/>
      </c>
      <c r="S586" s="67" t="n"/>
      <c r="T586" s="67" t="n"/>
      <c r="U586" s="67" t="n"/>
      <c r="V586" s="67" t="n"/>
      <c r="W586" s="67" t="n"/>
      <c r="X586" s="67" t="n"/>
    </row>
    <row r="587" ht="22.35" customHeight="1" s="45">
      <c r="A587" s="65" t="inlineStr">
        <is>
          <t>CON-22</t>
        </is>
      </c>
      <c r="B587" s="66" t="inlineStr">
        <is>
          <t>content_registry_v1</t>
        </is>
      </c>
      <c r="C587" s="66" t="inlineStr">
        <is>
          <t>PROPOSED</t>
        </is>
      </c>
      <c r="D587" s="66" t="inlineStr">
        <is>
          <t>V6 — Surface inspection</t>
        </is>
      </c>
      <c r="E587" s="66" t="n"/>
      <c r="F587" s="66" t="inlineStr">
        <is>
          <t>DOM-bound substitution rule or harness receipt; fixed string verbatim; honest-gap variant rendered on null</t>
        </is>
      </c>
      <c r="G587" s="66" t="inlineStr">
        <is>
          <t>B — sample ≥ 30%</t>
        </is>
      </c>
      <c r="H587" s="67" t="n"/>
      <c r="I587" s="67" t="n"/>
      <c r="J587" s="67" t="n"/>
      <c r="K587" s="64">
        <f>IFERROR(INDEX('Status Map'!$B$2:$B$12,MATCH(C587,'Status Map'!$A$2:$A$12,0)),"UNDEFINED")</f>
        <v/>
      </c>
      <c r="L587" s="64">
        <f>IFERROR(INDEX('Status Map'!$C$2:$C$12,MATCH(C587,'Status Map'!$A$2:$A$12,0)),"UNDEFINED")</f>
        <v/>
      </c>
      <c r="M587" s="68" t="inlineStr">
        <is>
          <t>STATEMENT AS REGISTERED</t>
        </is>
      </c>
      <c r="N587" s="68" t="n"/>
      <c r="O587" s="68" t="n"/>
      <c r="P587" s="64">
        <f>IF(O587&lt;&gt;"",O587,LEFT(D587,2))</f>
        <v/>
      </c>
      <c r="Q587" s="64">
        <f>IF(O587&lt;&gt;"","Standards §6",IF(M587="HEADING ONLY","Derived from heading — PROVISIONAL",IF(M587="TEXT NOT IN REGISTRY","No text to derive from — PROVISIONAL","Derived from registered statement")))</f>
        <v/>
      </c>
      <c r="R587" s="64">
        <f>IF(OR(LEFT(G587,1)="A",L587="COUNTS",ISNUMBER(SEARCH("V1",P587)),ISNUMBER(SEARCH("V2",P587)),ISNUMBER(SEARCH("V5",P587))),"A — 100%","B — sample ≥ 30%")</f>
        <v/>
      </c>
      <c r="S587" s="67" t="n"/>
      <c r="T587" s="67" t="n"/>
      <c r="U587" s="67" t="n"/>
      <c r="V587" s="67" t="n"/>
      <c r="W587" s="67" t="n"/>
      <c r="X587" s="67" t="n"/>
    </row>
    <row r="588" ht="22.35" customHeight="1" s="45">
      <c r="A588" s="65" t="inlineStr">
        <is>
          <t>CON-23</t>
        </is>
      </c>
      <c r="B588" s="66" t="inlineStr">
        <is>
          <t>content_registry_v1</t>
        </is>
      </c>
      <c r="C588" s="66" t="inlineStr">
        <is>
          <t>PROPOSED</t>
        </is>
      </c>
      <c r="D588" s="66" t="inlineStr">
        <is>
          <t>V1 — Test evidence</t>
        </is>
      </c>
      <c r="E588" s="66" t="inlineStr">
        <is>
          <t>V3</t>
        </is>
      </c>
      <c r="F588" s="66" t="inlineStr">
        <is>
          <t>Golden-input, byte-identical output; RED-first test ID; ratchet manifest entry</t>
        </is>
      </c>
      <c r="G588" s="66" t="inlineStr">
        <is>
          <t>A — 100%</t>
        </is>
      </c>
      <c r="H588" s="67" t="n"/>
      <c r="I588" s="67" t="n"/>
      <c r="J588" s="67" t="n"/>
      <c r="K588" s="64">
        <f>IFERROR(INDEX('Status Map'!$B$2:$B$12,MATCH(C588,'Status Map'!$A$2:$A$12,0)),"UNDEFINED")</f>
        <v/>
      </c>
      <c r="L588" s="64">
        <f>IFERROR(INDEX('Status Map'!$C$2:$C$12,MATCH(C588,'Status Map'!$A$2:$A$12,0)),"UNDEFINED")</f>
        <v/>
      </c>
      <c r="M588" s="68" t="inlineStr">
        <is>
          <t>STATEMENT AS REGISTERED</t>
        </is>
      </c>
      <c r="N588" s="68" t="n"/>
      <c r="O588" s="68" t="n"/>
      <c r="P588" s="64">
        <f>IF(O588&lt;&gt;"",O588,LEFT(D588,2))</f>
        <v/>
      </c>
      <c r="Q588" s="64">
        <f>IF(O588&lt;&gt;"","Standards §6",IF(M588="HEADING ONLY","Derived from heading — PROVISIONAL",IF(M588="TEXT NOT IN REGISTRY","No text to derive from — PROVISIONAL","Derived from registered statement")))</f>
        <v/>
      </c>
      <c r="R588" s="64">
        <f>IF(OR(LEFT(G588,1)="A",L588="COUNTS",ISNUMBER(SEARCH("V1",P588)),ISNUMBER(SEARCH("V2",P588)),ISNUMBER(SEARCH("V5",P588))),"A — 100%","B — sample ≥ 30%")</f>
        <v/>
      </c>
      <c r="S588" s="67" t="n"/>
      <c r="T588" s="67" t="n"/>
      <c r="U588" s="67" t="n"/>
      <c r="V588" s="67" t="n"/>
      <c r="W588" s="67" t="n"/>
      <c r="X588" s="67" t="n"/>
    </row>
    <row r="589" ht="32.8" customHeight="1" s="45">
      <c r="A589" s="65" t="inlineStr">
        <is>
          <t>CON-24</t>
        </is>
      </c>
      <c r="B589" s="66" t="inlineStr">
        <is>
          <t>content_registry_v1</t>
        </is>
      </c>
      <c r="C589" s="66" t="inlineStr">
        <is>
          <t>PROPOSED</t>
        </is>
      </c>
      <c r="D589" s="66" t="inlineStr">
        <is>
          <t>V5 — Failure-injection demonstration</t>
        </is>
      </c>
      <c r="E589" s="66" t="inlineStr">
        <is>
          <t>V6</t>
        </is>
      </c>
      <c r="F589" s="66" t="inlineStr">
        <is>
          <t>Dependency made unreachable or check made to error; observed refusal; no result returned; stale marker where degradation is the ruled posture</t>
        </is>
      </c>
      <c r="G589" s="66" t="inlineStr">
        <is>
          <t>A — 100%</t>
        </is>
      </c>
      <c r="H589" s="67" t="n"/>
      <c r="I589" s="67" t="n"/>
      <c r="J589" s="67" t="n"/>
      <c r="K589" s="64">
        <f>IFERROR(INDEX('Status Map'!$B$2:$B$12,MATCH(C589,'Status Map'!$A$2:$A$12,0)),"UNDEFINED")</f>
        <v/>
      </c>
      <c r="L589" s="64">
        <f>IFERROR(INDEX('Status Map'!$C$2:$C$12,MATCH(C589,'Status Map'!$A$2:$A$12,0)),"UNDEFINED")</f>
        <v/>
      </c>
      <c r="M589" s="68" t="inlineStr">
        <is>
          <t>STATEMENT AS REGISTERED</t>
        </is>
      </c>
      <c r="N589" s="68" t="inlineStr">
        <is>
          <t>C-6.12.7</t>
        </is>
      </c>
      <c r="O589" s="68" t="inlineStr">
        <is>
          <t>V5</t>
        </is>
      </c>
      <c r="P589" s="64">
        <f>IF(O589&lt;&gt;"",O589,LEFT(D589,2))</f>
        <v/>
      </c>
      <c r="Q589" s="64">
        <f>IF(O589&lt;&gt;"","Standards §6",IF(M589="HEADING ONLY","Derived from heading — PROVISIONAL",IF(M589="TEXT NOT IN REGISTRY","No text to derive from — PROVISIONAL","Derived from registered statement")))</f>
        <v/>
      </c>
      <c r="R589" s="64">
        <f>IF(OR(LEFT(G589,1)="A",L589="COUNTS",ISNUMBER(SEARCH("V1",P589)),ISNUMBER(SEARCH("V2",P589)),ISNUMBER(SEARCH("V5",P589))),"A — 100%","B — sample ≥ 30%")</f>
        <v/>
      </c>
      <c r="S589" s="67" t="n"/>
      <c r="T589" s="67" t="n"/>
      <c r="U589" s="67" t="n"/>
      <c r="V589" s="67" t="n"/>
      <c r="W589" s="67" t="n"/>
      <c r="X589" s="67" t="n"/>
    </row>
    <row r="590" ht="22.35" customHeight="1" s="45">
      <c r="A590" s="65" t="inlineStr">
        <is>
          <t>CON-25</t>
        </is>
      </c>
      <c r="B590" s="66" t="inlineStr">
        <is>
          <t>content_registry_v1</t>
        </is>
      </c>
      <c r="C590" s="66" t="inlineStr">
        <is>
          <t>PROPOSED</t>
        </is>
      </c>
      <c r="D590" s="66" t="inlineStr">
        <is>
          <t>V3 — Record evidence</t>
        </is>
      </c>
      <c r="E590" s="66" t="inlineStr">
        <is>
          <t>V6</t>
        </is>
      </c>
      <c r="F590" s="66" t="inlineStr">
        <is>
          <t>Ledger rows inspected; hash-chain verifier receipt; refused operations present on identical terms</t>
        </is>
      </c>
      <c r="G590" s="66" t="inlineStr">
        <is>
          <t>B — sample ≥ 30%</t>
        </is>
      </c>
      <c r="H590" s="67" t="n"/>
      <c r="I590" s="67" t="n"/>
      <c r="J590" s="67" t="n"/>
      <c r="K590" s="64">
        <f>IFERROR(INDEX('Status Map'!$B$2:$B$12,MATCH(C590,'Status Map'!$A$2:$A$12,0)),"UNDEFINED")</f>
        <v/>
      </c>
      <c r="L590" s="64">
        <f>IFERROR(INDEX('Status Map'!$C$2:$C$12,MATCH(C590,'Status Map'!$A$2:$A$12,0)),"UNDEFINED")</f>
        <v/>
      </c>
      <c r="M590" s="68" t="inlineStr">
        <is>
          <t>STATEMENT AS REGISTERED</t>
        </is>
      </c>
      <c r="N590" s="68" t="inlineStr">
        <is>
          <t>C-6.12.8</t>
        </is>
      </c>
      <c r="O590" s="68" t="inlineStr">
        <is>
          <t>V2</t>
        </is>
      </c>
      <c r="P590" s="64">
        <f>IF(O590&lt;&gt;"",O590,LEFT(D590,2))</f>
        <v/>
      </c>
      <c r="Q590" s="64">
        <f>IF(O590&lt;&gt;"","Standards §6",IF(M590="HEADING ONLY","Derived from heading — PROVISIONAL",IF(M590="TEXT NOT IN REGISTRY","No text to derive from — PROVISIONAL","Derived from registered statement")))</f>
        <v/>
      </c>
      <c r="R590" s="64">
        <f>IF(OR(LEFT(G590,1)="A",L590="COUNTS",ISNUMBER(SEARCH("V1",P590)),ISNUMBER(SEARCH("V2",P590)),ISNUMBER(SEARCH("V5",P590))),"A — 100%","B — sample ≥ 30%")</f>
        <v/>
      </c>
      <c r="S590" s="67" t="n"/>
      <c r="T590" s="67" t="n"/>
      <c r="U590" s="67" t="n"/>
      <c r="V590" s="67" t="n"/>
      <c r="W590" s="67" t="n"/>
      <c r="X590" s="67" t="n"/>
    </row>
    <row r="591" ht="22.35" customHeight="1" s="45">
      <c r="A591" s="65" t="inlineStr">
        <is>
          <t>CON-26</t>
        </is>
      </c>
      <c r="B591" s="66" t="inlineStr">
        <is>
          <t>content_registry_v1</t>
        </is>
      </c>
      <c r="C591" s="66" t="inlineStr">
        <is>
          <t>PROPOSED</t>
        </is>
      </c>
      <c r="D591" s="66" t="inlineStr">
        <is>
          <t>V6 — Surface inspection</t>
        </is>
      </c>
      <c r="E591" s="66" t="n"/>
      <c r="F591" s="66" t="inlineStr">
        <is>
          <t>DOM-bound substitution rule or harness receipt; fixed string verbatim; honest-gap variant rendered on null</t>
        </is>
      </c>
      <c r="G591" s="66" t="inlineStr">
        <is>
          <t>B — sample ≥ 30%</t>
        </is>
      </c>
      <c r="H591" s="67" t="n"/>
      <c r="I591" s="67" t="n"/>
      <c r="J591" s="67" t="n"/>
      <c r="K591" s="64">
        <f>IFERROR(INDEX('Status Map'!$B$2:$B$12,MATCH(C591,'Status Map'!$A$2:$A$12,0)),"UNDEFINED")</f>
        <v/>
      </c>
      <c r="L591" s="64">
        <f>IFERROR(INDEX('Status Map'!$C$2:$C$12,MATCH(C591,'Status Map'!$A$2:$A$12,0)),"UNDEFINED")</f>
        <v/>
      </c>
      <c r="M591" s="68" t="inlineStr">
        <is>
          <t>STATEMENT AS REGISTERED</t>
        </is>
      </c>
      <c r="N591" s="68" t="n"/>
      <c r="O591" s="68" t="n"/>
      <c r="P591" s="64">
        <f>IF(O591&lt;&gt;"",O591,LEFT(D591,2))</f>
        <v/>
      </c>
      <c r="Q591" s="64">
        <f>IF(O591&lt;&gt;"","Standards §6",IF(M591="HEADING ONLY","Derived from heading — PROVISIONAL",IF(M591="TEXT NOT IN REGISTRY","No text to derive from — PROVISIONAL","Derived from registered statement")))</f>
        <v/>
      </c>
      <c r="R591" s="64">
        <f>IF(OR(LEFT(G591,1)="A",L591="COUNTS",ISNUMBER(SEARCH("V1",P591)),ISNUMBER(SEARCH("V2",P591)),ISNUMBER(SEARCH("V5",P591))),"A — 100%","B — sample ≥ 30%")</f>
        <v/>
      </c>
      <c r="S591" s="67" t="n"/>
      <c r="T591" s="67" t="n"/>
      <c r="U591" s="67" t="n"/>
      <c r="V591" s="67" t="n"/>
      <c r="W591" s="67" t="n"/>
      <c r="X591" s="67" t="n"/>
    </row>
    <row r="592" ht="22.35" customHeight="1" s="45">
      <c r="A592" s="65" t="inlineStr">
        <is>
          <t>CON-27</t>
        </is>
      </c>
      <c r="B592" s="66" t="inlineStr">
        <is>
          <t>content_registry_v1</t>
        </is>
      </c>
      <c r="C592" s="66" t="inlineStr">
        <is>
          <t>PROPOSED</t>
        </is>
      </c>
      <c r="D592" s="66" t="inlineStr">
        <is>
          <t>V7 — Document &amp; design inspection</t>
        </is>
      </c>
      <c r="E592" s="66" t="n"/>
      <c r="F592" s="66" t="inlineStr">
        <is>
          <t>Specification text against implementation description; provenance sections; objective card lines</t>
        </is>
      </c>
      <c r="G592" s="66" t="inlineStr">
        <is>
          <t>B — sample ≥ 30%</t>
        </is>
      </c>
      <c r="H592" s="67" t="n"/>
      <c r="I592" s="67" t="n"/>
      <c r="J592" s="67" t="n"/>
      <c r="K592" s="64">
        <f>IFERROR(INDEX('Status Map'!$B$2:$B$12,MATCH(C592,'Status Map'!$A$2:$A$12,0)),"UNDEFINED")</f>
        <v/>
      </c>
      <c r="L592" s="64">
        <f>IFERROR(INDEX('Status Map'!$C$2:$C$12,MATCH(C592,'Status Map'!$A$2:$A$12,0)),"UNDEFINED")</f>
        <v/>
      </c>
      <c r="M592" s="68" t="inlineStr">
        <is>
          <t>STATEMENT AS REGISTERED</t>
        </is>
      </c>
      <c r="N592" s="68" t="inlineStr">
        <is>
          <t>C-6.15.2</t>
        </is>
      </c>
      <c r="O592" s="68" t="inlineStr">
        <is>
          <t>V5</t>
        </is>
      </c>
      <c r="P592" s="64">
        <f>IF(O592&lt;&gt;"",O592,LEFT(D592,2))</f>
        <v/>
      </c>
      <c r="Q592" s="64">
        <f>IF(O592&lt;&gt;"","Standards §6",IF(M592="HEADING ONLY","Derived from heading — PROVISIONAL",IF(M592="TEXT NOT IN REGISTRY","No text to derive from — PROVISIONAL","Derived from registered statement")))</f>
        <v/>
      </c>
      <c r="R592" s="64">
        <f>IF(OR(LEFT(G592,1)="A",L592="COUNTS",ISNUMBER(SEARCH("V1",P592)),ISNUMBER(SEARCH("V2",P592)),ISNUMBER(SEARCH("V5",P592))),"A — 100%","B — sample ≥ 30%")</f>
        <v/>
      </c>
      <c r="S592" s="67" t="n"/>
      <c r="T592" s="67" t="n"/>
      <c r="U592" s="67" t="n"/>
      <c r="V592" s="67" t="n"/>
      <c r="W592" s="67" t="n"/>
      <c r="X592" s="67" t="n"/>
    </row>
    <row r="593" ht="22.35" customHeight="1" s="45">
      <c r="A593" s="65" t="inlineStr">
        <is>
          <t>CON-28</t>
        </is>
      </c>
      <c r="B593" s="66" t="inlineStr">
        <is>
          <t>content_registry_v1</t>
        </is>
      </c>
      <c r="C593" s="66" t="inlineStr">
        <is>
          <t>PROPOSED</t>
        </is>
      </c>
      <c r="D593" s="66" t="inlineStr">
        <is>
          <t>V7 — Document &amp; design inspection</t>
        </is>
      </c>
      <c r="E593" s="66" t="n"/>
      <c r="F593" s="66" t="inlineStr">
        <is>
          <t>Specification text against implementation description; provenance sections; objective card lines</t>
        </is>
      </c>
      <c r="G593" s="66" t="inlineStr">
        <is>
          <t>B — sample ≥ 30%</t>
        </is>
      </c>
      <c r="H593" s="67" t="n"/>
      <c r="I593" s="67" t="n"/>
      <c r="J593" s="67" t="n"/>
      <c r="K593" s="64">
        <f>IFERROR(INDEX('Status Map'!$B$2:$B$12,MATCH(C593,'Status Map'!$A$2:$A$12,0)),"UNDEFINED")</f>
        <v/>
      </c>
      <c r="L593" s="64">
        <f>IFERROR(INDEX('Status Map'!$C$2:$C$12,MATCH(C593,'Status Map'!$A$2:$A$12,0)),"UNDEFINED")</f>
        <v/>
      </c>
      <c r="M593" s="68" t="inlineStr">
        <is>
          <t>STATEMENT AS REGISTERED</t>
        </is>
      </c>
      <c r="N593" s="68" t="n"/>
      <c r="O593" s="68" t="n"/>
      <c r="P593" s="64">
        <f>IF(O593&lt;&gt;"",O593,LEFT(D593,2))</f>
        <v/>
      </c>
      <c r="Q593" s="64">
        <f>IF(O593&lt;&gt;"","Standards §6",IF(M593="HEADING ONLY","Derived from heading — PROVISIONAL",IF(M593="TEXT NOT IN REGISTRY","No text to derive from — PROVISIONAL","Derived from registered statement")))</f>
        <v/>
      </c>
      <c r="R593" s="64">
        <f>IF(OR(LEFT(G593,1)="A",L593="COUNTS",ISNUMBER(SEARCH("V1",P593)),ISNUMBER(SEARCH("V2",P593)),ISNUMBER(SEARCH("V5",P593))),"A — 100%","B — sample ≥ 30%")</f>
        <v/>
      </c>
      <c r="S593" s="67" t="n"/>
      <c r="T593" s="67" t="n"/>
      <c r="U593" s="67" t="n"/>
      <c r="V593" s="67" t="n"/>
      <c r="W593" s="67" t="n"/>
      <c r="X593" s="67" t="n"/>
    </row>
    <row r="594" ht="22.35" customHeight="1" s="45">
      <c r="A594" s="65" t="inlineStr">
        <is>
          <t>CON-29</t>
        </is>
      </c>
      <c r="B594" s="66" t="inlineStr">
        <is>
          <t>content_registry_v1</t>
        </is>
      </c>
      <c r="C594" s="66" t="inlineStr">
        <is>
          <t>PROPOSED</t>
        </is>
      </c>
      <c r="D594" s="66" t="inlineStr">
        <is>
          <t>V3 — Record evidence</t>
        </is>
      </c>
      <c r="E594" s="66" t="inlineStr">
        <is>
          <t>V6</t>
        </is>
      </c>
      <c r="F594" s="66" t="inlineStr">
        <is>
          <t>Ledger rows inspected; hash-chain verifier receipt; refused operations present on identical terms</t>
        </is>
      </c>
      <c r="G594" s="66" t="inlineStr">
        <is>
          <t>B — sample ≥ 30%</t>
        </is>
      </c>
      <c r="H594" s="67" t="n"/>
      <c r="I594" s="67" t="n"/>
      <c r="J594" s="67" t="n"/>
      <c r="K594" s="64">
        <f>IFERROR(INDEX('Status Map'!$B$2:$B$12,MATCH(C594,'Status Map'!$A$2:$A$12,0)),"UNDEFINED")</f>
        <v/>
      </c>
      <c r="L594" s="64">
        <f>IFERROR(INDEX('Status Map'!$C$2:$C$12,MATCH(C594,'Status Map'!$A$2:$A$12,0)),"UNDEFINED")</f>
        <v/>
      </c>
      <c r="M594" s="68" t="inlineStr">
        <is>
          <t>STATEMENT AS REGISTERED</t>
        </is>
      </c>
      <c r="N594" s="68" t="n"/>
      <c r="O594" s="68" t="n"/>
      <c r="P594" s="64">
        <f>IF(O594&lt;&gt;"",O594,LEFT(D594,2))</f>
        <v/>
      </c>
      <c r="Q594" s="64">
        <f>IF(O594&lt;&gt;"","Standards §6",IF(M594="HEADING ONLY","Derived from heading — PROVISIONAL",IF(M594="TEXT NOT IN REGISTRY","No text to derive from — PROVISIONAL","Derived from registered statement")))</f>
        <v/>
      </c>
      <c r="R594" s="64">
        <f>IF(OR(LEFT(G594,1)="A",L594="COUNTS",ISNUMBER(SEARCH("V1",P594)),ISNUMBER(SEARCH("V2",P594)),ISNUMBER(SEARCH("V5",P594))),"A — 100%","B — sample ≥ 30%")</f>
        <v/>
      </c>
      <c r="S594" s="67" t="n"/>
      <c r="T594" s="67" t="n"/>
      <c r="U594" s="67" t="n"/>
      <c r="V594" s="67" t="n"/>
      <c r="W594" s="67" t="n"/>
      <c r="X594" s="67" t="n"/>
    </row>
    <row r="595" ht="22.35" customHeight="1" s="45">
      <c r="A595" s="65" t="inlineStr">
        <is>
          <t>CON-30</t>
        </is>
      </c>
      <c r="B595" s="66" t="inlineStr">
        <is>
          <t>content_registry_v1</t>
        </is>
      </c>
      <c r="C595" s="66" t="inlineStr">
        <is>
          <t>PROPOSED</t>
        </is>
      </c>
      <c r="D595" s="66" t="inlineStr">
        <is>
          <t>V3 — Record evidence</t>
        </is>
      </c>
      <c r="E595" s="66" t="inlineStr">
        <is>
          <t>V6</t>
        </is>
      </c>
      <c r="F595" s="66" t="inlineStr">
        <is>
          <t>Ledger rows inspected; hash-chain verifier receipt; refused operations present on identical terms</t>
        </is>
      </c>
      <c r="G595" s="66" t="inlineStr">
        <is>
          <t>B — sample ≥ 30%</t>
        </is>
      </c>
      <c r="H595" s="67" t="n"/>
      <c r="I595" s="67" t="n"/>
      <c r="J595" s="67" t="n"/>
      <c r="K595" s="64">
        <f>IFERROR(INDEX('Status Map'!$B$2:$B$12,MATCH(C595,'Status Map'!$A$2:$A$12,0)),"UNDEFINED")</f>
        <v/>
      </c>
      <c r="L595" s="64">
        <f>IFERROR(INDEX('Status Map'!$C$2:$C$12,MATCH(C595,'Status Map'!$A$2:$A$12,0)),"UNDEFINED")</f>
        <v/>
      </c>
      <c r="M595" s="68" t="inlineStr">
        <is>
          <t>STATEMENT AS REGISTERED</t>
        </is>
      </c>
      <c r="N595" s="68" t="n"/>
      <c r="O595" s="68" t="n"/>
      <c r="P595" s="64">
        <f>IF(O595&lt;&gt;"",O595,LEFT(D595,2))</f>
        <v/>
      </c>
      <c r="Q595" s="64">
        <f>IF(O595&lt;&gt;"","Standards §6",IF(M595="HEADING ONLY","Derived from heading — PROVISIONAL",IF(M595="TEXT NOT IN REGISTRY","No text to derive from — PROVISIONAL","Derived from registered statement")))</f>
        <v/>
      </c>
      <c r="R595" s="64">
        <f>IF(OR(LEFT(G595,1)="A",L595="COUNTS",ISNUMBER(SEARCH("V1",P595)),ISNUMBER(SEARCH("V2",P595)),ISNUMBER(SEARCH("V5",P595))),"A — 100%","B — sample ≥ 30%")</f>
        <v/>
      </c>
      <c r="S595" s="67" t="n"/>
      <c r="T595" s="67" t="n"/>
      <c r="U595" s="67" t="n"/>
      <c r="V595" s="67" t="n"/>
      <c r="W595" s="67" t="n"/>
      <c r="X595" s="67" t="n"/>
    </row>
    <row r="596" ht="32.8" customHeight="1" s="45">
      <c r="A596" s="65" t="inlineStr">
        <is>
          <t>CON-31</t>
        </is>
      </c>
      <c r="B596" s="66" t="inlineStr">
        <is>
          <t>content_registry_v1</t>
        </is>
      </c>
      <c r="C596" s="66" t="inlineStr">
        <is>
          <t>PROPOSED</t>
        </is>
      </c>
      <c r="D596" s="66" t="inlineStr">
        <is>
          <t>V5 — Failure-injection demonstration</t>
        </is>
      </c>
      <c r="E596" s="66" t="inlineStr">
        <is>
          <t>V6</t>
        </is>
      </c>
      <c r="F596" s="66" t="inlineStr">
        <is>
          <t>Dependency made unreachable or check made to error; observed refusal; no result returned; stale marker where degradation is the ruled posture</t>
        </is>
      </c>
      <c r="G596" s="66" t="inlineStr">
        <is>
          <t>A — 100%</t>
        </is>
      </c>
      <c r="H596" s="67" t="n"/>
      <c r="I596" s="67" t="n"/>
      <c r="J596" s="67" t="n"/>
      <c r="K596" s="64">
        <f>IFERROR(INDEX('Status Map'!$B$2:$B$12,MATCH(C596,'Status Map'!$A$2:$A$12,0)),"UNDEFINED")</f>
        <v/>
      </c>
      <c r="L596" s="64">
        <f>IFERROR(INDEX('Status Map'!$C$2:$C$12,MATCH(C596,'Status Map'!$A$2:$A$12,0)),"UNDEFINED")</f>
        <v/>
      </c>
      <c r="M596" s="68" t="inlineStr">
        <is>
          <t>STATEMENT AS REGISTERED</t>
        </is>
      </c>
      <c r="N596" s="68" t="n"/>
      <c r="O596" s="68" t="n"/>
      <c r="P596" s="64">
        <f>IF(O596&lt;&gt;"",O596,LEFT(D596,2))</f>
        <v/>
      </c>
      <c r="Q596" s="64">
        <f>IF(O596&lt;&gt;"","Standards §6",IF(M596="HEADING ONLY","Derived from heading — PROVISIONAL",IF(M596="TEXT NOT IN REGISTRY","No text to derive from — PROVISIONAL","Derived from registered statement")))</f>
        <v/>
      </c>
      <c r="R596" s="64">
        <f>IF(OR(LEFT(G596,1)="A",L596="COUNTS",ISNUMBER(SEARCH("V1",P596)),ISNUMBER(SEARCH("V2",P596)),ISNUMBER(SEARCH("V5",P596))),"A — 100%","B — sample ≥ 30%")</f>
        <v/>
      </c>
      <c r="S596" s="67" t="n"/>
      <c r="T596" s="67" t="n"/>
      <c r="U596" s="67" t="n"/>
      <c r="V596" s="67" t="n"/>
      <c r="W596" s="67" t="n"/>
      <c r="X596" s="67" t="n"/>
    </row>
    <row r="597" ht="22.35" customHeight="1" s="45">
      <c r="A597" s="65" t="inlineStr">
        <is>
          <t>SFP-1</t>
        </is>
      </c>
      <c r="B597" s="66" t="inlineStr">
        <is>
          <t>security_function_policies_v1</t>
        </is>
      </c>
      <c r="C597" s="66" t="inlineStr">
        <is>
          <t>PROPOSED</t>
        </is>
      </c>
      <c r="D597" s="66" t="inlineStr">
        <is>
          <t>V1 — Test evidence</t>
        </is>
      </c>
      <c r="E597" s="66" t="inlineStr">
        <is>
          <t>V5</t>
        </is>
      </c>
      <c r="F597" s="66" t="inlineStr">
        <is>
          <t>Golden-input, byte-identical output; RED-first test ID; ratchet manifest entry</t>
        </is>
      </c>
      <c r="G597" s="66" t="inlineStr">
        <is>
          <t>A — 100%</t>
        </is>
      </c>
      <c r="H597" s="67" t="n"/>
      <c r="I597" s="67" t="n"/>
      <c r="J597" s="67" t="n"/>
      <c r="K597" s="64">
        <f>IFERROR(INDEX('Status Map'!$B$2:$B$12,MATCH(C597,'Status Map'!$A$2:$A$12,0)),"UNDEFINED")</f>
        <v/>
      </c>
      <c r="L597" s="64">
        <f>IFERROR(INDEX('Status Map'!$C$2:$C$12,MATCH(C597,'Status Map'!$A$2:$A$12,0)),"UNDEFINED")</f>
        <v/>
      </c>
      <c r="M597" s="68" t="inlineStr">
        <is>
          <t>STATEMENT AS REGISTERED</t>
        </is>
      </c>
      <c r="N597" s="68" t="n"/>
      <c r="O597" s="68" t="n"/>
      <c r="P597" s="64">
        <f>IF(O597&lt;&gt;"",O597,LEFT(D597,2))</f>
        <v/>
      </c>
      <c r="Q597" s="64">
        <f>IF(O597&lt;&gt;"","Standards §6",IF(M597="HEADING ONLY","Derived from heading — PROVISIONAL",IF(M597="TEXT NOT IN REGISTRY","No text to derive from — PROVISIONAL","Derived from registered statement")))</f>
        <v/>
      </c>
      <c r="R597" s="64">
        <f>IF(OR(LEFT(G597,1)="A",L597="COUNTS",ISNUMBER(SEARCH("V1",P597)),ISNUMBER(SEARCH("V2",P597)),ISNUMBER(SEARCH("V5",P597))),"A — 100%","B — sample ≥ 30%")</f>
        <v/>
      </c>
      <c r="S597" s="67" t="n"/>
      <c r="T597" s="67" t="n"/>
      <c r="U597" s="67" t="n"/>
      <c r="V597" s="67" t="n"/>
      <c r="W597" s="67" t="n"/>
      <c r="X597" s="67" t="n"/>
    </row>
    <row r="598" ht="22.35" customHeight="1" s="45">
      <c r="A598" s="65" t="inlineStr">
        <is>
          <t>SFP-2</t>
        </is>
      </c>
      <c r="B598" s="66" t="inlineStr">
        <is>
          <t>security_function_policies_v1</t>
        </is>
      </c>
      <c r="C598" s="66" t="inlineStr">
        <is>
          <t>PROPOSED</t>
        </is>
      </c>
      <c r="D598" s="66" t="inlineStr">
        <is>
          <t>V1 — Test evidence</t>
        </is>
      </c>
      <c r="E598" s="66" t="inlineStr">
        <is>
          <t>V5</t>
        </is>
      </c>
      <c r="F598" s="66" t="inlineStr">
        <is>
          <t>Golden-input, byte-identical output; RED-first test ID; ratchet manifest entry</t>
        </is>
      </c>
      <c r="G598" s="66" t="inlineStr">
        <is>
          <t>A — 100%</t>
        </is>
      </c>
      <c r="H598" s="67" t="n"/>
      <c r="I598" s="67" t="n"/>
      <c r="J598" s="67" t="n"/>
      <c r="K598" s="64">
        <f>IFERROR(INDEX('Status Map'!$B$2:$B$12,MATCH(C598,'Status Map'!$A$2:$A$12,0)),"UNDEFINED")</f>
        <v/>
      </c>
      <c r="L598" s="64">
        <f>IFERROR(INDEX('Status Map'!$C$2:$C$12,MATCH(C598,'Status Map'!$A$2:$A$12,0)),"UNDEFINED")</f>
        <v/>
      </c>
      <c r="M598" s="68" t="inlineStr">
        <is>
          <t>STATEMENT AS REGISTERED</t>
        </is>
      </c>
      <c r="N598" s="68" t="n"/>
      <c r="O598" s="68" t="n"/>
      <c r="P598" s="64">
        <f>IF(O598&lt;&gt;"",O598,LEFT(D598,2))</f>
        <v/>
      </c>
      <c r="Q598" s="64">
        <f>IF(O598&lt;&gt;"","Standards §6",IF(M598="HEADING ONLY","Derived from heading — PROVISIONAL",IF(M598="TEXT NOT IN REGISTRY","No text to derive from — PROVISIONAL","Derived from registered statement")))</f>
        <v/>
      </c>
      <c r="R598" s="64">
        <f>IF(OR(LEFT(G598,1)="A",L598="COUNTS",ISNUMBER(SEARCH("V1",P598)),ISNUMBER(SEARCH("V2",P598)),ISNUMBER(SEARCH("V5",P598))),"A — 100%","B — sample ≥ 30%")</f>
        <v/>
      </c>
      <c r="S598" s="67" t="n"/>
      <c r="T598" s="67" t="n"/>
      <c r="U598" s="67" t="n"/>
      <c r="V598" s="67" t="n"/>
      <c r="W598" s="67" t="n"/>
      <c r="X598" s="67" t="n"/>
    </row>
    <row r="599" ht="22.35" customHeight="1" s="45">
      <c r="A599" s="65" t="inlineStr">
        <is>
          <t>SFP-3</t>
        </is>
      </c>
      <c r="B599" s="66" t="inlineStr">
        <is>
          <t>security_function_policies_v1</t>
        </is>
      </c>
      <c r="C599" s="66" t="inlineStr">
        <is>
          <t>PROPOSED</t>
        </is>
      </c>
      <c r="D599" s="66" t="inlineStr">
        <is>
          <t>V1 — Test evidence</t>
        </is>
      </c>
      <c r="E599" s="66" t="inlineStr">
        <is>
          <t>V5</t>
        </is>
      </c>
      <c r="F599" s="66" t="inlineStr">
        <is>
          <t>Golden-input, byte-identical output; RED-first test ID; ratchet manifest entry</t>
        </is>
      </c>
      <c r="G599" s="66" t="inlineStr">
        <is>
          <t>A — 100%</t>
        </is>
      </c>
      <c r="H599" s="67" t="n"/>
      <c r="I599" s="67" t="n"/>
      <c r="J599" s="67" t="n"/>
      <c r="K599" s="64">
        <f>IFERROR(INDEX('Status Map'!$B$2:$B$12,MATCH(C599,'Status Map'!$A$2:$A$12,0)),"UNDEFINED")</f>
        <v/>
      </c>
      <c r="L599" s="64">
        <f>IFERROR(INDEX('Status Map'!$C$2:$C$12,MATCH(C599,'Status Map'!$A$2:$A$12,0)),"UNDEFINED")</f>
        <v/>
      </c>
      <c r="M599" s="68" t="inlineStr">
        <is>
          <t>STATEMENT AS REGISTERED</t>
        </is>
      </c>
      <c r="N599" s="68" t="n"/>
      <c r="O599" s="68" t="n"/>
      <c r="P599" s="64">
        <f>IF(O599&lt;&gt;"",O599,LEFT(D599,2))</f>
        <v/>
      </c>
      <c r="Q599" s="64">
        <f>IF(O599&lt;&gt;"","Standards §6",IF(M599="HEADING ONLY","Derived from heading — PROVISIONAL",IF(M599="TEXT NOT IN REGISTRY","No text to derive from — PROVISIONAL","Derived from registered statement")))</f>
        <v/>
      </c>
      <c r="R599" s="64">
        <f>IF(OR(LEFT(G599,1)="A",L599="COUNTS",ISNUMBER(SEARCH("V1",P599)),ISNUMBER(SEARCH("V2",P599)),ISNUMBER(SEARCH("V5",P599))),"A — 100%","B — sample ≥ 30%")</f>
        <v/>
      </c>
      <c r="S599" s="67" t="n"/>
      <c r="T599" s="67" t="n"/>
      <c r="U599" s="67" t="n"/>
      <c r="V599" s="67" t="n"/>
      <c r="W599" s="67" t="n"/>
      <c r="X599" s="67" t="n"/>
    </row>
    <row r="600" ht="22.35" customHeight="1" s="45">
      <c r="A600" s="65" t="inlineStr">
        <is>
          <t>SFP-4</t>
        </is>
      </c>
      <c r="B600" s="66" t="inlineStr">
        <is>
          <t>security_function_policies_v1</t>
        </is>
      </c>
      <c r="C600" s="66" t="inlineStr">
        <is>
          <t>PROPOSED</t>
        </is>
      </c>
      <c r="D600" s="66" t="inlineStr">
        <is>
          <t>V1 — Test evidence</t>
        </is>
      </c>
      <c r="E600" s="66" t="inlineStr">
        <is>
          <t>V5</t>
        </is>
      </c>
      <c r="F600" s="66" t="inlineStr">
        <is>
          <t>Golden-input, byte-identical output; RED-first test ID; ratchet manifest entry</t>
        </is>
      </c>
      <c r="G600" s="66" t="inlineStr">
        <is>
          <t>A — 100%</t>
        </is>
      </c>
      <c r="H600" s="67" t="n"/>
      <c r="I600" s="67" t="n"/>
      <c r="J600" s="67" t="n"/>
      <c r="K600" s="64">
        <f>IFERROR(INDEX('Status Map'!$B$2:$B$12,MATCH(C600,'Status Map'!$A$2:$A$12,0)),"UNDEFINED")</f>
        <v/>
      </c>
      <c r="L600" s="64">
        <f>IFERROR(INDEX('Status Map'!$C$2:$C$12,MATCH(C600,'Status Map'!$A$2:$A$12,0)),"UNDEFINED")</f>
        <v/>
      </c>
      <c r="M600" s="68" t="inlineStr">
        <is>
          <t>STATEMENT AS REGISTERED</t>
        </is>
      </c>
      <c r="N600" s="68" t="n"/>
      <c r="O600" s="68" t="n"/>
      <c r="P600" s="64">
        <f>IF(O600&lt;&gt;"",O600,LEFT(D600,2))</f>
        <v/>
      </c>
      <c r="Q600" s="64">
        <f>IF(O600&lt;&gt;"","Standards §6",IF(M600="HEADING ONLY","Derived from heading — PROVISIONAL",IF(M600="TEXT NOT IN REGISTRY","No text to derive from — PROVISIONAL","Derived from registered statement")))</f>
        <v/>
      </c>
      <c r="R600" s="64">
        <f>IF(OR(LEFT(G600,1)="A",L600="COUNTS",ISNUMBER(SEARCH("V1",P600)),ISNUMBER(SEARCH("V2",P600)),ISNUMBER(SEARCH("V5",P600))),"A — 100%","B — sample ≥ 30%")</f>
        <v/>
      </c>
      <c r="S600" s="67" t="n"/>
      <c r="T600" s="67" t="n"/>
      <c r="U600" s="67" t="n"/>
      <c r="V600" s="67" t="n"/>
      <c r="W600" s="67" t="n"/>
      <c r="X600" s="67" t="n"/>
    </row>
    <row r="601" ht="22.35" customHeight="1" s="45">
      <c r="A601" s="65" t="inlineStr">
        <is>
          <t>SFP-5</t>
        </is>
      </c>
      <c r="B601" s="66" t="inlineStr">
        <is>
          <t>security_function_policies_v1</t>
        </is>
      </c>
      <c r="C601" s="66" t="inlineStr">
        <is>
          <t>PROPOSED</t>
        </is>
      </c>
      <c r="D601" s="66" t="inlineStr">
        <is>
          <t>V1 — Test evidence</t>
        </is>
      </c>
      <c r="E601" s="66" t="inlineStr">
        <is>
          <t>V5</t>
        </is>
      </c>
      <c r="F601" s="66" t="inlineStr">
        <is>
          <t>Golden-input, byte-identical output; RED-first test ID; ratchet manifest entry</t>
        </is>
      </c>
      <c r="G601" s="66" t="inlineStr">
        <is>
          <t>A — 100%</t>
        </is>
      </c>
      <c r="H601" s="67" t="n"/>
      <c r="I601" s="67" t="n"/>
      <c r="J601" s="67" t="n"/>
      <c r="K601" s="64">
        <f>IFERROR(INDEX('Status Map'!$B$2:$B$12,MATCH(C601,'Status Map'!$A$2:$A$12,0)),"UNDEFINED")</f>
        <v/>
      </c>
      <c r="L601" s="64">
        <f>IFERROR(INDEX('Status Map'!$C$2:$C$12,MATCH(C601,'Status Map'!$A$2:$A$12,0)),"UNDEFINED")</f>
        <v/>
      </c>
      <c r="M601" s="68" t="inlineStr">
        <is>
          <t>STATEMENT AS REGISTERED</t>
        </is>
      </c>
      <c r="N601" s="68" t="n"/>
      <c r="O601" s="68" t="n"/>
      <c r="P601" s="64">
        <f>IF(O601&lt;&gt;"",O601,LEFT(D601,2))</f>
        <v/>
      </c>
      <c r="Q601" s="64">
        <f>IF(O601&lt;&gt;"","Standards §6",IF(M601="HEADING ONLY","Derived from heading — PROVISIONAL",IF(M601="TEXT NOT IN REGISTRY","No text to derive from — PROVISIONAL","Derived from registered statement")))</f>
        <v/>
      </c>
      <c r="R601" s="64">
        <f>IF(OR(LEFT(G601,1)="A",L601="COUNTS",ISNUMBER(SEARCH("V1",P601)),ISNUMBER(SEARCH("V2",P601)),ISNUMBER(SEARCH("V5",P601))),"A — 100%","B — sample ≥ 30%")</f>
        <v/>
      </c>
      <c r="S601" s="67" t="n"/>
      <c r="T601" s="67" t="n"/>
      <c r="U601" s="67" t="n"/>
      <c r="V601" s="67" t="n"/>
      <c r="W601" s="67" t="n"/>
      <c r="X601" s="67" t="n"/>
    </row>
    <row r="602" ht="22.35" customHeight="1" s="45">
      <c r="A602" s="65" t="inlineStr">
        <is>
          <t>SFP-6</t>
        </is>
      </c>
      <c r="B602" s="66" t="inlineStr">
        <is>
          <t>security_function_policies_v1</t>
        </is>
      </c>
      <c r="C602" s="66" t="inlineStr">
        <is>
          <t>PROPOSED</t>
        </is>
      </c>
      <c r="D602" s="66" t="inlineStr">
        <is>
          <t>V1 — Test evidence</t>
        </is>
      </c>
      <c r="E602" s="66" t="inlineStr">
        <is>
          <t>V5</t>
        </is>
      </c>
      <c r="F602" s="66" t="inlineStr">
        <is>
          <t>Golden-input, byte-identical output; RED-first test ID; ratchet manifest entry</t>
        </is>
      </c>
      <c r="G602" s="66" t="inlineStr">
        <is>
          <t>A — 100%</t>
        </is>
      </c>
      <c r="H602" s="67" t="n"/>
      <c r="I602" s="67" t="n"/>
      <c r="J602" s="67" t="n"/>
      <c r="K602" s="64">
        <f>IFERROR(INDEX('Status Map'!$B$2:$B$12,MATCH(C602,'Status Map'!$A$2:$A$12,0)),"UNDEFINED")</f>
        <v/>
      </c>
      <c r="L602" s="64">
        <f>IFERROR(INDEX('Status Map'!$C$2:$C$12,MATCH(C602,'Status Map'!$A$2:$A$12,0)),"UNDEFINED")</f>
        <v/>
      </c>
      <c r="M602" s="68" t="inlineStr">
        <is>
          <t>STATEMENT AS REGISTERED</t>
        </is>
      </c>
      <c r="N602" s="68" t="n"/>
      <c r="O602" s="68" t="n"/>
      <c r="P602" s="64">
        <f>IF(O602&lt;&gt;"",O602,LEFT(D602,2))</f>
        <v/>
      </c>
      <c r="Q602" s="64">
        <f>IF(O602&lt;&gt;"","Standards §6",IF(M602="HEADING ONLY","Derived from heading — PROVISIONAL",IF(M602="TEXT NOT IN REGISTRY","No text to derive from — PROVISIONAL","Derived from registered statement")))</f>
        <v/>
      </c>
      <c r="R602" s="64">
        <f>IF(OR(LEFT(G602,1)="A",L602="COUNTS",ISNUMBER(SEARCH("V1",P602)),ISNUMBER(SEARCH("V2",P602)),ISNUMBER(SEARCH("V5",P602))),"A — 100%","B — sample ≥ 30%")</f>
        <v/>
      </c>
      <c r="S602" s="67" t="n"/>
      <c r="T602" s="67" t="n"/>
      <c r="U602" s="67" t="n"/>
      <c r="V602" s="67" t="n"/>
      <c r="W602" s="67" t="n"/>
      <c r="X602" s="67" t="n"/>
    </row>
    <row r="603" ht="22.35" customHeight="1" s="45">
      <c r="A603" s="65" t="inlineStr">
        <is>
          <t>SFP-7</t>
        </is>
      </c>
      <c r="B603" s="66" t="inlineStr">
        <is>
          <t>security_function_policies_v1</t>
        </is>
      </c>
      <c r="C603" s="66" t="inlineStr">
        <is>
          <t>PROPOSED</t>
        </is>
      </c>
      <c r="D603" s="66" t="inlineStr">
        <is>
          <t>V1 — Test evidence</t>
        </is>
      </c>
      <c r="E603" s="66" t="inlineStr">
        <is>
          <t>V5</t>
        </is>
      </c>
      <c r="F603" s="66" t="inlineStr">
        <is>
          <t>Golden-input, byte-identical output; RED-first test ID; ratchet manifest entry</t>
        </is>
      </c>
      <c r="G603" s="66" t="inlineStr">
        <is>
          <t>A — 100%</t>
        </is>
      </c>
      <c r="H603" s="67" t="n"/>
      <c r="I603" s="67" t="n"/>
      <c r="J603" s="67" t="n"/>
      <c r="K603" s="64">
        <f>IFERROR(INDEX('Status Map'!$B$2:$B$12,MATCH(C603,'Status Map'!$A$2:$A$12,0)),"UNDEFINED")</f>
        <v/>
      </c>
      <c r="L603" s="64">
        <f>IFERROR(INDEX('Status Map'!$C$2:$C$12,MATCH(C603,'Status Map'!$A$2:$A$12,0)),"UNDEFINED")</f>
        <v/>
      </c>
      <c r="M603" s="68" t="inlineStr">
        <is>
          <t>STATEMENT AS REGISTERED</t>
        </is>
      </c>
      <c r="N603" s="68" t="n"/>
      <c r="O603" s="68" t="n"/>
      <c r="P603" s="64">
        <f>IF(O603&lt;&gt;"",O603,LEFT(D603,2))</f>
        <v/>
      </c>
      <c r="Q603" s="64">
        <f>IF(O603&lt;&gt;"","Standards §6",IF(M603="HEADING ONLY","Derived from heading — PROVISIONAL",IF(M603="TEXT NOT IN REGISTRY","No text to derive from — PROVISIONAL","Derived from registered statement")))</f>
        <v/>
      </c>
      <c r="R603" s="64">
        <f>IF(OR(LEFT(G603,1)="A",L603="COUNTS",ISNUMBER(SEARCH("V1",P603)),ISNUMBER(SEARCH("V2",P603)),ISNUMBER(SEARCH("V5",P603))),"A — 100%","B — sample ≥ 30%")</f>
        <v/>
      </c>
      <c r="S603" s="67" t="n"/>
      <c r="T603" s="67" t="n"/>
      <c r="U603" s="67" t="n"/>
      <c r="V603" s="67" t="n"/>
      <c r="W603" s="67" t="n"/>
      <c r="X603" s="67" t="n"/>
    </row>
  </sheetData>
  <autoFilter ref="A1:X603"/>
  <dataValidations count="5">
    <dataValidation sqref="H2:H603" showDropDown="0" showInputMessage="0" showErrorMessage="1" allowBlank="1" error="Use the vocabulary in the Standards." type="list" errorStyle="stop" operator="between">
      <formula1>"PASS,FAIL,NOT BUILT,NOT VERIFIABLE,NOT EXAMINED"</formula1>
      <formula2>0</formula2>
    </dataValidation>
    <dataValidation sqref="T2:T603" showDropDown="0" showInputMessage="0" showErrorMessage="1" allowBlank="1" error="Use the vocabulary in the Standards." type="list" errorStyle="stop" operator="between">
      <formula1>"S1,S2,S3,S4"</formula1>
      <formula2>0</formula2>
    </dataValidation>
    <dataValidation sqref="V2:V603" showDropDown="0" showInputMessage="0" showErrorMessage="1" allowBlank="1" error="Use the vocabulary in the Standards." type="list" errorStyle="stop" operator="between">
      <formula1>"TESTABLE,AMBIGUOUS,NOT TESTABLE,CONFLICTS,DUPLICATES"</formula1>
      <formula2>0</formula2>
    </dataValidation>
    <dataValidation sqref="W2:W603" showDropDown="0" showInputMessage="0" showErrorMessage="1" allowBlank="1" error="Use the vocabulary in the Standards." type="list" errorStyle="stop" operator="between">
      <formula1>"OPEN,TIER B — NOT DRAWN"</formula1>
      <formula2>0</formula2>
    </dataValidation>
    <dataValidation sqref="X2:X603" showDropDown="0" showInputMessage="0" showErrorMessage="1" allowBlank="1" error="Use the vocabulary in the Standards." type="list" errorStyle="stop" operator="between">
      <formula1>"CONFIRMED,OVERTURNED,NOT RE-PERFORMED"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4" customWidth="1" style="44" min="1" max="1"/>
    <col width="20" customWidth="1" style="44" min="2" max="2"/>
    <col width="24" customWidth="1" style="44" min="3" max="3"/>
    <col width="8" customWidth="1" style="44" min="4" max="4"/>
    <col width="90" customWidth="1" style="44" min="5" max="5"/>
  </cols>
  <sheetData>
    <row r="1" ht="15" customHeight="1" s="45">
      <c r="A1" s="62" t="inlineStr">
        <is>
          <t>Raw status (as registered)</t>
        </is>
      </c>
      <c r="B1" s="62" t="inlineStr">
        <is>
          <t>Normalised status</t>
        </is>
      </c>
      <c r="C1" s="62" t="inlineStr">
        <is>
          <t>Weight in promise roll-up</t>
        </is>
      </c>
      <c r="D1" s="62" t="inlineStr">
        <is>
          <t>Rows</t>
        </is>
      </c>
      <c r="E1" s="62" t="inlineStr">
        <is>
          <t>Basis / owner action</t>
        </is>
      </c>
    </row>
    <row r="2" ht="15" customHeight="1" s="45">
      <c r="A2" s="63" t="inlineStr">
        <is>
          <t>CANON</t>
        </is>
      </c>
      <c r="B2" s="67" t="inlineStr">
        <is>
          <t>CANON</t>
        </is>
      </c>
      <c r="C2" s="67" t="inlineStr">
        <is>
          <t>COUNTS</t>
        </is>
      </c>
      <c r="D2" s="64">
        <f>COUNTIF('QA Verification'!$C$2:$C$603,A2)</f>
        <v/>
      </c>
      <c r="E2" s="68" t="inlineStr">
        <is>
          <t>Ratified.</t>
        </is>
      </c>
    </row>
    <row r="3" ht="15" customHeight="1" s="45">
      <c r="A3" s="63" t="inlineStr">
        <is>
          <t>RULED</t>
        </is>
      </c>
      <c r="B3" s="67" t="inlineStr">
        <is>
          <t>RULED</t>
        </is>
      </c>
      <c r="C3" s="67" t="inlineStr">
        <is>
          <t>COUNTS</t>
        </is>
      </c>
      <c r="D3" s="64">
        <f>COUNTIF('QA Verification'!$C$2:$C$603,A3)</f>
        <v/>
      </c>
      <c r="E3" s="68" t="inlineStr">
        <is>
          <t>Ratified by ruling. The DECISIONS.md entry is confirmed by the auditor before the rule is weighed (Standards 2.5).</t>
        </is>
      </c>
    </row>
    <row r="4" ht="15" customHeight="1" s="45">
      <c r="A4" s="63" t="inlineStr">
        <is>
          <t>PROPOSED</t>
        </is>
      </c>
      <c r="B4" s="67" t="inlineStr">
        <is>
          <t>PROPOSED</t>
        </is>
      </c>
      <c r="C4" s="67" t="inlineStr">
        <is>
          <t>UNRATIFIED</t>
        </is>
      </c>
      <c r="D4" s="64">
        <f>COUNTIF('QA Verification'!$C$2:$C$603,A4)</f>
        <v/>
      </c>
      <c r="E4" s="68" t="inlineStr">
        <is>
          <t>Examined and given a verdict; excluded from the ratified roll-up, included in the full roll-up.</t>
        </is>
      </c>
    </row>
    <row r="5" ht="15" customHeight="1" s="45">
      <c r="A5" s="63" t="inlineStr">
        <is>
          <t>PROPOSED (pending ratification)</t>
        </is>
      </c>
      <c r="B5" s="67" t="inlineStr">
        <is>
          <t>PROPOSED</t>
        </is>
      </c>
      <c r="C5" s="67" t="inlineStr">
        <is>
          <t>UNRATIFIED</t>
        </is>
      </c>
      <c r="D5" s="64">
        <f>COUNTIF('QA Verification'!$C$2:$C$603,A5)</f>
        <v/>
      </c>
      <c r="E5" s="68" t="inlineStr">
        <is>
          <t>As PROPOSED.</t>
        </is>
      </c>
    </row>
    <row r="6" ht="15" customHeight="1" s="45">
      <c r="A6" s="63" t="inlineStr">
        <is>
          <t>DEFAULT (draft; R2 open)</t>
        </is>
      </c>
      <c r="B6" s="67" t="inlineStr">
        <is>
          <t>DEFAULT</t>
        </is>
      </c>
      <c r="C6" s="67" t="inlineStr">
        <is>
          <t>UNRATIFIED</t>
        </is>
      </c>
      <c r="D6" s="64">
        <f>COUNTIF('QA Verification'!$C$2:$C$603,A6)</f>
        <v/>
      </c>
      <c r="E6" s="68" t="inlineStr">
        <is>
          <t>As PROPOSED.</t>
        </is>
      </c>
    </row>
    <row r="7" ht="15" customHeight="1" s="45">
      <c r="A7" s="63" t="inlineStr">
        <is>
          <t>OPEN</t>
        </is>
      </c>
      <c r="B7" s="67" t="inlineStr">
        <is>
          <t>OPEN</t>
        </is>
      </c>
      <c r="C7" s="67" t="inlineStr">
        <is>
          <t>OPEN</t>
        </is>
      </c>
      <c r="D7" s="64">
        <f>COUNTIF('QA Verification'!$C$2:$C$603,A7)</f>
        <v/>
      </c>
      <c r="E7" s="68" t="inlineStr">
        <is>
          <t>Recorded NOT EXAMINED with reason OPEN.</t>
        </is>
      </c>
    </row>
    <row r="8" ht="22.35" customHeight="1" s="45">
      <c r="A8" s="63" t="inlineStr">
        <is>
          <t>—</t>
        </is>
      </c>
      <c r="B8" s="67" t="inlineStr">
        <is>
          <t>UNDEFINED</t>
        </is>
      </c>
      <c r="C8" s="67" t="inlineStr">
        <is>
          <t>UNDEFINED</t>
        </is>
      </c>
      <c r="D8" s="64">
        <f>COUNTIF('QA Verification'!$C$2:$C$603,A8)</f>
        <v/>
      </c>
      <c r="E8" s="68" t="inlineStr">
        <is>
          <t>OWNER ACTION: status not in the vocabulary. Rule CANON, RULED, PROPOSED, DEFAULT or OPEN before the audit target is tagged. Until ruled: examined, excluded from the ratified roll-up, listed in the registry-defect annex.</t>
        </is>
      </c>
    </row>
    <row r="9" ht="15" customHeight="1" s="45">
      <c r="A9" s="63" t="inlineStr">
        <is>
          <t>— (see heading)</t>
        </is>
      </c>
      <c r="B9" s="67" t="inlineStr">
        <is>
          <t>UNDEFINED</t>
        </is>
      </c>
      <c r="C9" s="67" t="inlineStr">
        <is>
          <t>UNDEFINED</t>
        </is>
      </c>
      <c r="D9" s="64">
        <f>COUNTIF('QA Verification'!$C$2:$C$603,A9)</f>
        <v/>
      </c>
      <c r="E9" s="68" t="inlineStr">
        <is>
          <t>OWNER ACTION: as above. The status is said to sit in the source heading; transcribe it.</t>
        </is>
      </c>
    </row>
    <row r="10" ht="22.35" customHeight="1" s="45">
      <c r="A10" s="63" t="inlineStr">
        <is>
          <t>See xlsx</t>
        </is>
      </c>
      <c r="B10" s="67" t="inlineStr">
        <is>
          <t>UNDEFINED</t>
        </is>
      </c>
      <c r="C10" s="67" t="inlineStr">
        <is>
          <t>UNDEFINED</t>
        </is>
      </c>
      <c r="D10" s="64">
        <f>COUNTIF('QA Verification'!$C$2:$C$603,A10)</f>
        <v/>
      </c>
      <c r="E10" s="68" t="inlineStr">
        <is>
          <t>OWNER ACTION: status and text sit in Security_Assurance_Promise_Set.xlsx, which was not issued with the registries. Supply it (Standards 9.1) and transcribe the status.</t>
        </is>
      </c>
    </row>
    <row r="11" ht="15" customHeight="1" s="45">
      <c r="A11" s="63" t="inlineStr">
        <is>
          <t>DETERMINED</t>
        </is>
      </c>
      <c r="B11" s="67" t="inlineStr">
        <is>
          <t>RULED</t>
        </is>
      </c>
      <c r="C11" s="67" t="inlineStr">
        <is>
          <t>COUNTS</t>
        </is>
      </c>
      <c r="D11" s="64">
        <f>COUNTIF('QA Verification'!$C$2:$C$603,A11)</f>
        <v/>
      </c>
      <c r="E11" s="68" t="inlineStr">
        <is>
          <t>Owner ruling 21 Sep 2026: a determination and an owner-directed canon entry are ratified acts; weight COUNTS.</t>
        </is>
      </c>
    </row>
    <row r="12" ht="22.35" customHeight="1" s="45">
      <c r="A12" s="63" t="inlineStr">
        <is>
          <t>OWNER-DIRECTED → CANON (R3/R5/R7/R9 strikeable)</t>
        </is>
      </c>
      <c r="B12" s="67" t="inlineStr">
        <is>
          <t>RULED</t>
        </is>
      </c>
      <c r="C12" s="67" t="inlineStr">
        <is>
          <t>COUNTS</t>
        </is>
      </c>
      <c r="D12" s="64">
        <f>COUNTIF('QA Verification'!$C$2:$C$603,A12)</f>
        <v/>
      </c>
      <c r="E12" s="68" t="inlineStr">
        <is>
          <t>Owner ruling 21 Sep 2026: a determination and an owner-directed canon entry are ratified acts; weight COUNTS.</t>
        </is>
      </c>
    </row>
    <row r="13" ht="15" customHeight="1" s="45">
      <c r="A13" s="63" t="inlineStr">
        <is>
          <t>Total</t>
        </is>
      </c>
      <c r="D13" s="64">
        <f>SUM(D2:D12)</f>
        <v/>
      </c>
    </row>
    <row r="14"/>
    <row r="15" ht="27.75" customHeight="1" s="45">
      <c r="A15" s="69" t="inlineStr">
        <is>
          <t>Columns B and C are the only place status weight is set. Edit them here and every derived column in QA Verification, and the Audit Summary, recalculates. Yellow = input; grey = formula.</t>
        </is>
      </c>
    </row>
  </sheetData>
  <mergeCells count="1">
    <mergeCell ref="A15:E1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O181"/>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1" customWidth="1" style="44" min="1" max="1"/>
    <col width="12" customWidth="1" style="44" min="2" max="2"/>
    <col width="26" customWidth="1" style="44" min="3" max="3"/>
    <col width="48" customWidth="1" style="44" min="4" max="4"/>
    <col width="30" customWidth="1" style="44" min="5" max="5"/>
    <col width="14" customWidth="1" style="44" min="6" max="6"/>
    <col width="44" customWidth="1" style="44" min="7" max="7"/>
    <col width="40" customWidth="1" style="44" min="8" max="8"/>
    <col width="44" customWidth="1" style="44" min="9" max="9"/>
    <col width="16" customWidth="1" style="44" min="10" max="10"/>
    <col width="30" customWidth="1" style="44" min="11" max="11"/>
    <col width="44" customWidth="1" style="44" min="12" max="12"/>
    <col width="12" customWidth="1" style="44" min="13" max="14"/>
    <col width="20" customWidth="1" style="44" min="15" max="15"/>
  </cols>
  <sheetData>
    <row r="1" ht="22.35" customHeight="1" s="45">
      <c r="A1" s="62" t="inlineStr">
        <is>
          <t>Check ID</t>
        </is>
      </c>
      <c r="B1" s="62" t="inlineStr">
        <is>
          <t>Part</t>
        </is>
      </c>
      <c r="C1" s="62" t="inlineStr">
        <is>
          <t>Domain</t>
        </is>
      </c>
      <c r="D1" s="62" t="inlineStr">
        <is>
          <t>Check</t>
        </is>
      </c>
      <c r="E1" s="62" t="inlineStr">
        <is>
          <t>Standard</t>
        </is>
      </c>
      <c r="F1" s="62" t="inlineStr">
        <is>
          <t>Class / method</t>
        </is>
      </c>
      <c r="G1" s="62" t="inlineStr">
        <is>
          <t>FAIL or DEFECT looks like</t>
        </is>
      </c>
      <c r="H1" s="62" t="inlineStr">
        <is>
          <t>Registry rules resolved (document-qualified)</t>
        </is>
      </c>
      <c r="I1" s="62" t="inlineStr">
        <is>
          <t>Citations that do not resolve in the registry</t>
        </is>
      </c>
      <c r="J1" s="62" t="inlineStr">
        <is>
          <t>Verdict / rating</t>
        </is>
      </c>
      <c r="K1" s="62" t="inlineStr">
        <is>
          <t>Evidence examined (class · artefact)</t>
        </is>
      </c>
      <c r="L1" s="62" t="inlineStr">
        <is>
          <t>Observed</t>
        </is>
      </c>
      <c r="M1" s="62" t="inlineStr">
        <is>
          <t>Severity</t>
        </is>
      </c>
      <c r="N1" s="62" t="inlineStr">
        <is>
          <t>Finding ref</t>
        </is>
      </c>
      <c r="O1" s="62" t="inlineStr">
        <is>
          <t>Commit · ratchet</t>
        </is>
      </c>
    </row>
    <row r="2" ht="22.35" customHeight="1" s="45">
      <c r="A2" s="63" t="inlineStr">
        <is>
          <t>C-6.1.1</t>
        </is>
      </c>
      <c r="B2" s="68" t="inlineStr">
        <is>
          <t>I Conformance</t>
        </is>
      </c>
      <c r="C2" s="68" t="inlineStr">
        <is>
          <t>6.1 Build discipline</t>
        </is>
      </c>
      <c r="D2" s="68" t="inlineStr">
        <is>
          <t>Every seal is a §3.3 three-commit seal; Commit-B and Commit-C bank the prior SHA</t>
        </is>
      </c>
      <c r="E2" s="68" t="inlineStr">
        <is>
          <t>SO §3.3</t>
        </is>
      </c>
      <c r="F2" s="68" t="inlineStr">
        <is>
          <t>V4</t>
        </is>
      </c>
      <c r="G2" s="68" t="inlineStr">
        <is>
          <t>A seal with an unbanked SHA; a fixup that rewrites history</t>
        </is>
      </c>
      <c r="H2" s="68" t="n"/>
      <c r="I2" s="68" t="n"/>
      <c r="J2" s="67" t="n"/>
      <c r="K2" s="67" t="n"/>
      <c r="L2" s="67" t="n"/>
      <c r="M2" s="67" t="n"/>
      <c r="N2" s="67" t="n"/>
      <c r="O2" s="67" t="n"/>
    </row>
    <row r="3" ht="22.35" customHeight="1" s="45">
      <c r="A3" s="63" t="inlineStr">
        <is>
          <t>C-6.1.2</t>
        </is>
      </c>
      <c r="B3" s="68" t="inlineStr">
        <is>
          <t>I Conformance</t>
        </is>
      </c>
      <c r="C3" s="68" t="inlineStr">
        <is>
          <t>6.1 Build discipline</t>
        </is>
      </c>
      <c r="D3" s="68" t="inlineStr">
        <is>
          <t>Full BASELINE_GUARD=1 sweep before Commit-B; byte-identical double-green recorded</t>
        </is>
      </c>
      <c r="E3" s="68" t="inlineStr">
        <is>
          <t>SO §3.3; R-18 close standard</t>
        </is>
      </c>
      <c r="F3" s="68" t="inlineStr">
        <is>
          <t>V1</t>
        </is>
      </c>
      <c r="G3" s="68" t="inlineStr">
        <is>
          <t>A seal note showing targeted invariants only</t>
        </is>
      </c>
      <c r="H3" s="68" t="n"/>
      <c r="I3" s="68" t="n"/>
      <c r="J3" s="67" t="n"/>
      <c r="K3" s="67" t="n"/>
      <c r="L3" s="67" t="n"/>
      <c r="M3" s="67" t="n"/>
      <c r="N3" s="67" t="n"/>
      <c r="O3" s="67" t="n"/>
    </row>
    <row r="4" ht="22.35" customHeight="1" s="45">
      <c r="A4" s="63" t="inlineStr">
        <is>
          <t>C-6.1.3</t>
        </is>
      </c>
      <c r="B4" s="68" t="inlineStr">
        <is>
          <t>I Conformance</t>
        </is>
      </c>
      <c r="C4" s="68" t="inlineStr">
        <is>
          <t>6.1 Build discipline</t>
        </is>
      </c>
      <c r="D4" s="68" t="inlineStr">
        <is>
          <t>Ratchet floor moves only from measurement, reconciled line by line; no silent rebaselining</t>
        </is>
      </c>
      <c r="E4" s="68" t="inlineStr">
        <is>
          <t>SO §3</t>
        </is>
      </c>
      <c r="F4" s="68" t="inlineStr">
        <is>
          <t>V4</t>
        </is>
      </c>
      <c r="G4" s="68" t="inlineStr">
        <is>
          <t>A floor bump without a reconciliation record</t>
        </is>
      </c>
      <c r="H4" s="68" t="n"/>
      <c r="I4" s="68" t="n"/>
      <c r="J4" s="67" t="n"/>
      <c r="K4" s="67" t="n"/>
      <c r="L4" s="67" t="n"/>
      <c r="M4" s="67" t="n"/>
      <c r="N4" s="67" t="n"/>
      <c r="O4" s="67" t="n"/>
    </row>
    <row r="5" ht="22.35" customHeight="1" s="45">
      <c r="A5" s="63" t="inlineStr">
        <is>
          <t>C-6.1.4</t>
        </is>
      </c>
      <c r="B5" s="68" t="inlineStr">
        <is>
          <t>I Conformance</t>
        </is>
      </c>
      <c r="C5" s="68" t="inlineStr">
        <is>
          <t>6.1 Build discipline</t>
        </is>
      </c>
      <c r="D5" s="68" t="inlineStr">
        <is>
          <t>Every generated requirement carries canon_ref; the documentation check fails on its absence</t>
        </is>
      </c>
      <c r="E5" s="68" t="inlineStr">
        <is>
          <t>R-18 effect 2</t>
        </is>
      </c>
      <c r="F5" s="68" t="inlineStr">
        <is>
          <t>V4</t>
        </is>
      </c>
      <c r="G5" s="68" t="inlineStr">
        <is>
          <t>A requirements file with a row lacking canon_ref and passing CI</t>
        </is>
      </c>
      <c r="H5" s="68" t="n"/>
      <c r="I5" s="68" t="n"/>
      <c r="J5" s="67" t="n"/>
      <c r="K5" s="67" t="n"/>
      <c r="L5" s="67" t="n"/>
      <c r="M5" s="67" t="n"/>
      <c r="N5" s="67" t="n"/>
      <c r="O5" s="67" t="n"/>
    </row>
    <row r="6" ht="22.35" customHeight="1" s="45">
      <c r="A6" s="63" t="inlineStr">
        <is>
          <t>C-6.1.5</t>
        </is>
      </c>
      <c r="B6" s="68" t="inlineStr">
        <is>
          <t>I Conformance</t>
        </is>
      </c>
      <c r="C6" s="68" t="inlineStr">
        <is>
          <t>6.1 Build discipline</t>
        </is>
      </c>
      <c r="D6" s="68" t="inlineStr">
        <is>
          <t>Every milestone has a pinned objective card; every seal cites a card line</t>
        </is>
      </c>
      <c r="E6" s="68" t="inlineStr">
        <is>
          <t>SO §6.2</t>
        </is>
      </c>
      <c r="F6" s="68" t="inlineStr">
        <is>
          <t>V4</t>
        </is>
      </c>
      <c r="G6" s="68" t="inlineStr">
        <is>
          <t>A seal message citing no line; a card whose MUST-DO has no exit evidence</t>
        </is>
      </c>
      <c r="H6" s="68" t="n"/>
      <c r="I6" s="68" t="n"/>
      <c r="J6" s="67" t="n"/>
      <c r="K6" s="67" t="n"/>
      <c r="L6" s="67" t="n"/>
      <c r="M6" s="67" t="n"/>
      <c r="N6" s="67" t="n"/>
      <c r="O6" s="67" t="n"/>
    </row>
    <row r="7" ht="22.35" customHeight="1" s="45">
      <c r="A7" s="63" t="inlineStr">
        <is>
          <t>C-6.1.6</t>
        </is>
      </c>
      <c r="B7" s="68" t="inlineStr">
        <is>
          <t>I Conformance</t>
        </is>
      </c>
      <c r="C7" s="68" t="inlineStr">
        <is>
          <t>6.1 Build discipline</t>
        </is>
      </c>
      <c r="D7" s="68" t="inlineStr">
        <is>
          <t>A gate-satisfaction claim cites absence-of-blocker evidence per line</t>
        </is>
      </c>
      <c r="E7" s="68" t="inlineStr">
        <is>
          <t>SO §6.2 amendment</t>
        </is>
      </c>
      <c r="F7" s="68" t="inlineStr">
        <is>
          <t>V4</t>
        </is>
      </c>
      <c r="G7" s="68" t="inlineStr">
        <is>
          <t>“Gate satisfied” resting on “waves closed” alone</t>
        </is>
      </c>
      <c r="H7" s="68" t="n"/>
      <c r="I7" s="68" t="n"/>
      <c r="J7" s="67" t="n"/>
      <c r="K7" s="67" t="n"/>
      <c r="L7" s="67" t="n"/>
      <c r="M7" s="67" t="n"/>
      <c r="N7" s="67" t="n"/>
      <c r="O7" s="67" t="n"/>
    </row>
    <row r="8" ht="22.35" customHeight="1" s="45">
      <c r="A8" s="63" t="inlineStr">
        <is>
          <t>C-6.1.7</t>
        </is>
      </c>
      <c r="B8" s="68" t="inlineStr">
        <is>
          <t>I Conformance</t>
        </is>
      </c>
      <c r="C8" s="68" t="inlineStr">
        <is>
          <t>6.1 Build discipline</t>
        </is>
      </c>
      <c r="D8" s="68" t="inlineStr">
        <is>
          <t>Order of authority observed: no lower layer amends a higher one</t>
        </is>
      </c>
      <c r="E8" s="68" t="inlineStr">
        <is>
          <t>R-18 effect 1</t>
        </is>
      </c>
      <c r="F8" s="68" t="inlineStr">
        <is>
          <t>V7</t>
        </is>
      </c>
      <c r="G8" s="68" t="inlineStr">
        <is>
          <t>An SER clause contradicting a CANON rule with no erratum</t>
        </is>
      </c>
      <c r="H8" s="68" t="n"/>
      <c r="I8" s="68" t="n"/>
      <c r="J8" s="67" t="n"/>
      <c r="K8" s="67" t="n"/>
      <c r="L8" s="67" t="n"/>
      <c r="M8" s="67" t="n"/>
      <c r="N8" s="67" t="n"/>
      <c r="O8" s="67" t="n"/>
    </row>
    <row r="9" ht="22.35" customHeight="1" s="45">
      <c r="A9" s="63" t="inlineStr">
        <is>
          <t>C-6.2.1</t>
        </is>
      </c>
      <c r="B9" s="68" t="inlineStr">
        <is>
          <t>I Conformance</t>
        </is>
      </c>
      <c r="C9" s="68" t="inlineStr">
        <is>
          <t>6.2 Trusted computing base and determinism</t>
        </is>
      </c>
      <c r="D9" s="68" t="inlineStr">
        <is>
          <t>Membership test is BA-1.1: deterministic and failure falsifies a stated guarantee</t>
        </is>
      </c>
      <c r="E9" s="68" t="inlineStr">
        <is>
          <t>Doc 0 BA-1.1; R-18 effect 7</t>
        </is>
      </c>
      <c r="F9" s="68" t="inlineStr">
        <is>
          <t>V7</t>
        </is>
      </c>
      <c r="G9" s="68" t="inlineStr">
        <is>
          <t>A membership table using a different test</t>
        </is>
      </c>
      <c r="H9" s="68" t="n"/>
      <c r="I9" s="68" t="inlineStr">
        <is>
          <t>Doc 0 BA-1.1 — no registry row</t>
        </is>
      </c>
      <c r="J9" s="67" t="n"/>
      <c r="K9" s="67" t="n"/>
      <c r="L9" s="67" t="n"/>
      <c r="M9" s="67" t="n"/>
      <c r="N9" s="67" t="n"/>
      <c r="O9" s="67" t="n"/>
    </row>
    <row r="10" ht="53.7" customHeight="1" s="45">
      <c r="A10" s="63" t="inlineStr">
        <is>
          <t>C-6.2.2</t>
        </is>
      </c>
      <c r="B10" s="68" t="inlineStr">
        <is>
          <t>I Conformance</t>
        </is>
      </c>
      <c r="C10" s="68" t="inlineStr">
        <is>
          <t>6.2 Trusted computing base and determinism</t>
        </is>
      </c>
      <c r="D10" s="68" t="inlineStr">
        <is>
          <t>Every enumerated member has a golden-input, byte-identical test</t>
        </is>
      </c>
      <c r="E10" s="68" t="inlineStr">
        <is>
          <t>B.8; tcb_enumeration_v1; determinism_inventory_v1 (v1.0 cited DET-1, DET-2 — miscited, RD-06)</t>
        </is>
      </c>
      <c r="F10" s="68" t="inlineStr">
        <is>
          <t>V1</t>
        </is>
      </c>
      <c r="G10" s="68" t="inlineStr">
        <is>
          <t>A member with no test, or a test without a stated golden input</t>
        </is>
      </c>
      <c r="H10" s="68" t="n"/>
      <c r="I10" s="68" t="inlineStr">
        <is>
          <t>B.8 — no registry row; DET-1 — DET-1 in the registry is an OPEN item on a CIF halt mechanism, not a golden-input test rule; DET-2 — DET-2 in the registry concerns Mtafiti classification confirmation, not a golden-input test rule</t>
        </is>
      </c>
      <c r="J10" s="67" t="n"/>
      <c r="K10" s="67" t="n"/>
      <c r="L10" s="67" t="n"/>
      <c r="M10" s="67" t="n"/>
      <c r="N10" s="67" t="n"/>
      <c r="O10" s="67" t="n"/>
    </row>
    <row r="11" ht="22.35" customHeight="1" s="45">
      <c r="A11" s="63" t="inlineStr">
        <is>
          <t>C-6.2.3</t>
        </is>
      </c>
      <c r="B11" s="68" t="inlineStr">
        <is>
          <t>I Conformance</t>
        </is>
      </c>
      <c r="C11" s="68" t="inlineStr">
        <is>
          <t>6.2 Trusted computing base and determinism</t>
        </is>
      </c>
      <c r="D11" s="68" t="inlineStr">
        <is>
          <t>No learned component participates in any TCB decision</t>
        </is>
      </c>
      <c r="E11" s="68" t="inlineStr">
        <is>
          <t>Attribute 10</t>
        </is>
      </c>
      <c r="F11" s="68" t="inlineStr">
        <is>
          <t>V2</t>
        </is>
      </c>
      <c r="G11" s="68" t="inlineStr">
        <is>
          <t>A model output reachable by a decision function</t>
        </is>
      </c>
      <c r="H11" s="68" t="n"/>
      <c r="I11" s="68" t="n"/>
      <c r="J11" s="67" t="n"/>
      <c r="K11" s="67" t="n"/>
      <c r="L11" s="67" t="n"/>
      <c r="M11" s="67" t="n"/>
      <c r="N11" s="67" t="n"/>
      <c r="O11" s="67" t="n"/>
    </row>
    <row r="12" ht="22.35" customHeight="1" s="45">
      <c r="A12" s="63" t="inlineStr">
        <is>
          <t>C-6.2.4</t>
        </is>
      </c>
      <c r="B12" s="68" t="inlineStr">
        <is>
          <t>I Conformance</t>
        </is>
      </c>
      <c r="C12" s="68" t="inlineStr">
        <is>
          <t>6.2 Trusted computing base and determinism</t>
        </is>
      </c>
      <c r="D12" s="68" t="inlineStr">
        <is>
          <t>Every member refuses when its own check cannot complete</t>
        </is>
      </c>
      <c r="E12" s="68" t="inlineStr">
        <is>
          <t>FP-1, FP-2</t>
        </is>
      </c>
      <c r="F12" s="68" t="inlineStr">
        <is>
          <t>V5</t>
        </is>
      </c>
      <c r="G12" s="68" t="inlineStr">
        <is>
          <t>A member returning a result under injected failure</t>
        </is>
      </c>
      <c r="H12" s="68" t="inlineStr">
        <is>
          <t>failure_posture_v1 · FP-1; failure_posture_v1 · FP-2</t>
        </is>
      </c>
      <c r="I12" s="68" t="n"/>
      <c r="J12" s="67" t="n"/>
      <c r="K12" s="67" t="n"/>
      <c r="L12" s="67" t="n"/>
      <c r="M12" s="67" t="n"/>
      <c r="N12" s="67" t="n"/>
      <c r="O12" s="67" t="n"/>
    </row>
    <row r="13" ht="22.35" customHeight="1" s="45">
      <c r="A13" s="63" t="inlineStr">
        <is>
          <t>C-6.2.5</t>
        </is>
      </c>
      <c r="B13" s="68" t="inlineStr">
        <is>
          <t>I Conformance</t>
        </is>
      </c>
      <c r="C13" s="68" t="inlineStr">
        <is>
          <t>6.2 Trusted computing base and determinism</t>
        </is>
      </c>
      <c r="D13" s="68" t="inlineStr">
        <is>
          <t>Components in the build but outside the enumeration are absent</t>
        </is>
      </c>
      <c r="E13" s="68" t="inlineStr">
        <is>
          <t>tcb_enumeration_v1 method</t>
        </is>
      </c>
      <c r="F13" s="68" t="inlineStr">
        <is>
          <t>V7</t>
        </is>
      </c>
      <c r="G13" s="68" t="inlineStr">
        <is>
          <t>A decision-bearing component not in the table</t>
        </is>
      </c>
      <c r="H13" s="68" t="n"/>
      <c r="I13" s="68" t="n"/>
      <c r="J13" s="67" t="n"/>
      <c r="K13" s="67" t="n"/>
      <c r="L13" s="67" t="n"/>
      <c r="M13" s="67" t="n"/>
      <c r="N13" s="67" t="n"/>
      <c r="O13" s="67" t="n"/>
    </row>
    <row r="14" ht="22.35" customHeight="1" s="45">
      <c r="A14" s="63" t="inlineStr">
        <is>
          <t>C-6.3.1</t>
        </is>
      </c>
      <c r="B14" s="68" t="inlineStr">
        <is>
          <t>I Conformance</t>
        </is>
      </c>
      <c r="C14" s="68" t="inlineStr">
        <is>
          <t>6.3 The chokepoint and custody</t>
        </is>
      </c>
      <c r="D14" s="68" t="inlineStr">
        <is>
          <t>Exactly one function invokes the external model client; the build fails on a second</t>
        </is>
      </c>
      <c r="E14" s="68" t="inlineStr">
        <is>
          <t>Doc 1 A5.1</t>
        </is>
      </c>
      <c r="F14" s="68" t="inlineStr">
        <is>
          <t>V2</t>
        </is>
      </c>
      <c r="G14" s="68" t="inlineStr">
        <is>
          <t>A second call site, an import outside the allow-list, or a scan that misses call sites</t>
        </is>
      </c>
      <c r="H14" s="68" t="inlineStr">
        <is>
          <t>Doc 1 · A5.1</t>
        </is>
      </c>
      <c r="I14" s="68" t="n"/>
      <c r="J14" s="67" t="n"/>
      <c r="K14" s="67" t="n"/>
      <c r="L14" s="67" t="n"/>
      <c r="M14" s="67" t="n"/>
      <c r="N14" s="67" t="n"/>
      <c r="O14" s="67" t="n"/>
    </row>
    <row r="15" ht="22.35" customHeight="1" s="45">
      <c r="A15" s="63" t="inlineStr">
        <is>
          <t>C-6.3.2</t>
        </is>
      </c>
      <c r="B15" s="68" t="inlineStr">
        <is>
          <t>I Conformance</t>
        </is>
      </c>
      <c r="C15" s="68" t="inlineStr">
        <is>
          <t>6.3 The chokepoint and custody</t>
        </is>
      </c>
      <c r="D15" s="68" t="inlineStr">
        <is>
          <t>Custody sequence runs on every call: mask before send, re-identify only inside</t>
        </is>
      </c>
      <c r="E15" s="68" t="inlineStr">
        <is>
          <t>DAP-7</t>
        </is>
      </c>
      <c r="F15" s="68" t="inlineStr">
        <is>
          <t>V1 + V5</t>
        </is>
      </c>
      <c r="G15" s="68" t="inlineStr">
        <is>
          <t>A path on which masking is conditional or skippable</t>
        </is>
      </c>
      <c r="H15" s="68" t="inlineStr">
        <is>
          <t>DAP Backend spec · DAP-7</t>
        </is>
      </c>
      <c r="I15" s="68" t="n"/>
      <c r="J15" s="67" t="n"/>
      <c r="K15" s="67" t="n"/>
      <c r="L15" s="67" t="n"/>
      <c r="M15" s="67" t="n"/>
      <c r="N15" s="67" t="n"/>
      <c r="O15" s="67" t="n"/>
    </row>
    <row r="16" ht="22.35" customHeight="1" s="45">
      <c r="A16" s="63" t="inlineStr">
        <is>
          <t>C-6.3.3</t>
        </is>
      </c>
      <c r="B16" s="68" t="inlineStr">
        <is>
          <t>I Conformance</t>
        </is>
      </c>
      <c r="C16" s="68" t="inlineStr">
        <is>
          <t>6.3 The chokepoint and custody</t>
        </is>
      </c>
      <c r="D16" s="68" t="inlineStr">
        <is>
          <t>No parameter on invoke() alters whether custody runs; tenant_id is required, never Optional</t>
        </is>
      </c>
      <c r="E16" s="68" t="inlineStr">
        <is>
          <t>DAP-7 Option D ruling</t>
        </is>
      </c>
      <c r="F16" s="68" t="inlineStr">
        <is>
          <t>V2</t>
        </is>
      </c>
      <c r="G16" s="68" t="inlineStr">
        <is>
          <t>A bypass-shaped parameter; an Optional tenant scope</t>
        </is>
      </c>
      <c r="H16" s="68" t="inlineStr">
        <is>
          <t>DAP Backend spec · DAP-7</t>
        </is>
      </c>
      <c r="I16" s="68" t="n"/>
      <c r="J16" s="67" t="n"/>
      <c r="K16" s="67" t="n"/>
      <c r="L16" s="67" t="n"/>
      <c r="M16" s="67" t="n"/>
      <c r="N16" s="67" t="n"/>
      <c r="O16" s="67" t="n"/>
    </row>
    <row r="17" ht="15" customHeight="1" s="45">
      <c r="A17" s="63" t="inlineStr">
        <is>
          <t>C-6.3.4</t>
        </is>
      </c>
      <c r="B17" s="68" t="inlineStr">
        <is>
          <t>I Conformance</t>
        </is>
      </c>
      <c r="C17" s="68" t="inlineStr">
        <is>
          <t>6.3 The chokepoint and custody</t>
        </is>
      </c>
      <c r="D17" s="68" t="inlineStr">
        <is>
          <t>Outbound network is allow-listed; unlisted destinations refuse</t>
        </is>
      </c>
      <c r="E17" s="68" t="inlineStr">
        <is>
          <t>Doc 1; ENT-18</t>
        </is>
      </c>
      <c r="F17" s="68" t="inlineStr">
        <is>
          <t>V5</t>
        </is>
      </c>
      <c r="G17" s="68" t="inlineStr">
        <is>
          <t>A connection to an unlisted host succeeding</t>
        </is>
      </c>
      <c r="H17" s="68" t="inlineStr">
        <is>
          <t>entitlement_service_v1 · ENT-18</t>
        </is>
      </c>
      <c r="I17" s="68" t="n"/>
      <c r="J17" s="67" t="n"/>
      <c r="K17" s="67" t="n"/>
      <c r="L17" s="67" t="n"/>
      <c r="M17" s="67" t="n"/>
      <c r="N17" s="67" t="n"/>
      <c r="O17" s="67" t="n"/>
    </row>
    <row r="18" ht="22.35" customHeight="1" s="45">
      <c r="A18" s="63" t="inlineStr">
        <is>
          <t>C-6.3.5</t>
        </is>
      </c>
      <c r="B18" s="68" t="inlineStr">
        <is>
          <t>I Conformance</t>
        </is>
      </c>
      <c r="C18" s="68" t="inlineStr">
        <is>
          <t>6.3 The chokepoint and custody</t>
        </is>
      </c>
      <c r="D18" s="68" t="inlineStr">
        <is>
          <t>Crossing policy is integrity-verified at load; unverifiable policy is a closed gate</t>
        </is>
      </c>
      <c r="E18" s="68" t="inlineStr">
        <is>
          <t>SEC-1</t>
        </is>
      </c>
      <c r="F18" s="68" t="inlineStr">
        <is>
          <t>V5</t>
        </is>
      </c>
      <c r="G18" s="68" t="inlineStr">
        <is>
          <t>A tampered policy loading</t>
        </is>
      </c>
      <c r="H18" s="68" t="inlineStr">
        <is>
          <t>security_architecture_v1 · SEC-1</t>
        </is>
      </c>
      <c r="I18" s="68" t="n"/>
      <c r="J18" s="67" t="n"/>
      <c r="K18" s="67" t="n"/>
      <c r="L18" s="67" t="n"/>
      <c r="M18" s="67" t="n"/>
      <c r="N18" s="67" t="n"/>
      <c r="O18" s="67" t="n"/>
    </row>
    <row r="19" ht="22.35" customHeight="1" s="45">
      <c r="A19" s="63" t="inlineStr">
        <is>
          <t>C-6.3.6</t>
        </is>
      </c>
      <c r="B19" s="68" t="inlineStr">
        <is>
          <t>I Conformance</t>
        </is>
      </c>
      <c r="C19" s="68" t="inlineStr">
        <is>
          <t>6.3 The chokepoint and custody</t>
        </is>
      </c>
      <c r="D19" s="68" t="inlineStr">
        <is>
          <t>Every crossing is receipted with provider and model version</t>
        </is>
      </c>
      <c r="E19" s="68" t="inlineStr">
        <is>
          <t>Doc 1 A5.7; V-4</t>
        </is>
      </c>
      <c r="F19" s="68" t="inlineStr">
        <is>
          <t>V3</t>
        </is>
      </c>
      <c r="G19" s="68" t="inlineStr">
        <is>
          <t>A crossing with no row, or a row without provider and version</t>
        </is>
      </c>
      <c r="H19" s="68" t="inlineStr">
        <is>
          <t>Doc 1 · A5.7</t>
        </is>
      </c>
      <c r="I19" s="68" t="n"/>
      <c r="J19" s="67" t="n"/>
      <c r="K19" s="67" t="n"/>
      <c r="L19" s="67" t="n"/>
      <c r="M19" s="67" t="n"/>
      <c r="N19" s="67" t="n"/>
      <c r="O19" s="67" t="n"/>
    </row>
    <row r="20" ht="22.35" customHeight="1" s="45">
      <c r="A20" s="63" t="inlineStr">
        <is>
          <t>C-6.3.7</t>
        </is>
      </c>
      <c r="B20" s="68" t="inlineStr">
        <is>
          <t>I Conformance</t>
        </is>
      </c>
      <c r="C20" s="68" t="inlineStr">
        <is>
          <t>6.3 The chokepoint and custody</t>
        </is>
      </c>
      <c r="D20" s="68" t="inlineStr">
        <is>
          <t>Every crossing event reaches the Watch input seat before the call returns; an unobservable crossing does not happen</t>
        </is>
      </c>
      <c r="E20" s="68" t="inlineStr">
        <is>
          <t>Doc 3 A3; W1f ruling</t>
        </is>
      </c>
      <c r="F20" s="68" t="inlineStr">
        <is>
          <t>V5</t>
        </is>
      </c>
      <c r="G20" s="68" t="inlineStr">
        <is>
          <t>A call completing with the seat unreachable</t>
        </is>
      </c>
      <c r="H20" s="68" t="n"/>
      <c r="I20" s="68" t="inlineStr">
        <is>
          <t>Doc 3 A3 — no registry row</t>
        </is>
      </c>
      <c r="J20" s="67" t="n"/>
      <c r="K20" s="67" t="n"/>
      <c r="L20" s="67" t="n"/>
      <c r="M20" s="67" t="n"/>
      <c r="N20" s="67" t="n"/>
      <c r="O20" s="67" t="n"/>
    </row>
    <row r="21" ht="22.35" customHeight="1" s="45">
      <c r="A21" s="63" t="inlineStr">
        <is>
          <t>C-6.4.1</t>
        </is>
      </c>
      <c r="B21" s="68" t="inlineStr">
        <is>
          <t>I Conformance</t>
        </is>
      </c>
      <c r="C21" s="68" t="inlineStr">
        <is>
          <t>6.4 The Watch</t>
        </is>
      </c>
      <c r="D21" s="68" t="inlineStr">
        <is>
          <t>Grey Mirror can assert facts and cannot block, throttle, notify, or act</t>
        </is>
      </c>
      <c r="E21" s="68" t="inlineStr">
        <is>
          <t>Doc 3 A2</t>
        </is>
      </c>
      <c r="F21" s="68" t="inlineStr">
        <is>
          <t>V2</t>
        </is>
      </c>
      <c r="G21" s="68" t="inlineStr">
        <is>
          <t>A detection component with an action path</t>
        </is>
      </c>
      <c r="H21" s="68" t="n"/>
      <c r="I21" s="68" t="inlineStr">
        <is>
          <t>Doc 3 A2 — no registry row</t>
        </is>
      </c>
      <c r="J21" s="67" t="n"/>
      <c r="K21" s="67" t="n"/>
      <c r="L21" s="67" t="n"/>
      <c r="M21" s="67" t="n"/>
      <c r="N21" s="67" t="n"/>
      <c r="O21" s="67" t="n"/>
    </row>
    <row r="22" ht="15" customHeight="1" s="45">
      <c r="A22" s="63" t="inlineStr">
        <is>
          <t>C-6.4.2</t>
        </is>
      </c>
      <c r="B22" s="68" t="inlineStr">
        <is>
          <t>I Conformance</t>
        </is>
      </c>
      <c r="C22" s="68" t="inlineStr">
        <is>
          <t>6.4 The Watch</t>
        </is>
      </c>
      <c r="D22" s="68" t="inlineStr">
        <is>
          <t>Mkono acts only on a verdict whose signature verifies</t>
        </is>
      </c>
      <c r="E22" s="68" t="inlineStr">
        <is>
          <t>SER C.3.5 I-1; R-18 effect 3</t>
        </is>
      </c>
      <c r="F22" s="68" t="inlineStr">
        <is>
          <t>V1 + V5</t>
        </is>
      </c>
      <c r="G22" s="68" t="inlineStr">
        <is>
          <t>An action taken on an unsigned or unverified verdict</t>
        </is>
      </c>
      <c r="H22" s="68" t="n"/>
      <c r="I22" s="68" t="n"/>
      <c r="J22" s="67" t="n"/>
      <c r="K22" s="67" t="n"/>
      <c r="L22" s="67" t="n"/>
      <c r="M22" s="67" t="n"/>
      <c r="N22" s="67" t="n"/>
      <c r="O22" s="67" t="n"/>
    </row>
    <row r="23" ht="22.35" customHeight="1" s="45">
      <c r="A23" s="63" t="inlineStr">
        <is>
          <t>C-6.4.3</t>
        </is>
      </c>
      <c r="B23" s="68" t="inlineStr">
        <is>
          <t>I Conformance</t>
        </is>
      </c>
      <c r="C23" s="68" t="inlineStr">
        <is>
          <t>6.4 The Watch</t>
        </is>
      </c>
      <c r="D23" s="68" t="inlineStr">
        <is>
          <t>The verdict schema has no confidence, score, strength, or probability field; certificate is evidence only</t>
        </is>
      </c>
      <c r="E23" s="68" t="inlineStr">
        <is>
          <t>Doc 3 A5.2; watch_learning_v1 A5.19</t>
        </is>
      </c>
      <c r="F23" s="68" t="inlineStr">
        <is>
          <t>V2 + V6</t>
        </is>
      </c>
      <c r="G23" s="68" t="inlineStr">
        <is>
          <t>Any numeric field on the verdict that enters the action decision</t>
        </is>
      </c>
      <c r="H23" s="68" t="inlineStr">
        <is>
          <t>Doc 3 · A5.2; watch_learning_v1 · A5.19</t>
        </is>
      </c>
      <c r="I23" s="68" t="n"/>
      <c r="J23" s="67" t="n"/>
      <c r="K23" s="67" t="n"/>
      <c r="L23" s="67" t="n"/>
      <c r="M23" s="67" t="n"/>
      <c r="N23" s="67" t="n"/>
      <c r="O23" s="67" t="n"/>
    </row>
    <row r="24" ht="22.35" customHeight="1" s="45">
      <c r="A24" s="63" t="inlineStr">
        <is>
          <t>C-6.4.4</t>
        </is>
      </c>
      <c r="B24" s="68" t="inlineStr">
        <is>
          <t>I Conformance</t>
        </is>
      </c>
      <c r="C24" s="68" t="inlineStr">
        <is>
          <t>6.4 The Watch</t>
        </is>
      </c>
      <c r="D24" s="68" t="inlineStr">
        <is>
          <t>Severance keys to the closed signal registry; the registry is changed only by ceremony</t>
        </is>
      </c>
      <c r="E24" s="68" t="inlineStr">
        <is>
          <t>Doc 3 A5.2; watch_learning_v1 A5.20; RBM-23</t>
        </is>
      </c>
      <c r="F24" s="68" t="inlineStr">
        <is>
          <t>V4</t>
        </is>
      </c>
      <c r="G24" s="68" t="inlineStr">
        <is>
          <t>A severance triggered from outside the registry; a registry edit without a ceremony record</t>
        </is>
      </c>
      <c r="H24" s="68" t="inlineStr">
        <is>
          <t>Doc 3 · A5.2; watch_learning_v1 · A5.20; watch_learning_v1 · RBM-23</t>
        </is>
      </c>
      <c r="I24" s="68" t="n"/>
      <c r="J24" s="67" t="n"/>
      <c r="K24" s="67" t="n"/>
      <c r="L24" s="67" t="n"/>
      <c r="M24" s="67" t="n"/>
      <c r="N24" s="67" t="n"/>
      <c r="O24" s="67" t="n"/>
    </row>
    <row r="25" ht="22.35" customHeight="1" s="45">
      <c r="A25" s="63" t="inlineStr">
        <is>
          <t>C-6.4.5</t>
        </is>
      </c>
      <c r="B25" s="68" t="inlineStr">
        <is>
          <t>I Conformance</t>
        </is>
      </c>
      <c r="C25" s="68" t="inlineStr">
        <is>
          <t>6.4 The Watch</t>
        </is>
      </c>
      <c r="D25" s="68" t="inlineStr">
        <is>
          <t>Response ladder is annotate · shape · contain · sever; destroy does not exist</t>
        </is>
      </c>
      <c r="E25" s="68" t="inlineStr">
        <is>
          <t>Doc 3 A5.3; T-c ruling</t>
        </is>
      </c>
      <c r="F25" s="68" t="inlineStr">
        <is>
          <t>V2</t>
        </is>
      </c>
      <c r="G25" s="68" t="inlineStr">
        <is>
          <t>A “destroy” action class in any schema or code path</t>
        </is>
      </c>
      <c r="H25" s="68" t="inlineStr">
        <is>
          <t>Doc 3 · A5.3</t>
        </is>
      </c>
      <c r="I25" s="68" t="n"/>
      <c r="J25" s="67" t="n"/>
      <c r="K25" s="67" t="n"/>
      <c r="L25" s="67" t="n"/>
      <c r="M25" s="67" t="n"/>
      <c r="N25" s="67" t="n"/>
      <c r="O25" s="67" t="n"/>
    </row>
    <row r="26" ht="15" customHeight="1" s="45">
      <c r="A26" s="63" t="inlineStr">
        <is>
          <t>C-6.4.6</t>
        </is>
      </c>
      <c r="B26" s="68" t="inlineStr">
        <is>
          <t>I Conformance</t>
        </is>
      </c>
      <c r="C26" s="68" t="inlineStr">
        <is>
          <t>6.4 The Watch</t>
        </is>
      </c>
      <c r="D26" s="68" t="inlineStr">
        <is>
          <t>Contain and sever freeze the session; the runtime is not deleted</t>
        </is>
      </c>
      <c r="E26" s="68" t="inlineStr">
        <is>
          <t>AC-13; R-18 effect 6</t>
        </is>
      </c>
      <c r="F26" s="68" t="inlineStr">
        <is>
          <t>V5</t>
        </is>
      </c>
      <c r="G26" s="68" t="inlineStr">
        <is>
          <t>A sever that removes the runtime pod</t>
        </is>
      </c>
      <c r="H26" s="68" t="inlineStr">
        <is>
          <t>serving_integrity_v1 · AC-13</t>
        </is>
      </c>
      <c r="I26" s="68" t="n"/>
      <c r="J26" s="67" t="n"/>
      <c r="K26" s="67" t="n"/>
      <c r="L26" s="67" t="n"/>
      <c r="M26" s="67" t="n"/>
      <c r="N26" s="67" t="n"/>
      <c r="O26" s="67" t="n"/>
    </row>
    <row r="27" ht="22.35" customHeight="1" s="45">
      <c r="A27" s="63" t="inlineStr">
        <is>
          <t>C-6.4.7</t>
        </is>
      </c>
      <c r="B27" s="68" t="inlineStr">
        <is>
          <t>I Conformance</t>
        </is>
      </c>
      <c r="C27" s="68" t="inlineStr">
        <is>
          <t>6.4 The Watch</t>
        </is>
      </c>
      <c r="D27" s="68" t="inlineStr">
        <is>
          <t>Every automatic action is reversible and time-limited; blast budget enforced</t>
        </is>
      </c>
      <c r="E27" s="68" t="inlineStr">
        <is>
          <t>Doc 3 A5.3, Doc 3 A5.14</t>
        </is>
      </c>
      <c r="F27" s="68" t="inlineStr">
        <is>
          <t>V5</t>
        </is>
      </c>
      <c r="G27" s="68" t="inlineStr">
        <is>
          <t>An automatic action with no expiry or no reversal path</t>
        </is>
      </c>
      <c r="H27" s="68" t="inlineStr">
        <is>
          <t>Doc 3 · A5.3; Doc 3 · A5.14</t>
        </is>
      </c>
      <c r="I27" s="68" t="n"/>
      <c r="J27" s="67" t="n"/>
      <c r="K27" s="67" t="n"/>
      <c r="L27" s="67" t="n"/>
      <c r="M27" s="67" t="n"/>
      <c r="N27" s="67" t="n"/>
      <c r="O27" s="67" t="n"/>
    </row>
    <row r="28" ht="22.35" customHeight="1" s="45">
      <c r="A28" s="63" t="inlineStr">
        <is>
          <t>C-6.4.8</t>
        </is>
      </c>
      <c r="B28" s="68" t="inlineStr">
        <is>
          <t>I Conformance</t>
        </is>
      </c>
      <c r="C28" s="68" t="inlineStr">
        <is>
          <t>6.4 The Watch</t>
        </is>
      </c>
      <c r="D28" s="68" t="inlineStr">
        <is>
          <t>Certificate requirements are system-TCB class; the ratifying human is named</t>
        </is>
      </c>
      <c r="E28" s="68" t="inlineStr">
        <is>
          <t>watch_learning_v1 A5.20; R-16</t>
        </is>
      </c>
      <c r="F28" s="68" t="inlineStr">
        <is>
          <t>V4</t>
        </is>
      </c>
      <c r="G28" s="68" t="inlineStr">
        <is>
          <t>A requirement admitted without the ceremony or the named ratifier</t>
        </is>
      </c>
      <c r="H28" s="68" t="inlineStr">
        <is>
          <t>watch_learning_v1 · A5.20</t>
        </is>
      </c>
      <c r="I28" s="68" t="n"/>
      <c r="J28" s="67" t="n"/>
      <c r="K28" s="67" t="n"/>
      <c r="L28" s="67" t="n"/>
      <c r="M28" s="67" t="n"/>
      <c r="N28" s="67" t="n"/>
      <c r="O28" s="67" t="n"/>
    </row>
    <row r="29" ht="22.35" customHeight="1" s="45">
      <c r="A29" s="63" t="inlineStr">
        <is>
          <t>C-6.5.1</t>
        </is>
      </c>
      <c r="B29" s="68" t="inlineStr">
        <is>
          <t>I Conformance</t>
        </is>
      </c>
      <c r="C29" s="68" t="inlineStr">
        <is>
          <t>6.5 The Ledger</t>
        </is>
      </c>
      <c r="D29" s="68" t="inlineStr">
        <is>
          <t>Single writer; hash chain intact; append-only — no update or delete path</t>
        </is>
      </c>
      <c r="E29" s="68" t="inlineStr">
        <is>
          <t>Doc 5; B.4; BR-8.1</t>
        </is>
      </c>
      <c r="F29" s="68" t="inlineStr">
        <is>
          <t>V2 + V3</t>
        </is>
      </c>
      <c r="G29" s="68" t="inlineStr">
        <is>
          <t>A second writer; a row altered; a delete method reachable</t>
        </is>
      </c>
      <c r="H29" s="68" t="inlineStr">
        <is>
          <t>Governance Architecture · BR-8.1</t>
        </is>
      </c>
      <c r="I29" s="68" t="inlineStr">
        <is>
          <t>B.4 — no registry row</t>
        </is>
      </c>
      <c r="J29" s="67" t="n"/>
      <c r="K29" s="67" t="n"/>
      <c r="L29" s="67" t="n"/>
      <c r="M29" s="67" t="n"/>
      <c r="N29" s="67" t="n"/>
      <c r="O29" s="67" t="n"/>
    </row>
    <row r="30" ht="15" customHeight="1" s="45">
      <c r="A30" s="63" t="inlineStr">
        <is>
          <t>C-6.5.2</t>
        </is>
      </c>
      <c r="B30" s="68" t="inlineStr">
        <is>
          <t>I Conformance</t>
        </is>
      </c>
      <c r="C30" s="68" t="inlineStr">
        <is>
          <t>6.5 The Ledger</t>
        </is>
      </c>
      <c r="D30" s="68" t="inlineStr">
        <is>
          <t>Row schema is the ratified 17-field schema; frozen as a contract</t>
        </is>
      </c>
      <c r="E30" s="68" t="inlineStr">
        <is>
          <t>B-M10-Q1 ruling</t>
        </is>
      </c>
      <c r="F30" s="68" t="inlineStr">
        <is>
          <t>V6</t>
        </is>
      </c>
      <c r="G30" s="68" t="inlineStr">
        <is>
          <t>A schema with a field added or removed outside ceremony</t>
        </is>
      </c>
      <c r="H30" s="68" t="n"/>
      <c r="I30" s="68" t="n"/>
      <c r="J30" s="67" t="n"/>
      <c r="K30" s="67" t="n"/>
      <c r="L30" s="67" t="n"/>
      <c r="M30" s="67" t="n"/>
      <c r="N30" s="67" t="n"/>
      <c r="O30" s="67" t="n"/>
    </row>
    <row r="31" ht="22.35" customHeight="1" s="45">
      <c r="A31" s="63" t="inlineStr">
        <is>
          <t>C-6.5.3</t>
        </is>
      </c>
      <c r="B31" s="68" t="inlineStr">
        <is>
          <t>I Conformance</t>
        </is>
      </c>
      <c r="C31" s="68" t="inlineStr">
        <is>
          <t>6.5 The Ledger</t>
        </is>
      </c>
      <c r="D31" s="68" t="inlineStr">
        <is>
          <t>Refused operations produce rows on the same terms as accepted</t>
        </is>
      </c>
      <c r="E31" s="68" t="inlineStr">
        <is>
          <t>BR-8.1; DAP-15</t>
        </is>
      </c>
      <c r="F31" s="68" t="inlineStr">
        <is>
          <t>V3</t>
        </is>
      </c>
      <c r="G31" s="68" t="inlineStr">
        <is>
          <t>A refusal with no row</t>
        </is>
      </c>
      <c r="H31" s="68" t="inlineStr">
        <is>
          <t>Governance Architecture · BR-8.1; DAP Backend spec · DAP-15</t>
        </is>
      </c>
      <c r="I31" s="68" t="n"/>
      <c r="J31" s="67" t="n"/>
      <c r="K31" s="67" t="n"/>
      <c r="L31" s="67" t="n"/>
      <c r="M31" s="67" t="n"/>
      <c r="N31" s="67" t="n"/>
      <c r="O31" s="67" t="n"/>
    </row>
    <row r="32" ht="22.35" customHeight="1" s="45">
      <c r="A32" s="63" t="inlineStr">
        <is>
          <t>C-6.5.4</t>
        </is>
      </c>
      <c r="B32" s="68" t="inlineStr">
        <is>
          <t>I Conformance</t>
        </is>
      </c>
      <c r="C32" s="68" t="inlineStr">
        <is>
          <t>6.5 The Ledger</t>
        </is>
      </c>
      <c r="D32" s="68" t="inlineStr">
        <is>
          <t>Metered event written before the result returns; if unwritable, no result</t>
        </is>
      </c>
      <c r="E32" s="68" t="inlineStr">
        <is>
          <t>DAP-21; DAP-29</t>
        </is>
      </c>
      <c r="F32" s="68" t="inlineStr">
        <is>
          <t>V3 + V5</t>
        </is>
      </c>
      <c r="G32" s="68" t="inlineStr">
        <is>
          <t>A result returned with no prior event under injected write failure</t>
        </is>
      </c>
      <c r="H32" s="68" t="inlineStr">
        <is>
          <t>DAP Backend spec · DAP-21; DAP Backend spec · DAP-29</t>
        </is>
      </c>
      <c r="I32" s="68" t="n"/>
      <c r="J32" s="67" t="n"/>
      <c r="K32" s="67" t="n"/>
      <c r="L32" s="67" t="n"/>
      <c r="M32" s="67" t="n"/>
      <c r="N32" s="67" t="n"/>
      <c r="O32" s="67" t="n"/>
    </row>
    <row r="33" ht="32.8" customHeight="1" s="45">
      <c r="A33" s="63" t="inlineStr">
        <is>
          <t>C-6.5.5</t>
        </is>
      </c>
      <c r="B33" s="68" t="inlineStr">
        <is>
          <t>I Conformance</t>
        </is>
      </c>
      <c r="C33" s="68" t="inlineStr">
        <is>
          <t>6.5 The Ledger</t>
        </is>
      </c>
      <c r="D33" s="68" t="inlineStr">
        <is>
          <t>Verifier runs under credentials the writer does not hold; writes to its own append-only store; publishes head hash to the tenant endpoint</t>
        </is>
      </c>
      <c r="E33" s="68" t="inlineStr">
        <is>
          <t>B-M10-Q2 ruling; C3 principle</t>
        </is>
      </c>
      <c r="F33" s="68" t="inlineStr">
        <is>
          <t>V2 + V3</t>
        </is>
      </c>
      <c r="G33" s="68" t="inlineStr">
        <is>
          <t>A shared credential; verifier receipts inside the Ledger it verifies</t>
        </is>
      </c>
      <c r="H33" s="68" t="n"/>
      <c r="I33" s="68" t="inlineStr">
        <is>
          <t>C3 — no registry row</t>
        </is>
      </c>
      <c r="J33" s="67" t="n"/>
      <c r="K33" s="67" t="n"/>
      <c r="L33" s="67" t="n"/>
      <c r="M33" s="67" t="n"/>
      <c r="N33" s="67" t="n"/>
      <c r="O33" s="67" t="n"/>
    </row>
    <row r="34" ht="22.35" customHeight="1" s="45">
      <c r="A34" s="63" t="inlineStr">
        <is>
          <t>C-6.5.6</t>
        </is>
      </c>
      <c r="B34" s="68" t="inlineStr">
        <is>
          <t>I Conformance</t>
        </is>
      </c>
      <c r="C34" s="68" t="inlineStr">
        <is>
          <t>6.5 The Ledger</t>
        </is>
      </c>
      <c r="D34" s="68" t="inlineStr">
        <is>
          <t>Chain break raises SEV-1 and records a Watch signal, never an action</t>
        </is>
      </c>
      <c r="E34" s="68" t="inlineStr">
        <is>
          <t>B-M10-Q2 ruling</t>
        </is>
      </c>
      <c r="F34" s="68" t="inlineStr">
        <is>
          <t>V5</t>
        </is>
      </c>
      <c r="G34" s="68" t="inlineStr">
        <is>
          <t>A break that neither pages nor signals; a break that triggers an action</t>
        </is>
      </c>
      <c r="H34" s="68" t="n"/>
      <c r="I34" s="68" t="n"/>
      <c r="J34" s="67" t="n"/>
      <c r="K34" s="67" t="n"/>
      <c r="L34" s="67" t="n"/>
      <c r="M34" s="67" t="n"/>
      <c r="N34" s="67" t="n"/>
      <c r="O34" s="67" t="n"/>
    </row>
    <row r="35" ht="22.35" customHeight="1" s="45">
      <c r="A35" s="63" t="inlineStr">
        <is>
          <t>C-6.5.7</t>
        </is>
      </c>
      <c r="B35" s="68" t="inlineStr">
        <is>
          <t>I Conformance</t>
        </is>
      </c>
      <c r="C35" s="68" t="inlineStr">
        <is>
          <t>6.5 The Ledger</t>
        </is>
      </c>
      <c r="D35" s="68" t="inlineStr">
        <is>
          <t>au_3b_defensible coupled to at.source == reliable; False until a reliable time source exists</t>
        </is>
      </c>
      <c r="E35" s="68" t="inlineStr">
        <is>
          <t>R-C2; B-M10-Q1</t>
        </is>
      </c>
      <c r="F35" s="68" t="inlineStr">
        <is>
          <t>V1</t>
        </is>
      </c>
      <c r="G35" s="68" t="inlineStr">
        <is>
          <t>A record marked defensible with no reliable time source</t>
        </is>
      </c>
      <c r="H35" s="68" t="n"/>
      <c r="I35" s="68" t="n"/>
      <c r="J35" s="67" t="n"/>
      <c r="K35" s="67" t="n"/>
      <c r="L35" s="67" t="n"/>
      <c r="M35" s="67" t="n"/>
      <c r="N35" s="67" t="n"/>
      <c r="O35" s="67" t="n"/>
    </row>
    <row r="36" ht="22.35" customHeight="1" s="45">
      <c r="A36" s="63" t="inlineStr">
        <is>
          <t>C-6.6.1</t>
        </is>
      </c>
      <c r="B36" s="68" t="inlineStr">
        <is>
          <t>I Conformance</t>
        </is>
      </c>
      <c r="C36" s="68" t="inlineStr">
        <is>
          <t>6.6 The Rules Service</t>
        </is>
      </c>
      <c r="D36" s="68" t="inlineStr">
        <is>
          <t>No rule takes effect without proposal, impact record, countersign, countdown, apply, re-verify</t>
        </is>
      </c>
      <c r="E36" s="68" t="inlineStr">
        <is>
          <t>RBM-7, RBM-8</t>
        </is>
      </c>
      <c r="F36" s="68" t="inlineStr">
        <is>
          <t>V4</t>
        </is>
      </c>
      <c r="G36" s="68" t="inlineStr">
        <is>
          <t>A rule in force with an incomplete ceremony record</t>
        </is>
      </c>
      <c r="H36" s="68" t="inlineStr">
        <is>
          <t>Rules Service spec · RBM-7; Rules Service spec · RBM-8</t>
        </is>
      </c>
      <c r="I36" s="68" t="n"/>
      <c r="J36" s="67" t="n"/>
      <c r="K36" s="67" t="n"/>
      <c r="L36" s="67" t="n"/>
      <c r="M36" s="67" t="n"/>
      <c r="N36" s="67" t="n"/>
      <c r="O36" s="67" t="n"/>
    </row>
    <row r="37" ht="22.35" customHeight="1" s="45">
      <c r="A37" s="63" t="inlineStr">
        <is>
          <t>C-6.6.2</t>
        </is>
      </c>
      <c r="B37" s="68" t="inlineStr">
        <is>
          <t>I Conformance</t>
        </is>
      </c>
      <c r="C37" s="68" t="inlineStr">
        <is>
          <t>6.6 The Rules Service</t>
        </is>
      </c>
      <c r="D37" s="68" t="inlineStr">
        <is>
          <t>Countdown cannot be shortened; Watch and Slow tiers cannot be applied by one principal, including under break-glass</t>
        </is>
      </c>
      <c r="E37" s="68" t="inlineStr">
        <is>
          <t>RBM-8; SER C.5 I-4</t>
        </is>
      </c>
      <c r="F37" s="68" t="inlineStr">
        <is>
          <t>V5</t>
        </is>
      </c>
      <c r="G37" s="68" t="inlineStr">
        <is>
          <t>A countdown cut short; a TCB-tier rule applied on one signature</t>
        </is>
      </c>
      <c r="H37" s="68" t="inlineStr">
        <is>
          <t>Rules Service spec · RBM-8</t>
        </is>
      </c>
      <c r="I37" s="68" t="n"/>
      <c r="J37" s="67" t="n"/>
      <c r="K37" s="67" t="n"/>
      <c r="L37" s="67" t="n"/>
      <c r="M37" s="67" t="n"/>
      <c r="N37" s="67" t="n"/>
      <c r="O37" s="67" t="n"/>
    </row>
    <row r="38" ht="22.35" customHeight="1" s="45">
      <c r="A38" s="63" t="inlineStr">
        <is>
          <t>C-6.6.3</t>
        </is>
      </c>
      <c r="B38" s="68" t="inlineStr">
        <is>
          <t>I Conformance</t>
        </is>
      </c>
      <c r="C38" s="68" t="inlineStr">
        <is>
          <t>6.6 The Rules Service</t>
        </is>
      </c>
      <c r="D38" s="68" t="inlineStr">
        <is>
          <t>Slowest tier requires a witness holding no credential over the component changed</t>
        </is>
      </c>
      <c r="E38" s="68" t="inlineStr">
        <is>
          <t>Doc 3 C3; R-16</t>
        </is>
      </c>
      <c r="F38" s="68" t="inlineStr">
        <is>
          <t>V4</t>
        </is>
      </c>
      <c r="G38" s="68" t="inlineStr">
        <is>
          <t>A witness who is also an operator of the changed component</t>
        </is>
      </c>
      <c r="H38" s="68" t="n"/>
      <c r="I38" s="68" t="inlineStr">
        <is>
          <t>Doc 3 C3 — no registry row</t>
        </is>
      </c>
      <c r="J38" s="67" t="n"/>
      <c r="K38" s="67" t="n"/>
      <c r="L38" s="67" t="n"/>
      <c r="M38" s="67" t="n"/>
      <c r="N38" s="67" t="n"/>
      <c r="O38" s="67" t="n"/>
    </row>
    <row r="39" ht="53.7" customHeight="1" s="45">
      <c r="A39" s="63" t="inlineStr">
        <is>
          <t>C-6.6.4</t>
        </is>
      </c>
      <c r="B39" s="68" t="inlineStr">
        <is>
          <t>I Conformance</t>
        </is>
      </c>
      <c r="C39" s="68" t="inlineStr">
        <is>
          <t>6.6 The Rules Service</t>
        </is>
      </c>
      <c r="D39" s="68" t="inlineStr">
        <is>
          <t>Every rule carries an ROC-compliant identifier and class</t>
        </is>
      </c>
      <c r="E39" s="68" t="inlineStr">
        <is>
          <t>ROC-1 to ROC-11</t>
        </is>
      </c>
      <c r="F39" s="68" t="inlineStr">
        <is>
          <t>V7</t>
        </is>
      </c>
      <c r="G39" s="68" t="inlineStr">
        <is>
          <t>A rule with a positional-only ID outside its document scope</t>
        </is>
      </c>
      <c r="H39" s="68" t="inlineStr">
        <is>
          <t>ROC spec · ROC-1; ROC spec · ROC-2; ROC spec · ROC-3; ROC spec · ROC-4; ROC spec · ROC-5; ROC spec · ROC-6; ROC spec · ROC-7; ROC spec · ROC-8; ROC spec · ROC-9; ROC spec · ROC-10; ROC spec · ROC-11</t>
        </is>
      </c>
      <c r="I39" s="68" t="n"/>
      <c r="J39" s="67" t="n"/>
      <c r="K39" s="67" t="n"/>
      <c r="L39" s="67" t="n"/>
      <c r="M39" s="67" t="n"/>
      <c r="N39" s="67" t="n"/>
      <c r="O39" s="67" t="n"/>
    </row>
    <row r="40" ht="22.35" customHeight="1" s="45">
      <c r="A40" s="63" t="inlineStr">
        <is>
          <t>C-6.6.5</t>
        </is>
      </c>
      <c r="B40" s="68" t="inlineStr">
        <is>
          <t>I Conformance</t>
        </is>
      </c>
      <c r="C40" s="68" t="inlineStr">
        <is>
          <t>6.6 The Rules Service</t>
        </is>
      </c>
      <c r="D40" s="68" t="inlineStr">
        <is>
          <t>Fallback-era determinations carry controlled_determination_basis and the flag cannot be flipped</t>
        </is>
      </c>
      <c r="E40" s="68" t="inlineStr">
        <is>
          <t>R-C1</t>
        </is>
      </c>
      <c r="F40" s="68" t="inlineStr">
        <is>
          <t>V1</t>
        </is>
      </c>
      <c r="G40" s="68" t="inlineStr">
        <is>
          <t>A fallback determination without the marker, or the marker mutable</t>
        </is>
      </c>
      <c r="H40" s="68" t="n"/>
      <c r="I40" s="68" t="n"/>
      <c r="J40" s="67" t="n"/>
      <c r="K40" s="67" t="n"/>
      <c r="L40" s="67" t="n"/>
      <c r="M40" s="67" t="n"/>
      <c r="N40" s="67" t="n"/>
      <c r="O40" s="67" t="n"/>
    </row>
    <row r="41" ht="43.25" customHeight="1" s="45">
      <c r="A41" s="63" t="inlineStr">
        <is>
          <t>C-6.7.1</t>
        </is>
      </c>
      <c r="B41" s="68" t="inlineStr">
        <is>
          <t>I Conformance</t>
        </is>
      </c>
      <c r="C41" s="68" t="inlineStr">
        <is>
          <t>6.7 The Data Access Portal</t>
        </is>
      </c>
      <c r="D41" s="68" t="inlineStr">
        <is>
          <t>Exactly six crossing profiles; no operation moves data out that maps to none of them</t>
        </is>
      </c>
      <c r="E41" s="68" t="inlineStr">
        <is>
          <t>DAP-6 to DAP-11</t>
        </is>
      </c>
      <c r="F41" s="68" t="inlineStr">
        <is>
          <t>V2 + V7</t>
        </is>
      </c>
      <c r="G41" s="68" t="inlineStr">
        <is>
          <t>A seventh route; an entitlement mode that collapses profiles</t>
        </is>
      </c>
      <c r="H41" s="68" t="inlineStr">
        <is>
          <t>DAP Backend spec · DAP-6; DAP Backend spec · DAP-7; DAP Backend spec · DAP-8; DAP Backend spec · DAP-9; DAP Backend spec · DAP-10; DAP Backend spec · DAP-11</t>
        </is>
      </c>
      <c r="I41" s="68" t="n"/>
      <c r="J41" s="67" t="n"/>
      <c r="K41" s="67" t="n"/>
      <c r="L41" s="67" t="n"/>
      <c r="M41" s="67" t="n"/>
      <c r="N41" s="67" t="n"/>
      <c r="O41" s="67" t="n"/>
    </row>
    <row r="42" ht="22.35" customHeight="1" s="45">
      <c r="A42" s="63" t="inlineStr">
        <is>
          <t>C-6.7.2</t>
        </is>
      </c>
      <c r="B42" s="68" t="inlineStr">
        <is>
          <t>I Conformance</t>
        </is>
      </c>
      <c r="C42" s="68" t="inlineStr">
        <is>
          <t>6.7 The Data Access Portal</t>
        </is>
      </c>
      <c r="D42" s="68" t="inlineStr">
        <is>
          <t>A controlled request routes to the named approving authority and does not execute while pending</t>
        </is>
      </c>
      <c r="E42" s="68" t="inlineStr">
        <is>
          <t>DAP-14</t>
        </is>
      </c>
      <c r="F42" s="68" t="inlineStr">
        <is>
          <t>V5</t>
        </is>
      </c>
      <c r="G42" s="68" t="inlineStr">
        <is>
          <t>Execution beginning before the decision</t>
        </is>
      </c>
      <c r="H42" s="68" t="inlineStr">
        <is>
          <t>DAP Backend spec · DAP-14</t>
        </is>
      </c>
      <c r="I42" s="68" t="n"/>
      <c r="J42" s="67" t="n"/>
      <c r="K42" s="67" t="n"/>
      <c r="L42" s="67" t="n"/>
      <c r="M42" s="67" t="n"/>
      <c r="N42" s="67" t="n"/>
      <c r="O42" s="67" t="n"/>
    </row>
    <row r="43" ht="32.8" customHeight="1" s="45">
      <c r="A43" s="63" t="inlineStr">
        <is>
          <t>C-6.7.3</t>
        </is>
      </c>
      <c r="B43" s="68" t="inlineStr">
        <is>
          <t>I Conformance</t>
        </is>
      </c>
      <c r="C43" s="68" t="inlineStr">
        <is>
          <t>6.7 The Data Access Portal</t>
        </is>
      </c>
      <c r="D43" s="68" t="inlineStr">
        <is>
          <t>Silence expires a request unexecuted; expiry at 14 days with working-day roll-forward; Expired offers Submit again as a new request</t>
        </is>
      </c>
      <c r="E43" s="68" t="inlineStr">
        <is>
          <t>DAP-15; ruling 20 Sep 2026</t>
        </is>
      </c>
      <c r="F43" s="68" t="inlineStr">
        <is>
          <t>V1 + V6</t>
        </is>
      </c>
      <c r="G43" s="68" t="inlineStr">
        <is>
          <t>A request proceeding by default; an expired request reopened</t>
        </is>
      </c>
      <c r="H43" s="68" t="inlineStr">
        <is>
          <t>DAP Backend spec · DAP-15</t>
        </is>
      </c>
      <c r="I43" s="68" t="n"/>
      <c r="J43" s="67" t="n"/>
      <c r="K43" s="67" t="n"/>
      <c r="L43" s="67" t="n"/>
      <c r="M43" s="67" t="n"/>
      <c r="N43" s="67" t="n"/>
      <c r="O43" s="67" t="n"/>
    </row>
    <row r="44" ht="22.35" customHeight="1" s="45">
      <c r="A44" s="63" t="inlineStr">
        <is>
          <t>C-6.7.4</t>
        </is>
      </c>
      <c r="B44" s="68" t="inlineStr">
        <is>
          <t>I Conformance</t>
        </is>
      </c>
      <c r="C44" s="68" t="inlineStr">
        <is>
          <t>6.7 The Data Access Portal</t>
        </is>
      </c>
      <c r="D44" s="68" t="inlineStr">
        <is>
          <t>Decisions record the deciding identity and reason; the approver is never surfaced to the requester</t>
        </is>
      </c>
      <c r="E44" s="68" t="inlineStr">
        <is>
          <t>DAP-15</t>
        </is>
      </c>
      <c r="F44" s="68" t="inlineStr">
        <is>
          <t>V3 + V6</t>
        </is>
      </c>
      <c r="G44" s="68" t="inlineStr">
        <is>
          <t>A decision row without identity; an approver name on the party surface</t>
        </is>
      </c>
      <c r="H44" s="68" t="inlineStr">
        <is>
          <t>DAP Backend spec · DAP-15</t>
        </is>
      </c>
      <c r="I44" s="68" t="n"/>
      <c r="J44" s="67" t="n"/>
      <c r="K44" s="67" t="n"/>
      <c r="L44" s="67" t="n"/>
      <c r="M44" s="67" t="n"/>
      <c r="N44" s="67" t="n"/>
      <c r="O44" s="67" t="n"/>
    </row>
    <row r="45" ht="22.35" customHeight="1" s="45">
      <c r="A45" s="63" t="inlineStr">
        <is>
          <t>C-6.7.5</t>
        </is>
      </c>
      <c r="B45" s="68" t="inlineStr">
        <is>
          <t>I Conformance</t>
        </is>
      </c>
      <c r="C45" s="68" t="inlineStr">
        <is>
          <t>6.7 The Data Access Portal</t>
        </is>
      </c>
      <c r="D45" s="68" t="inlineStr">
        <is>
          <t>Raw download: redaction runs as a gate per unit; every unit individually recorded; sign-off recorded</t>
        </is>
      </c>
      <c r="E45" s="68" t="inlineStr">
        <is>
          <t>DAP-11</t>
        </is>
      </c>
      <c r="F45" s="68" t="inlineStr">
        <is>
          <t>V5 + V3</t>
        </is>
      </c>
      <c r="G45" s="68" t="inlineStr">
        <is>
          <t>A partial release after redaction failure; a release without per-unit rows</t>
        </is>
      </c>
      <c r="H45" s="68" t="inlineStr">
        <is>
          <t>DAP Backend spec · DAP-11</t>
        </is>
      </c>
      <c r="I45" s="68" t="n"/>
      <c r="J45" s="67" t="n"/>
      <c r="K45" s="67" t="n"/>
      <c r="L45" s="67" t="n"/>
      <c r="M45" s="67" t="n"/>
      <c r="N45" s="67" t="n"/>
      <c r="O45" s="67" t="n"/>
    </row>
    <row r="46" ht="22.35" customHeight="1" s="45">
      <c r="A46" s="63" t="inlineStr">
        <is>
          <t>C-6.7.6</t>
        </is>
      </c>
      <c r="B46" s="68" t="inlineStr">
        <is>
          <t>I Conformance</t>
        </is>
      </c>
      <c r="C46" s="68" t="inlineStr">
        <is>
          <t>6.7 The Data Access Portal</t>
        </is>
      </c>
      <c r="D46" s="68" t="inlineStr">
        <is>
          <t>Every release is debited against the release budget; exceeding it refuses</t>
        </is>
      </c>
      <c r="E46" s="68" t="inlineStr">
        <is>
          <t>DAP-35</t>
        </is>
      </c>
      <c r="F46" s="68" t="inlineStr">
        <is>
          <t>V1 + V5</t>
        </is>
      </c>
      <c r="G46" s="68" t="inlineStr">
        <is>
          <t>A release exceeding the ceiling; no debit row</t>
        </is>
      </c>
      <c r="H46" s="68" t="inlineStr">
        <is>
          <t>Amendment W-7 · DAP-35</t>
        </is>
      </c>
      <c r="I46" s="68" t="n"/>
      <c r="J46" s="67" t="n"/>
      <c r="K46" s="67" t="n"/>
      <c r="L46" s="67" t="n"/>
      <c r="M46" s="67" t="n"/>
      <c r="N46" s="67" t="n"/>
      <c r="O46" s="67" t="n"/>
    </row>
    <row r="47" ht="22.35" customHeight="1" s="45">
      <c r="A47" s="63" t="inlineStr">
        <is>
          <t>C-6.7.7</t>
        </is>
      </c>
      <c r="B47" s="68" t="inlineStr">
        <is>
          <t>I Conformance</t>
        </is>
      </c>
      <c r="C47" s="68" t="inlineStr">
        <is>
          <t>6.7 The Data Access Portal</t>
        </is>
      </c>
      <c r="D47" s="68" t="inlineStr">
        <is>
          <t>No Blocked reason for kind estate quantifies, compares, or implies remaining budget</t>
        </is>
      </c>
      <c r="E47" s="68" t="inlineStr">
        <is>
          <t>DAP-35; FE brief §4</t>
        </is>
      </c>
      <c r="F47" s="68" t="inlineStr">
        <is>
          <t>V6</t>
        </is>
      </c>
      <c r="G47" s="68" t="inlineStr">
        <is>
          <t>A reason line that leaks how much budget is left</t>
        </is>
      </c>
      <c r="H47" s="68" t="inlineStr">
        <is>
          <t>Amendment W-7 · DAP-35</t>
        </is>
      </c>
      <c r="I47" s="68" t="n"/>
      <c r="J47" s="67" t="n"/>
      <c r="K47" s="67" t="n"/>
      <c r="L47" s="67" t="n"/>
      <c r="M47" s="67" t="n"/>
      <c r="N47" s="67" t="n"/>
      <c r="O47" s="67" t="n"/>
    </row>
    <row r="48" ht="22.35" customHeight="1" s="45">
      <c r="A48" s="63" t="inlineStr">
        <is>
          <t>C-6.7.8</t>
        </is>
      </c>
      <c r="B48" s="68" t="inlineStr">
        <is>
          <t>I Conformance</t>
        </is>
      </c>
      <c r="C48" s="68" t="inlineStr">
        <is>
          <t>6.7 The Data Access Portal</t>
        </is>
      </c>
      <c r="D48" s="68" t="inlineStr">
        <is>
          <t>A trained artefact does not egress until the distance probe passes on an SFP-8-conforming path</t>
        </is>
      </c>
      <c r="E48" s="68" t="inlineStr">
        <is>
          <t>DAP-31, DAP-31+</t>
        </is>
      </c>
      <c r="F48" s="68" t="inlineStr">
        <is>
          <t>V1 + V5</t>
        </is>
      </c>
      <c r="G48" s="68" t="inlineStr">
        <is>
          <t>Egress without a probe row; a probe on an unverified serving path</t>
        </is>
      </c>
      <c r="H48" s="68" t="inlineStr">
        <is>
          <t>Amendment T-1 · DAP-31; Amendment T-1 · DAP-31</t>
        </is>
      </c>
      <c r="I48" s="68" t="inlineStr">
        <is>
          <t>DAP-31+ — extension not registered as its own row (base DAP-31 is)</t>
        </is>
      </c>
      <c r="J48" s="67" t="n"/>
      <c r="K48" s="67" t="n"/>
      <c r="L48" s="67" t="n"/>
      <c r="M48" s="67" t="n"/>
      <c r="N48" s="67" t="n"/>
      <c r="O48" s="67" t="n"/>
    </row>
    <row r="49" ht="22.35" customHeight="1" s="45">
      <c r="A49" s="63" t="inlineStr">
        <is>
          <t>C-6.7.9</t>
        </is>
      </c>
      <c r="B49" s="68" t="inlineStr">
        <is>
          <t>I Conformance</t>
        </is>
      </c>
      <c r="C49" s="68" t="inlineStr">
        <is>
          <t>6.7 The Data Access Portal</t>
        </is>
      </c>
      <c r="D49" s="68" t="inlineStr">
        <is>
          <t>Entering models pass the admission battery before contact with any estate data</t>
        </is>
      </c>
      <c r="E49" s="68" t="inlineStr">
        <is>
          <t>DAP-32, DAP-32+</t>
        </is>
      </c>
      <c r="F49" s="68" t="inlineStr">
        <is>
          <t>V5</t>
        </is>
      </c>
      <c r="G49" s="68" t="inlineStr">
        <is>
          <t>A model touching estate data before battery completion</t>
        </is>
      </c>
      <c r="H49" s="68" t="inlineStr">
        <is>
          <t>Amendment T-2 · DAP-32; Amendment T-2 · DAP-32</t>
        </is>
      </c>
      <c r="I49" s="68" t="inlineStr">
        <is>
          <t>DAP-32+ — extension not registered as its own row (base DAP-32 is)</t>
        </is>
      </c>
      <c r="J49" s="67" t="n"/>
      <c r="K49" s="67" t="n"/>
      <c r="L49" s="67" t="n"/>
      <c r="M49" s="67" t="n"/>
      <c r="N49" s="67" t="n"/>
      <c r="O49" s="67" t="n"/>
    </row>
    <row r="50" ht="22.35" customHeight="1" s="45">
      <c r="A50" s="63" t="inlineStr">
        <is>
          <t>C-6.7.10</t>
        </is>
      </c>
      <c r="B50" s="68" t="inlineStr">
        <is>
          <t>I Conformance</t>
        </is>
      </c>
      <c r="C50" s="68" t="inlineStr">
        <is>
          <t>6.7 The Data Access Portal</t>
        </is>
      </c>
      <c r="D50" s="68" t="inlineStr">
        <is>
          <t>Fine-tuning is differentially private unless the licence and owner explicitly opt out</t>
        </is>
      </c>
      <c r="E50" s="68" t="inlineStr">
        <is>
          <t>DAP-36</t>
        </is>
      </c>
      <c r="F50" s="68" t="inlineStr">
        <is>
          <t>V1</t>
        </is>
      </c>
      <c r="G50" s="68" t="inlineStr">
        <is>
          <t>A training run without DP and without an opt-out record</t>
        </is>
      </c>
      <c r="H50" s="68" t="inlineStr">
        <is>
          <t>Amendment W-8 · DAP-36</t>
        </is>
      </c>
      <c r="I50" s="68" t="n"/>
      <c r="J50" s="67" t="n"/>
      <c r="K50" s="67" t="n"/>
      <c r="L50" s="67" t="n"/>
      <c r="M50" s="67" t="n"/>
      <c r="N50" s="67" t="n"/>
      <c r="O50" s="67" t="n"/>
    </row>
    <row r="51" ht="22.35" customHeight="1" s="45">
      <c r="A51" s="63" t="inlineStr">
        <is>
          <t>C-6.7.11</t>
        </is>
      </c>
      <c r="B51" s="68" t="inlineStr">
        <is>
          <t>I Conformance</t>
        </is>
      </c>
      <c r="C51" s="68" t="inlineStr">
        <is>
          <t>6.7 The Data Access Portal</t>
        </is>
      </c>
      <c r="D51" s="68" t="inlineStr">
        <is>
          <t>Rights withdrawal triggers re-derivation or recall of every artefact citing the unit</t>
        </is>
      </c>
      <c r="E51" s="68" t="inlineStr">
        <is>
          <t>DAP-38</t>
        </is>
      </c>
      <c r="F51" s="68" t="inlineStr">
        <is>
          <t>V3 + V5</t>
        </is>
      </c>
      <c r="G51" s="68" t="inlineStr">
        <is>
          <t>A withdrawn unit still cited by a live artefact</t>
        </is>
      </c>
      <c r="H51" s="68" t="inlineStr">
        <is>
          <t>Pruning &amp; Unlearning Amendment · DAP-38</t>
        </is>
      </c>
      <c r="I51" s="68" t="n"/>
      <c r="J51" s="67" t="n"/>
      <c r="K51" s="67" t="n"/>
      <c r="L51" s="67" t="n"/>
      <c r="M51" s="67" t="n"/>
      <c r="N51" s="67" t="n"/>
      <c r="O51" s="67" t="n"/>
    </row>
    <row r="52" ht="22.35" customHeight="1" s="45">
      <c r="A52" s="63" t="inlineStr">
        <is>
          <t>C-6.7.12</t>
        </is>
      </c>
      <c r="B52" s="68" t="inlineStr">
        <is>
          <t>I Conformance</t>
        </is>
      </c>
      <c r="C52" s="68" t="inlineStr">
        <is>
          <t>6.7 The Data Access Portal</t>
        </is>
      </c>
      <c r="D52" s="68" t="inlineStr">
        <is>
          <t>Blocked is exactly three kinds; Interrupted is non-terminal with bounded, receipted auto-retry</t>
        </is>
      </c>
      <c r="E52" s="68" t="inlineStr">
        <is>
          <t>Q7 ruling</t>
        </is>
      </c>
      <c r="F52" s="68" t="inlineStr">
        <is>
          <t>V6 + V1</t>
        </is>
      </c>
      <c r="G52" s="68" t="inlineStr">
        <is>
          <t>A fourth Blocked kind; an unbounded retry</t>
        </is>
      </c>
      <c r="H52" s="68" t="n"/>
      <c r="I52" s="68" t="n"/>
      <c r="J52" s="67" t="n"/>
      <c r="K52" s="67" t="n"/>
      <c r="L52" s="67" t="n"/>
      <c r="M52" s="67" t="n"/>
      <c r="N52" s="67" t="n"/>
      <c r="O52" s="67" t="n"/>
    </row>
    <row r="53" ht="15" customHeight="1" s="45">
      <c r="A53" s="63" t="inlineStr">
        <is>
          <t>C-6.7.13</t>
        </is>
      </c>
      <c r="B53" s="68" t="inlineStr">
        <is>
          <t>I Conformance</t>
        </is>
      </c>
      <c r="C53" s="68" t="inlineStr">
        <is>
          <t>6.7 The Data Access Portal</t>
        </is>
      </c>
      <c r="D53" s="68" t="inlineStr">
        <is>
          <t>Every retrieval writes a metered event per download</t>
        </is>
      </c>
      <c r="E53" s="68" t="inlineStr">
        <is>
          <t>DAP-21; lifecycle wave</t>
        </is>
      </c>
      <c r="F53" s="68" t="inlineStr">
        <is>
          <t>V3</t>
        </is>
      </c>
      <c r="G53" s="68" t="inlineStr">
        <is>
          <t>A download with no event</t>
        </is>
      </c>
      <c r="H53" s="68" t="inlineStr">
        <is>
          <t>DAP Backend spec · DAP-21</t>
        </is>
      </c>
      <c r="I53" s="68" t="n"/>
      <c r="J53" s="67" t="n"/>
      <c r="K53" s="67" t="n"/>
      <c r="L53" s="67" t="n"/>
      <c r="M53" s="67" t="n"/>
      <c r="N53" s="67" t="n"/>
      <c r="O53" s="67" t="n"/>
    </row>
    <row r="54" ht="22.35" customHeight="1" s="45">
      <c r="A54" s="63" t="inlineStr">
        <is>
          <t>C-6.8.1</t>
        </is>
      </c>
      <c r="B54" s="68" t="inlineStr">
        <is>
          <t>I Conformance</t>
        </is>
      </c>
      <c r="C54" s="68" t="inlineStr">
        <is>
          <t>6.8 The principal model</t>
        </is>
      </c>
      <c r="D54" s="68" t="inlineStr">
        <is>
          <t>Three principal kinds; an individual or agent cannot exist without an organisation</t>
        </is>
      </c>
      <c r="E54" s="68" t="inlineStr">
        <is>
          <t>PRIN-1</t>
        </is>
      </c>
      <c r="F54" s="68" t="inlineStr">
        <is>
          <t>V2</t>
        </is>
      </c>
      <c r="G54" s="68" t="inlineStr">
        <is>
          <t>An orphan principal</t>
        </is>
      </c>
      <c r="H54" s="68" t="inlineStr">
        <is>
          <t>principal_model_v1 · PRIN-1</t>
        </is>
      </c>
      <c r="I54" s="68" t="n"/>
      <c r="J54" s="67" t="n"/>
      <c r="K54" s="67" t="n"/>
      <c r="L54" s="67" t="n"/>
      <c r="M54" s="67" t="n"/>
      <c r="N54" s="67" t="n"/>
      <c r="O54" s="67" t="n"/>
    </row>
    <row r="55" ht="15" customHeight="1" s="45">
      <c r="A55" s="63" t="inlineStr">
        <is>
          <t>C-6.8.2</t>
        </is>
      </c>
      <c r="B55" s="68" t="inlineStr">
        <is>
          <t>I Conformance</t>
        </is>
      </c>
      <c r="C55" s="68" t="inlineStr">
        <is>
          <t>6.8 The principal model</t>
        </is>
      </c>
      <c r="D55" s="68" t="inlineStr">
        <is>
          <t>No principal self-admits; admission is by named authority</t>
        </is>
      </c>
      <c r="E55" s="68" t="inlineStr">
        <is>
          <t>PRIN-2</t>
        </is>
      </c>
      <c r="F55" s="68" t="inlineStr">
        <is>
          <t>V5</t>
        </is>
      </c>
      <c r="G55" s="68" t="inlineStr">
        <is>
          <t>An admission with no admitting authority</t>
        </is>
      </c>
      <c r="H55" s="68" t="inlineStr">
        <is>
          <t>principal_model_v1 · PRIN-2</t>
        </is>
      </c>
      <c r="I55" s="68" t="n"/>
      <c r="J55" s="67" t="n"/>
      <c r="K55" s="67" t="n"/>
      <c r="L55" s="67" t="n"/>
      <c r="M55" s="67" t="n"/>
      <c r="N55" s="67" t="n"/>
      <c r="O55" s="67" t="n"/>
    </row>
    <row r="56" ht="22.35" customHeight="1" s="45">
      <c r="A56" s="63" t="inlineStr">
        <is>
          <t>C-6.8.3</t>
        </is>
      </c>
      <c r="B56" s="68" t="inlineStr">
        <is>
          <t>I Conformance</t>
        </is>
      </c>
      <c r="C56" s="68" t="inlineStr">
        <is>
          <t>6.8 The principal model</t>
        </is>
      </c>
      <c r="D56" s="68" t="inlineStr">
        <is>
          <t>Credential material is never persisted readable; issue and revoke only</t>
        </is>
      </c>
      <c r="E56" s="68" t="inlineStr">
        <is>
          <t>PRIN-6</t>
        </is>
      </c>
      <c r="F56" s="68" t="inlineStr">
        <is>
          <t>V2 + V5</t>
        </is>
      </c>
      <c r="G56" s="68" t="inlineStr">
        <is>
          <t>A read path returning credential material</t>
        </is>
      </c>
      <c r="H56" s="68" t="inlineStr">
        <is>
          <t>principal_model_v1 · PRIN-6</t>
        </is>
      </c>
      <c r="I56" s="68" t="n"/>
      <c r="J56" s="67" t="n"/>
      <c r="K56" s="67" t="n"/>
      <c r="L56" s="67" t="n"/>
      <c r="M56" s="67" t="n"/>
      <c r="N56" s="67" t="n"/>
      <c r="O56" s="67" t="n"/>
    </row>
    <row r="57" ht="22.35" customHeight="1" s="45">
      <c r="A57" s="63" t="inlineStr">
        <is>
          <t>C-6.8.4</t>
        </is>
      </c>
      <c r="B57" s="68" t="inlineStr">
        <is>
          <t>I Conformance</t>
        </is>
      </c>
      <c r="C57" s="68" t="inlineStr">
        <is>
          <t>6.8 The principal model</t>
        </is>
      </c>
      <c r="D57" s="68" t="inlineStr">
        <is>
          <t>Every record carries a trust-domain identifier; a write without one refuses</t>
        </is>
      </c>
      <c r="E57" s="68" t="inlineStr">
        <is>
          <t>PRIN-9, PRIN-10</t>
        </is>
      </c>
      <c r="F57" s="68" t="inlineStr">
        <is>
          <t>V5</t>
        </is>
      </c>
      <c r="G57" s="68" t="inlineStr">
        <is>
          <t>A record defaulted to the estate's domain</t>
        </is>
      </c>
      <c r="H57" s="68" t="inlineStr">
        <is>
          <t>principal_model_v1 · PRIN-9; principal_model_v1 · PRIN-10</t>
        </is>
      </c>
      <c r="I57" s="68" t="n"/>
      <c r="J57" s="67" t="n"/>
      <c r="K57" s="67" t="n"/>
      <c r="L57" s="67" t="n"/>
      <c r="M57" s="67" t="n"/>
      <c r="N57" s="67" t="n"/>
      <c r="O57" s="67" t="n"/>
    </row>
    <row r="58" ht="22.35" customHeight="1" s="45">
      <c r="A58" s="63" t="inlineStr">
        <is>
          <t>C-6.8.5</t>
        </is>
      </c>
      <c r="B58" s="68" t="inlineStr">
        <is>
          <t>I Conformance</t>
        </is>
      </c>
      <c r="C58" s="68" t="inlineStr">
        <is>
          <t>6.8 The principal model</t>
        </is>
      </c>
      <c r="D58" s="68" t="inlineStr">
        <is>
          <t>Ledger actor populated only from propagated context; a write with no principal in context fails closed</t>
        </is>
      </c>
      <c r="E58" s="68" t="inlineStr">
        <is>
          <t>PRIN-11, PRIN-12</t>
        </is>
      </c>
      <c r="F58" s="68" t="inlineStr">
        <is>
          <t>V2 + V5</t>
        </is>
      </c>
      <c r="G58" s="68" t="inlineStr">
        <is>
          <t>A caller-supplied actor string; an empty-actor write succeeding</t>
        </is>
      </c>
      <c r="H58" s="68" t="inlineStr">
        <is>
          <t>principal_model_v1 · PRIN-11; principal_model_v1 · PRIN-12</t>
        </is>
      </c>
      <c r="I58" s="68" t="n"/>
      <c r="J58" s="67" t="n"/>
      <c r="K58" s="67" t="n"/>
      <c r="L58" s="67" t="n"/>
      <c r="M58" s="67" t="n"/>
      <c r="N58" s="67" t="n"/>
      <c r="O58" s="67" t="n"/>
    </row>
    <row r="59" ht="15" customHeight="1" s="45">
      <c r="A59" s="63" t="inlineStr">
        <is>
          <t>C-6.8.6</t>
        </is>
      </c>
      <c r="B59" s="68" t="inlineStr">
        <is>
          <t>I Conformance</t>
        </is>
      </c>
      <c r="C59" s="68" t="inlineStr">
        <is>
          <t>6.8 The principal model</t>
        </is>
      </c>
      <c r="D59" s="68" t="inlineStr">
        <is>
          <t>Principal context is read-only in flight</t>
        </is>
      </c>
      <c r="E59" s="68" t="inlineStr">
        <is>
          <t>PRIN-13</t>
        </is>
      </c>
      <c r="F59" s="68" t="inlineStr">
        <is>
          <t>V2</t>
        </is>
      </c>
      <c r="G59" s="68" t="inlineStr">
        <is>
          <t>A service substituting the principal it was given</t>
        </is>
      </c>
      <c r="H59" s="68" t="inlineStr">
        <is>
          <t>principal_model_v1 · PRIN-13</t>
        </is>
      </c>
      <c r="I59" s="68" t="n"/>
      <c r="J59" s="67" t="n"/>
      <c r="K59" s="67" t="n"/>
      <c r="L59" s="67" t="n"/>
      <c r="M59" s="67" t="n"/>
      <c r="N59" s="67" t="n"/>
      <c r="O59" s="67" t="n"/>
    </row>
    <row r="60" ht="22.35" customHeight="1" s="45">
      <c r="A60" s="63" t="inlineStr">
        <is>
          <t>C-6.9.1</t>
        </is>
      </c>
      <c r="B60" s="68" t="inlineStr">
        <is>
          <t>I Conformance</t>
        </is>
      </c>
      <c r="C60" s="68" t="inlineStr">
        <is>
          <t>6.9 Serving integrity</t>
        </is>
      </c>
      <c r="D60" s="68" t="inlineStr">
        <is>
          <t>Same registered artefact, same input, same seed → same output regardless of memory placement or load</t>
        </is>
      </c>
      <c r="E60" s="68" t="inlineStr">
        <is>
          <t>serving_integrity_v1 A20.15; SFP-8</t>
        </is>
      </c>
      <c r="F60" s="68" t="inlineStr">
        <is>
          <t>V1</t>
        </is>
      </c>
      <c r="G60" s="68" t="inlineStr">
        <is>
          <t>Output varying with placement or pressure</t>
        </is>
      </c>
      <c r="H60" s="68" t="inlineStr">
        <is>
          <t>serving_integrity_v1 · A20.15; serving_integrity_v1 · SFP-8</t>
        </is>
      </c>
      <c r="I60" s="68" t="n"/>
      <c r="J60" s="67" t="n"/>
      <c r="K60" s="67" t="n"/>
      <c r="L60" s="67" t="n"/>
      <c r="M60" s="67" t="n"/>
      <c r="N60" s="67" t="n"/>
      <c r="O60" s="67" t="n"/>
    </row>
    <row r="61" ht="22.35" customHeight="1" s="45">
      <c r="A61" s="63" t="inlineStr">
        <is>
          <t>C-6.9.2</t>
        </is>
      </c>
      <c r="B61" s="68" t="inlineStr">
        <is>
          <t>I Conformance</t>
        </is>
      </c>
      <c r="C61" s="68" t="inlineStr">
        <is>
          <t>6.9 Serving integrity</t>
        </is>
      </c>
      <c r="D61" s="68" t="inlineStr">
        <is>
          <t>Artefact hash verified at load; token-exact reproduction check on schedule; refuse if unverifiable</t>
        </is>
      </c>
      <c r="E61" s="68" t="inlineStr">
        <is>
          <t>SFP-8</t>
        </is>
      </c>
      <c r="F61" s="68" t="inlineStr">
        <is>
          <t>V5</t>
        </is>
      </c>
      <c r="G61" s="68" t="inlineStr">
        <is>
          <t>A model served with an unverified hash</t>
        </is>
      </c>
      <c r="H61" s="68" t="inlineStr">
        <is>
          <t>serving_integrity_v1 · SFP-8</t>
        </is>
      </c>
      <c r="I61" s="68" t="n"/>
      <c r="J61" s="67" t="n"/>
      <c r="K61" s="67" t="n"/>
      <c r="L61" s="67" t="n"/>
      <c r="M61" s="67" t="n"/>
      <c r="N61" s="67" t="n"/>
      <c r="O61" s="67" t="n"/>
    </row>
    <row r="62" ht="22.35" customHeight="1" s="45">
      <c r="A62" s="63" t="inlineStr">
        <is>
          <t>C-6.9.3</t>
        </is>
      </c>
      <c r="B62" s="68" t="inlineStr">
        <is>
          <t>I Conformance</t>
        </is>
      </c>
      <c r="C62" s="68" t="inlineStr">
        <is>
          <t>6.9 Serving integrity</t>
        </is>
      </c>
      <c r="D62" s="68" t="inlineStr">
        <is>
          <t>Acceptance verdicts (MOAC, yield wall, probes) valid only from a conforming path</t>
        </is>
      </c>
      <c r="E62" s="68" t="inlineStr">
        <is>
          <t>TGT+; DAP-31+/32+</t>
        </is>
      </c>
      <c r="F62" s="68" t="inlineStr">
        <is>
          <t>V4</t>
        </is>
      </c>
      <c r="G62" s="68" t="inlineStr">
        <is>
          <t>A verdict recorded from a non-conforming path</t>
        </is>
      </c>
      <c r="H62" s="68" t="inlineStr">
        <is>
          <t>Amendment T-1 · DAP-31</t>
        </is>
      </c>
      <c r="I62" s="68" t="inlineStr">
        <is>
          <t>DAP-31+ — extension not registered as its own row (base DAP-31 is)</t>
        </is>
      </c>
      <c r="J62" s="67" t="n"/>
      <c r="K62" s="67" t="n"/>
      <c r="L62" s="67" t="n"/>
      <c r="M62" s="67" t="n"/>
      <c r="N62" s="67" t="n"/>
      <c r="O62" s="67" t="n"/>
    </row>
    <row r="63" ht="22.35" customHeight="1" s="45">
      <c r="A63" s="63" t="inlineStr">
        <is>
          <t>C-6.10.1</t>
        </is>
      </c>
      <c r="B63" s="68" t="inlineStr">
        <is>
          <t>I Conformance</t>
        </is>
      </c>
      <c r="C63" s="68" t="inlineStr">
        <is>
          <t>6.10 Memory compaction</t>
        </is>
      </c>
      <c r="D63" s="68" t="inlineStr">
        <is>
          <t>The Ledger, receipts, provenance, and audit log are never compacted</t>
        </is>
      </c>
      <c r="E63" s="68" t="inlineStr">
        <is>
          <t>MEM-1</t>
        </is>
      </c>
      <c r="F63" s="68" t="inlineStr">
        <is>
          <t>V2</t>
        </is>
      </c>
      <c r="G63" s="68" t="inlineStr">
        <is>
          <t>A compaction path touching the record</t>
        </is>
      </c>
      <c r="H63" s="68" t="inlineStr">
        <is>
          <t>memory_compaction_v1 · MEM-1</t>
        </is>
      </c>
      <c r="I63" s="68" t="n"/>
      <c r="J63" s="67" t="n"/>
      <c r="K63" s="67" t="n"/>
      <c r="L63" s="67" t="n"/>
      <c r="M63" s="67" t="n"/>
      <c r="N63" s="67" t="n"/>
      <c r="O63" s="67" t="n"/>
    </row>
    <row r="64" ht="22.35" customHeight="1" s="45">
      <c r="A64" s="63" t="inlineStr">
        <is>
          <t>C-6.10.2</t>
        </is>
      </c>
      <c r="B64" s="68" t="inlineStr">
        <is>
          <t>I Conformance</t>
        </is>
      </c>
      <c r="C64" s="68" t="inlineStr">
        <is>
          <t>6.10 Memory compaction</t>
        </is>
      </c>
      <c r="D64" s="68" t="inlineStr">
        <is>
          <t>Retention decided by the ratified deterministic rule set; a learned component drafts only</t>
        </is>
      </c>
      <c r="E64" s="68" t="inlineStr">
        <is>
          <t>MEM-3</t>
        </is>
      </c>
      <c r="F64" s="68" t="inlineStr">
        <is>
          <t>V2 + V1</t>
        </is>
      </c>
      <c r="G64" s="68" t="inlineStr">
        <is>
          <t>A model deciding what is retained</t>
        </is>
      </c>
      <c r="H64" s="68" t="inlineStr">
        <is>
          <t>memory_compaction_v1 · MEM-3</t>
        </is>
      </c>
      <c r="I64" s="68" t="n"/>
      <c r="J64" s="67" t="n"/>
      <c r="K64" s="67" t="n"/>
      <c r="L64" s="67" t="n"/>
      <c r="M64" s="67" t="n"/>
      <c r="N64" s="67" t="n"/>
      <c r="O64" s="67" t="n"/>
    </row>
    <row r="65" ht="22.35" customHeight="1" s="45">
      <c r="A65" s="63" t="inlineStr">
        <is>
          <t>C-6.10.3</t>
        </is>
      </c>
      <c r="B65" s="68" t="inlineStr">
        <is>
          <t>I Conformance</t>
        </is>
      </c>
      <c r="C65" s="68" t="inlineStr">
        <is>
          <t>6.10 Memory compaction</t>
        </is>
      </c>
      <c r="D65" s="68" t="inlineStr">
        <is>
          <t>Facts kept by hash pointer, never rewritten; receipts and refusals kept by reference</t>
        </is>
      </c>
      <c r="E65" s="68" t="inlineStr">
        <is>
          <t>MEM-3</t>
        </is>
      </c>
      <c r="F65" s="68" t="inlineStr">
        <is>
          <t>V1</t>
        </is>
      </c>
      <c r="G65" s="68" t="inlineStr">
        <is>
          <t>A paraphrased fact in a compacted artefact</t>
        </is>
      </c>
      <c r="H65" s="68" t="inlineStr">
        <is>
          <t>memory_compaction_v1 · MEM-3</t>
        </is>
      </c>
      <c r="I65" s="68" t="n"/>
      <c r="J65" s="67" t="n"/>
      <c r="K65" s="67" t="n"/>
      <c r="L65" s="67" t="n"/>
      <c r="M65" s="67" t="n"/>
      <c r="N65" s="67" t="n"/>
      <c r="O65" s="67" t="n"/>
    </row>
    <row r="66" ht="22.35" customHeight="1" s="45">
      <c r="A66" s="63" t="inlineStr">
        <is>
          <t>C-6.10.4</t>
        </is>
      </c>
      <c r="B66" s="68" t="inlineStr">
        <is>
          <t>I Conformance</t>
        </is>
      </c>
      <c r="C66" s="68" t="inlineStr">
        <is>
          <t>6.10 Memory compaction</t>
        </is>
      </c>
      <c r="D66" s="68" t="inlineStr">
        <is>
          <t>Compaction writes a Ledger row with a loss statement before the artefact is readable</t>
        </is>
      </c>
      <c r="E66" s="68" t="inlineStr">
        <is>
          <t>MEM-6</t>
        </is>
      </c>
      <c r="F66" s="68" t="inlineStr">
        <is>
          <t>V3 + V5</t>
        </is>
      </c>
      <c r="G66" s="68" t="inlineStr">
        <is>
          <t>A readable artefact with no row</t>
        </is>
      </c>
      <c r="H66" s="68" t="inlineStr">
        <is>
          <t>memory_compaction_v1 · MEM-6</t>
        </is>
      </c>
      <c r="I66" s="68" t="n"/>
      <c r="J66" s="67" t="n"/>
      <c r="K66" s="67" t="n"/>
      <c r="L66" s="67" t="n"/>
      <c r="M66" s="67" t="n"/>
      <c r="N66" s="67" t="n"/>
      <c r="O66" s="67" t="n"/>
    </row>
    <row r="67" ht="22.35" customHeight="1" s="45">
      <c r="A67" s="63" t="inlineStr">
        <is>
          <t>C-6.10.5</t>
        </is>
      </c>
      <c r="B67" s="68" t="inlineStr">
        <is>
          <t>I Conformance</t>
        </is>
      </c>
      <c r="C67" s="68" t="inlineStr">
        <is>
          <t>6.10 Memory compaction</t>
        </is>
      </c>
      <c r="D67" s="68" t="inlineStr">
        <is>
          <t>Reload is deterministic and states depth lost; unverifiable hash refuses</t>
        </is>
      </c>
      <c r="E67" s="68" t="inlineStr">
        <is>
          <t>MEM-7, MEM-8</t>
        </is>
      </c>
      <c r="F67" s="68" t="inlineStr">
        <is>
          <t>V1 + V5</t>
        </is>
      </c>
      <c r="G67" s="68" t="inlineStr">
        <is>
          <t>A reload re-summarising; a reload without the loss statement</t>
        </is>
      </c>
      <c r="H67" s="68" t="inlineStr">
        <is>
          <t>memory_compaction_v1 · MEM-7; memory_compaction_v1 · MEM-8</t>
        </is>
      </c>
      <c r="I67" s="68" t="n"/>
      <c r="J67" s="67" t="n"/>
      <c r="K67" s="67" t="n"/>
      <c r="L67" s="67" t="n"/>
      <c r="M67" s="67" t="n"/>
      <c r="N67" s="67" t="n"/>
      <c r="O67" s="67" t="n"/>
    </row>
    <row r="68" ht="22.35" customHeight="1" s="45">
      <c r="A68" s="63" t="inlineStr">
        <is>
          <t>C-6.10.6</t>
        </is>
      </c>
      <c r="B68" s="68" t="inlineStr">
        <is>
          <t>I Conformance</t>
        </is>
      </c>
      <c r="C68" s="68" t="inlineStr">
        <is>
          <t>6.10 Memory compaction</t>
        </is>
      </c>
      <c r="D68" s="68" t="inlineStr">
        <is>
          <t>Erasure reaches compacted memory and overrides retention lengthening</t>
        </is>
      </c>
      <c r="E68" s="68" t="inlineStr">
        <is>
          <t>MEM-9</t>
        </is>
      </c>
      <c r="F68" s="68" t="inlineStr">
        <is>
          <t>V5</t>
        </is>
      </c>
      <c r="G68" s="68" t="inlineStr">
        <is>
          <t>A withdrawn unit surviving in a compacted artefact</t>
        </is>
      </c>
      <c r="H68" s="68" t="inlineStr">
        <is>
          <t>memory_compaction_v1 · MEM-9</t>
        </is>
      </c>
      <c r="I68" s="68" t="n"/>
      <c r="J68" s="67" t="n"/>
      <c r="K68" s="67" t="n"/>
      <c r="L68" s="67" t="n"/>
      <c r="M68" s="67" t="n"/>
      <c r="N68" s="67" t="n"/>
      <c r="O68" s="67" t="n"/>
    </row>
    <row r="69" ht="22.35" customHeight="1" s="45">
      <c r="A69" s="63" t="inlineStr">
        <is>
          <t>C-6.11.1</t>
        </is>
      </c>
      <c r="B69" s="68" t="inlineStr">
        <is>
          <t>I Conformance</t>
        </is>
      </c>
      <c r="C69" s="68" t="inlineStr">
        <is>
          <t>6.11 Entitlement</t>
        </is>
      </c>
      <c r="D69" s="68" t="inlineStr">
        <is>
          <t>Resolution inside the chokepoint: principal → licence → row → dial → allowance; any missing link refuses</t>
        </is>
      </c>
      <c r="E69" s="68" t="inlineStr">
        <is>
          <t>ENT-16</t>
        </is>
      </c>
      <c r="F69" s="68" t="inlineStr">
        <is>
          <t>V5</t>
        </is>
      </c>
      <c r="G69" s="68" t="inlineStr">
        <is>
          <t>A call proceeding with a default licence or allowance</t>
        </is>
      </c>
      <c r="H69" s="68" t="inlineStr">
        <is>
          <t>entitlement_service_v1 · ENT-16</t>
        </is>
      </c>
      <c r="I69" s="68" t="n"/>
      <c r="J69" s="67" t="n"/>
      <c r="K69" s="67" t="n"/>
      <c r="L69" s="67" t="n"/>
      <c r="M69" s="67" t="n"/>
      <c r="N69" s="67" t="n"/>
      <c r="O69" s="67" t="n"/>
    </row>
    <row r="70" ht="15" customHeight="1" s="45">
      <c r="A70" s="63" t="inlineStr">
        <is>
          <t>C-6.11.2</t>
        </is>
      </c>
      <c r="B70" s="68" t="inlineStr">
        <is>
          <t>I Conformance</t>
        </is>
      </c>
      <c r="C70" s="68" t="inlineStr">
        <is>
          <t>6.11 Entitlement</t>
        </is>
      </c>
      <c r="D70" s="68" t="inlineStr">
        <is>
          <t>Resolution is a pure function with no learned parameter</t>
        </is>
      </c>
      <c r="E70" s="68" t="inlineStr">
        <is>
          <t>ENT-17</t>
        </is>
      </c>
      <c r="F70" s="68" t="inlineStr">
        <is>
          <t>V2</t>
        </is>
      </c>
      <c r="G70" s="68" t="inlineStr">
        <is>
          <t>A model output reachable by the resolver</t>
        </is>
      </c>
      <c r="H70" s="68" t="inlineStr">
        <is>
          <t>entitlement_service_v1 · ENT-17</t>
        </is>
      </c>
      <c r="I70" s="68" t="n"/>
      <c r="J70" s="67" t="n"/>
      <c r="K70" s="67" t="n"/>
      <c r="L70" s="67" t="n"/>
      <c r="M70" s="67" t="n"/>
      <c r="N70" s="67" t="n"/>
      <c r="O70" s="67" t="n"/>
    </row>
    <row r="71" ht="15" customHeight="1" s="45">
      <c r="A71" s="63" t="inlineStr">
        <is>
          <t>C-6.11.3</t>
        </is>
      </c>
      <c r="B71" s="68" t="inlineStr">
        <is>
          <t>I Conformance</t>
        </is>
      </c>
      <c r="C71" s="68" t="inlineStr">
        <is>
          <t>6.11 Entitlement</t>
        </is>
      </c>
      <c r="D71" s="68" t="inlineStr">
        <is>
          <t>Allowance recomputed from Ledger events; no stored counter</t>
        </is>
      </c>
      <c r="E71" s="68" t="inlineStr">
        <is>
          <t>ENT-22</t>
        </is>
      </c>
      <c r="F71" s="68" t="inlineStr">
        <is>
          <t>V2 + V3</t>
        </is>
      </c>
      <c r="G71" s="68" t="inlineStr">
        <is>
          <t>A balance store that can drift from events</t>
        </is>
      </c>
      <c r="H71" s="68" t="inlineStr">
        <is>
          <t>entitlement_service_v1 · ENT-22</t>
        </is>
      </c>
      <c r="I71" s="68" t="n"/>
      <c r="J71" s="67" t="n"/>
      <c r="K71" s="67" t="n"/>
      <c r="L71" s="67" t="n"/>
      <c r="M71" s="67" t="n"/>
      <c r="N71" s="67" t="n"/>
      <c r="O71" s="67" t="n"/>
    </row>
    <row r="72" ht="22.35" customHeight="1" s="45">
      <c r="A72" s="63" t="inlineStr">
        <is>
          <t>C-6.11.4</t>
        </is>
      </c>
      <c r="B72" s="68" t="inlineStr">
        <is>
          <t>I Conformance</t>
        </is>
      </c>
      <c r="C72" s="68" t="inlineStr">
        <is>
          <t>6.11 Entitlement</t>
        </is>
      </c>
      <c r="D72" s="68" t="inlineStr">
        <is>
          <t>Exhaustion serves locally with the fixed string, never silently; never refuses when local can serve</t>
        </is>
      </c>
      <c r="E72" s="68" t="inlineStr">
        <is>
          <t>ENT-26</t>
        </is>
      </c>
      <c r="F72" s="68" t="inlineStr">
        <is>
          <t>V6 + V5</t>
        </is>
      </c>
      <c r="G72" s="68" t="inlineStr">
        <is>
          <t>A local fallback without the string; a refusal with a local row available</t>
        </is>
      </c>
      <c r="H72" s="68" t="inlineStr">
        <is>
          <t>entitlement_service_v1 · ENT-26</t>
        </is>
      </c>
      <c r="I72" s="68" t="n"/>
      <c r="J72" s="67" t="n"/>
      <c r="K72" s="67" t="n"/>
      <c r="L72" s="67" t="n"/>
      <c r="M72" s="67" t="n"/>
      <c r="N72" s="67" t="n"/>
      <c r="O72" s="67" t="n"/>
    </row>
    <row r="73" ht="22.35" customHeight="1" s="45">
      <c r="A73" s="63" t="inlineStr">
        <is>
          <t>C-6.11.5</t>
        </is>
      </c>
      <c r="B73" s="68" t="inlineStr">
        <is>
          <t>I Conformance</t>
        </is>
      </c>
      <c r="C73" s="68" t="inlineStr">
        <is>
          <t>6.11 Entitlement</t>
        </is>
      </c>
      <c r="D73" s="68" t="inlineStr">
        <is>
          <t>A reseller-frontier row cannot be listed without an agreement record</t>
        </is>
      </c>
      <c r="E73" s="68" t="inlineStr">
        <is>
          <t>ENT-32</t>
        </is>
      </c>
      <c r="F73" s="68" t="inlineStr">
        <is>
          <t>V4</t>
        </is>
      </c>
      <c r="G73" s="68" t="inlineStr">
        <is>
          <t>A listed row with no agreement on record</t>
        </is>
      </c>
      <c r="H73" s="68" t="inlineStr">
        <is>
          <t>entitlement_service_v1 · ENT-32</t>
        </is>
      </c>
      <c r="I73" s="68" t="n"/>
      <c r="J73" s="67" t="n"/>
      <c r="K73" s="67" t="n"/>
      <c r="L73" s="67" t="n"/>
      <c r="M73" s="67" t="n"/>
      <c r="N73" s="67" t="n"/>
      <c r="O73" s="67" t="n"/>
    </row>
    <row r="74" ht="22.35" customHeight="1" s="45">
      <c r="A74" s="63" t="inlineStr">
        <is>
          <t>C-6.11.6</t>
        </is>
      </c>
      <c r="B74" s="68" t="inlineStr">
        <is>
          <t>I Conformance</t>
        </is>
      </c>
      <c r="C74" s="68" t="inlineStr">
        <is>
          <t>6.11 Entitlement</t>
        </is>
      </c>
      <c r="D74" s="68" t="inlineStr">
        <is>
          <t>Customer keys: never displayable; every call still passes the custody sequence</t>
        </is>
      </c>
      <c r="E74" s="68" t="inlineStr">
        <is>
          <t>ENT-35, ENT-37</t>
        </is>
      </c>
      <c r="F74" s="68" t="inlineStr">
        <is>
          <t>V2 + V5</t>
        </is>
      </c>
      <c r="G74" s="68" t="inlineStr">
        <is>
          <t>A key readable after entry; a masked-send skipped on a customer key</t>
        </is>
      </c>
      <c r="H74" s="68" t="inlineStr">
        <is>
          <t>entitlement_service_v1 · ENT-35; entitlement_service_v1 · ENT-37</t>
        </is>
      </c>
      <c r="I74" s="68" t="n"/>
      <c r="J74" s="67" t="n"/>
      <c r="K74" s="67" t="n"/>
      <c r="L74" s="67" t="n"/>
      <c r="M74" s="67" t="n"/>
      <c r="N74" s="67" t="n"/>
      <c r="O74" s="67" t="n"/>
    </row>
    <row r="75" ht="15" customHeight="1" s="45">
      <c r="A75" s="63" t="inlineStr">
        <is>
          <t>C-6.11.7</t>
        </is>
      </c>
      <c r="B75" s="68" t="inlineStr">
        <is>
          <t>I Conformance</t>
        </is>
      </c>
      <c r="C75" s="68" t="inlineStr">
        <is>
          <t>6.11 Entitlement</t>
        </is>
      </c>
      <c r="D75" s="68" t="inlineStr">
        <is>
          <t>No state outside licence, catalog row, credential, Ledger event</t>
        </is>
      </c>
      <c r="E75" s="68" t="inlineStr">
        <is>
          <t>ENT-49</t>
        </is>
      </c>
      <c r="F75" s="68" t="inlineStr">
        <is>
          <t>V2</t>
        </is>
      </c>
      <c r="G75" s="68" t="inlineStr">
        <is>
          <t>Any other store</t>
        </is>
      </c>
      <c r="H75" s="68" t="inlineStr">
        <is>
          <t>entitlement_service_v1 · ENT-49</t>
        </is>
      </c>
      <c r="I75" s="68" t="n"/>
      <c r="J75" s="67" t="n"/>
      <c r="K75" s="67" t="n"/>
      <c r="L75" s="67" t="n"/>
      <c r="M75" s="67" t="n"/>
      <c r="N75" s="67" t="n"/>
      <c r="O75" s="67" t="n"/>
    </row>
    <row r="76" ht="22.35" customHeight="1" s="45">
      <c r="A76" s="63" t="inlineStr">
        <is>
          <t>C-6.11.8</t>
        </is>
      </c>
      <c r="B76" s="68" t="inlineStr">
        <is>
          <t>I Conformance</t>
        </is>
      </c>
      <c r="C76" s="68" t="inlineStr">
        <is>
          <t>6.11 Entitlement</t>
        </is>
      </c>
      <c r="D76" s="68" t="inlineStr">
        <is>
          <t>“Unlimited” and “every model” used only where their definitions hold</t>
        </is>
      </c>
      <c r="E76" s="68" t="inlineStr">
        <is>
          <t>ENT-3, ENT-4</t>
        </is>
      </c>
      <c r="F76" s="68" t="inlineStr">
        <is>
          <t>V6</t>
        </is>
      </c>
      <c r="G76" s="68" t="inlineStr">
        <is>
          <t>The word on a surface where a token cap or an excluded class exists</t>
        </is>
      </c>
      <c r="H76" s="68" t="inlineStr">
        <is>
          <t>entitlement_service_v1 · ENT-3; entitlement_service_v1 · ENT-4</t>
        </is>
      </c>
      <c r="I76" s="68" t="n"/>
      <c r="J76" s="67" t="n"/>
      <c r="K76" s="67" t="n"/>
      <c r="L76" s="67" t="n"/>
      <c r="M76" s="67" t="n"/>
      <c r="N76" s="67" t="n"/>
      <c r="O76" s="67" t="n"/>
    </row>
    <row r="77" ht="22.35" customHeight="1" s="45">
      <c r="A77" s="63" t="inlineStr">
        <is>
          <t>C-6.12.1</t>
        </is>
      </c>
      <c r="B77" s="68" t="inlineStr">
        <is>
          <t>I Conformance</t>
        </is>
      </c>
      <c r="C77" s="68" t="inlineStr">
        <is>
          <t>6.12 Content registry and salience</t>
        </is>
      </c>
      <c r="D77" s="68" t="inlineStr">
        <is>
          <t>Every surface string has a registry entry and a class; improvised copy fails the DOM-bound scan</t>
        </is>
      </c>
      <c r="E77" s="68" t="inlineStr">
        <is>
          <t>CON-1</t>
        </is>
      </c>
      <c r="F77" s="68" t="inlineStr">
        <is>
          <t>V2 + V6</t>
        </is>
      </c>
      <c r="G77" s="68" t="inlineStr">
        <is>
          <t>A string with no entry rendering</t>
        </is>
      </c>
      <c r="H77" s="68" t="inlineStr">
        <is>
          <t>content_registry_v1 · CON-1</t>
        </is>
      </c>
      <c r="I77" s="68" t="n"/>
      <c r="J77" s="67" t="n"/>
      <c r="K77" s="67" t="n"/>
      <c r="L77" s="67" t="n"/>
      <c r="M77" s="67" t="n"/>
      <c r="N77" s="67" t="n"/>
      <c r="O77" s="67" t="n"/>
    </row>
    <row r="78" ht="22.35" customHeight="1" s="45">
      <c r="A78" s="63" t="inlineStr">
        <is>
          <t>C-6.12.2</t>
        </is>
      </c>
      <c r="B78" s="68" t="inlineStr">
        <is>
          <t>I Conformance</t>
        </is>
      </c>
      <c r="C78" s="68" t="inlineStr">
        <is>
          <t>6.12 Content registry and salience</t>
        </is>
      </c>
      <c r="D78" s="68" t="inlineStr">
        <is>
          <t>Templated strings render only from named verified fields; honest-gap variant on null</t>
        </is>
      </c>
      <c r="E78" s="68" t="inlineStr">
        <is>
          <t>CON-3, CON-4</t>
        </is>
      </c>
      <c r="F78" s="68" t="inlineStr">
        <is>
          <t>V1 + V6</t>
        </is>
      </c>
      <c r="G78" s="68" t="inlineStr">
        <is>
          <t>A templated line estimating a missing value</t>
        </is>
      </c>
      <c r="H78" s="68" t="inlineStr">
        <is>
          <t>content_registry_v1 · CON-3; content_registry_v1 · CON-4</t>
        </is>
      </c>
      <c r="I78" s="68" t="n"/>
      <c r="J78" s="67" t="n"/>
      <c r="K78" s="67" t="n"/>
      <c r="L78" s="67" t="n"/>
      <c r="M78" s="67" t="n"/>
      <c r="N78" s="67" t="n"/>
      <c r="O78" s="67" t="n"/>
    </row>
    <row r="79" ht="22.35" customHeight="1" s="45">
      <c r="A79" s="63" t="inlineStr">
        <is>
          <t>C-6.12.3</t>
        </is>
      </c>
      <c r="B79" s="68" t="inlineStr">
        <is>
          <t>I Conformance</t>
        </is>
      </c>
      <c r="C79" s="68" t="inlineStr">
        <is>
          <t>6.12 Content registry and salience</t>
        </is>
      </c>
      <c r="D79" s="68" t="inlineStr">
        <is>
          <t>Prose never supplies a number the surface does not carry as a field</t>
        </is>
      </c>
      <c r="E79" s="68" t="inlineStr">
        <is>
          <t>CON-6</t>
        </is>
      </c>
      <c r="F79" s="68" t="inlineStr">
        <is>
          <t>V6</t>
        </is>
      </c>
      <c r="G79" s="68" t="inlineStr">
        <is>
          <t>A generated sentence introducing a figure</t>
        </is>
      </c>
      <c r="H79" s="68" t="inlineStr">
        <is>
          <t>content_registry_v1 · CON-6</t>
        </is>
      </c>
      <c r="I79" s="68" t="n"/>
      <c r="J79" s="67" t="n"/>
      <c r="K79" s="67" t="n"/>
      <c r="L79" s="67" t="n"/>
      <c r="M79" s="67" t="n"/>
      <c r="N79" s="67" t="n"/>
      <c r="O79" s="67" t="n"/>
    </row>
    <row r="80" ht="22.35" customHeight="1" s="45">
      <c r="A80" s="63" t="inlineStr">
        <is>
          <t>C-6.12.4</t>
        </is>
      </c>
      <c r="B80" s="68" t="inlineStr">
        <is>
          <t>I Conformance</t>
        </is>
      </c>
      <c r="C80" s="68" t="inlineStr">
        <is>
          <t>6.12 Content registry and salience</t>
        </is>
      </c>
      <c r="D80" s="68" t="inlineStr">
        <is>
          <t>The hook is the lowest salience class among eligible candidates; deterministic; ineligible never headlines over eligible</t>
        </is>
      </c>
      <c r="E80" s="68" t="inlineStr">
        <is>
          <t>CON-15 to CON-17</t>
        </is>
      </c>
      <c r="F80" s="68" t="inlineStr">
        <is>
          <t>V1</t>
        </is>
      </c>
      <c r="G80" s="68" t="inlineStr">
        <is>
          <t>A gap headlined over a fact; a hook varying on identical inputs</t>
        </is>
      </c>
      <c r="H80" s="68" t="inlineStr">
        <is>
          <t>content_registry_v1 · CON-15; content_registry_v1 · CON-16; content_registry_v1 · CON-17</t>
        </is>
      </c>
      <c r="I80" s="68" t="n"/>
      <c r="J80" s="67" t="n"/>
      <c r="K80" s="67" t="n"/>
      <c r="L80" s="67" t="n"/>
      <c r="M80" s="67" t="n"/>
      <c r="N80" s="67" t="n"/>
      <c r="O80" s="67" t="n"/>
    </row>
    <row r="81" ht="15" customHeight="1" s="45">
      <c r="A81" s="63" t="inlineStr">
        <is>
          <t>C-6.12.5</t>
        </is>
      </c>
      <c r="B81" s="68" t="inlineStr">
        <is>
          <t>I Conformance</t>
        </is>
      </c>
      <c r="C81" s="68" t="inlineStr">
        <is>
          <t>6.12 Content registry and salience</t>
        </is>
      </c>
      <c r="D81" s="68" t="inlineStr">
        <is>
          <t>No engagement measure and no learned signal enters ranking</t>
        </is>
      </c>
      <c r="E81" s="68" t="inlineStr">
        <is>
          <t>CON-18</t>
        </is>
      </c>
      <c r="F81" s="68" t="inlineStr">
        <is>
          <t>V2</t>
        </is>
      </c>
      <c r="G81" s="68" t="inlineStr">
        <is>
          <t>A click, view, or model field readable by the ranking rule</t>
        </is>
      </c>
      <c r="H81" s="68" t="inlineStr">
        <is>
          <t>content_registry_v1 · CON-18</t>
        </is>
      </c>
      <c r="I81" s="68" t="n"/>
      <c r="J81" s="67" t="n"/>
      <c r="K81" s="67" t="n"/>
      <c r="L81" s="67" t="n"/>
      <c r="M81" s="67" t="n"/>
      <c r="N81" s="67" t="n"/>
      <c r="O81" s="67" t="n"/>
    </row>
    <row r="82" ht="22.35" customHeight="1" s="45">
      <c r="A82" s="63" t="inlineStr">
        <is>
          <t>C-6.12.6</t>
        </is>
      </c>
      <c r="B82" s="68" t="inlineStr">
        <is>
          <t>I Conformance</t>
        </is>
      </c>
      <c r="C82" s="68" t="inlineStr">
        <is>
          <t>6.12 Content registry and salience</t>
        </is>
      </c>
      <c r="D82" s="68" t="inlineStr">
        <is>
          <t>Every hook choice writes a content receipt with the full salience trace, retrievable on demand</t>
        </is>
      </c>
      <c r="E82" s="68" t="inlineStr">
        <is>
          <t>CON-20</t>
        </is>
      </c>
      <c r="F82" s="68" t="inlineStr">
        <is>
          <t>V3 + V6</t>
        </is>
      </c>
      <c r="G82" s="68" t="inlineStr">
        <is>
          <t>A slot that cannot answer “why this first”</t>
        </is>
      </c>
      <c r="H82" s="68" t="inlineStr">
        <is>
          <t>content_registry_v1 · CON-20</t>
        </is>
      </c>
      <c r="I82" s="68" t="n"/>
      <c r="J82" s="67" t="n"/>
      <c r="K82" s="67" t="n"/>
      <c r="L82" s="67" t="n"/>
      <c r="M82" s="67" t="n"/>
      <c r="N82" s="67" t="n"/>
      <c r="O82" s="67" t="n"/>
    </row>
    <row r="83" ht="15" customHeight="1" s="45">
      <c r="A83" s="63" t="inlineStr">
        <is>
          <t>C-6.12.7</t>
        </is>
      </c>
      <c r="B83" s="68" t="inlineStr">
        <is>
          <t>I Conformance</t>
        </is>
      </c>
      <c r="C83" s="68" t="inlineStr">
        <is>
          <t>6.12 Content registry and salience</t>
        </is>
      </c>
      <c r="D83" s="68" t="inlineStr">
        <is>
          <t>Unsupported claims are refused, not softened</t>
        </is>
      </c>
      <c r="E83" s="68" t="inlineStr">
        <is>
          <t>CON-24</t>
        </is>
      </c>
      <c r="F83" s="68" t="inlineStr">
        <is>
          <t>V5</t>
        </is>
      </c>
      <c r="G83" s="68" t="inlineStr">
        <is>
          <t>A hedged sentence displaying where an anchor is absent</t>
        </is>
      </c>
      <c r="H83" s="68" t="inlineStr">
        <is>
          <t>content_registry_v1 · CON-24</t>
        </is>
      </c>
      <c r="I83" s="68" t="n"/>
      <c r="J83" s="67" t="n"/>
      <c r="K83" s="67" t="n"/>
      <c r="L83" s="67" t="n"/>
      <c r="M83" s="67" t="n"/>
      <c r="N83" s="67" t="n"/>
      <c r="O83" s="67" t="n"/>
    </row>
    <row r="84" ht="22.35" customHeight="1" s="45">
      <c r="A84" s="63" t="inlineStr">
        <is>
          <t>C-6.12.8</t>
        </is>
      </c>
      <c r="B84" s="68" t="inlineStr">
        <is>
          <t>I Conformance</t>
        </is>
      </c>
      <c r="C84" s="68" t="inlineStr">
        <is>
          <t>6.12 Content registry and salience</t>
        </is>
      </c>
      <c r="D84" s="68" t="inlineStr">
        <is>
          <t>No store of rendered templated text; no draft, approval, or publish state</t>
        </is>
      </c>
      <c r="E84" s="68" t="inlineStr">
        <is>
          <t>CON-25; LIM-3</t>
        </is>
      </c>
      <c r="F84" s="68" t="inlineStr">
        <is>
          <t>V2</t>
        </is>
      </c>
      <c r="G84" s="68" t="inlineStr">
        <is>
          <t>A CMS-shaped table</t>
        </is>
      </c>
      <c r="H84" s="68" t="inlineStr">
        <is>
          <t>content_registry_v1 · CON-25</t>
        </is>
      </c>
      <c r="I84" s="68" t="inlineStr">
        <is>
          <t>LIM-3 — no registry row</t>
        </is>
      </c>
      <c r="J84" s="67" t="n"/>
      <c r="K84" s="67" t="n"/>
      <c r="L84" s="67" t="n"/>
      <c r="M84" s="67" t="n"/>
      <c r="N84" s="67" t="n"/>
      <c r="O84" s="67" t="n"/>
    </row>
    <row r="85" ht="22.35" customHeight="1" s="45">
      <c r="A85" s="63" t="inlineStr">
        <is>
          <t>C-6.13.1</t>
        </is>
      </c>
      <c r="B85" s="68" t="inlineStr">
        <is>
          <t>I Conformance</t>
        </is>
      </c>
      <c r="C85" s="68" t="inlineStr">
        <is>
          <t>6.13 Frontends — governance in the client</t>
        </is>
      </c>
      <c r="D85" s="68" t="inlineStr">
        <is>
          <t>Approval blocks execution; the client shows a blocked state, not a spinner or a dismissible warning</t>
        </is>
      </c>
      <c r="E85" s="68" t="inlineStr">
        <is>
          <t>DAP-14; UI brief §5</t>
        </is>
      </c>
      <c r="F85" s="68" t="inlineStr">
        <is>
          <t>V6 + V5</t>
        </is>
      </c>
      <c r="G85" s="68" t="inlineStr">
        <is>
          <t>A UI proceeding provisionally while approval is pending</t>
        </is>
      </c>
      <c r="H85" s="68" t="inlineStr">
        <is>
          <t>DAP Backend spec · DAP-14</t>
        </is>
      </c>
      <c r="I85" s="68" t="n"/>
      <c r="J85" s="67" t="n"/>
      <c r="K85" s="67" t="n"/>
      <c r="L85" s="67" t="n"/>
      <c r="M85" s="67" t="n"/>
      <c r="N85" s="67" t="n"/>
      <c r="O85" s="67" t="n"/>
    </row>
    <row r="86" ht="22.35" customHeight="1" s="45">
      <c r="A86" s="63" t="inlineStr">
        <is>
          <t>C-6.13.2</t>
        </is>
      </c>
      <c r="B86" s="68" t="inlineStr">
        <is>
          <t>I Conformance</t>
        </is>
      </c>
      <c r="C86" s="68" t="inlineStr">
        <is>
          <t>6.13 Frontends — governance in the client</t>
        </is>
      </c>
      <c r="D86" s="68" t="inlineStr">
        <is>
          <t>Silence never approves; expired requests render as expired, never auto-approved</t>
        </is>
      </c>
      <c r="E86" s="68" t="inlineStr">
        <is>
          <t>DAP-15</t>
        </is>
      </c>
      <c r="F86" s="68" t="inlineStr">
        <is>
          <t>V6</t>
        </is>
      </c>
      <c r="G86" s="68" t="inlineStr">
        <is>
          <t>An expired request shown as approved or vanished</t>
        </is>
      </c>
      <c r="H86" s="68" t="inlineStr">
        <is>
          <t>DAP Backend spec · DAP-15</t>
        </is>
      </c>
      <c r="I86" s="68" t="n"/>
      <c r="J86" s="67" t="n"/>
      <c r="K86" s="67" t="n"/>
      <c r="L86" s="67" t="n"/>
      <c r="M86" s="67" t="n"/>
      <c r="N86" s="67" t="n"/>
      <c r="O86" s="67" t="n"/>
    </row>
    <row r="87" ht="22.35" customHeight="1" s="45">
      <c r="A87" s="63" t="inlineStr">
        <is>
          <t>C-6.13.3</t>
        </is>
      </c>
      <c r="B87" s="68" t="inlineStr">
        <is>
          <t>I Conformance</t>
        </is>
      </c>
      <c r="C87" s="68" t="inlineStr">
        <is>
          <t>6.13 Frontends — governance in the client</t>
        </is>
      </c>
      <c r="D87" s="68" t="inlineStr">
        <is>
          <t>The chat proposes and never decides: no path from chat to approval, scope change, or gate bypass</t>
        </is>
      </c>
      <c r="E87" s="68" t="inlineStr">
        <is>
          <t>DAP-20</t>
        </is>
      </c>
      <c r="F87" s="68" t="inlineStr">
        <is>
          <t>V2</t>
        </is>
      </c>
      <c r="G87" s="68" t="inlineStr">
        <is>
          <t>A chat action that executes or widens scope</t>
        </is>
      </c>
      <c r="H87" s="68" t="inlineStr">
        <is>
          <t>DAP Backend spec · DAP-20</t>
        </is>
      </c>
      <c r="I87" s="68" t="n"/>
      <c r="J87" s="67" t="n"/>
      <c r="K87" s="67" t="n"/>
      <c r="L87" s="67" t="n"/>
      <c r="M87" s="67" t="n"/>
      <c r="N87" s="67" t="n"/>
      <c r="O87" s="67" t="n"/>
    </row>
    <row r="88" ht="22.35" customHeight="1" s="45">
      <c r="A88" s="63" t="inlineStr">
        <is>
          <t>C-6.13.4</t>
        </is>
      </c>
      <c r="B88" s="68" t="inlineStr">
        <is>
          <t>I Conformance</t>
        </is>
      </c>
      <c r="C88" s="68" t="inlineStr">
        <is>
          <t>6.13 Frontends — governance in the client</t>
        </is>
      </c>
      <c r="D88" s="68" t="inlineStr">
        <is>
          <t>Fixed strings render verbatim; a substitution rule matching nothing is RED</t>
        </is>
      </c>
      <c r="E88" s="68" t="inlineStr">
        <is>
          <t>FE brief §0.2</t>
        </is>
      </c>
      <c r="F88" s="68" t="inlineStr">
        <is>
          <t>V6</t>
        </is>
      </c>
      <c r="G88" s="68" t="inlineStr">
        <is>
          <t>A reworded fixed string</t>
        </is>
      </c>
      <c r="H88" s="68" t="n"/>
      <c r="I88" s="68" t="n"/>
      <c r="J88" s="67" t="n"/>
      <c r="K88" s="67" t="n"/>
      <c r="L88" s="67" t="n"/>
      <c r="M88" s="67" t="n"/>
      <c r="N88" s="67" t="n"/>
      <c r="O88" s="67" t="n"/>
    </row>
    <row r="89" ht="22.35" customHeight="1" s="45">
      <c r="A89" s="63" t="inlineStr">
        <is>
          <t>C-6.13.5</t>
        </is>
      </c>
      <c r="B89" s="68" t="inlineStr">
        <is>
          <t>I Conformance</t>
        </is>
      </c>
      <c r="C89" s="68" t="inlineStr">
        <is>
          <t>6.13 Frontends — governance in the client</t>
        </is>
      </c>
      <c r="D89" s="68" t="inlineStr">
        <is>
          <t>Every number derives from a verified field or renders “not yet measured”</t>
        </is>
      </c>
      <c r="E89" s="68" t="inlineStr">
        <is>
          <t>FE brief §2.1</t>
        </is>
      </c>
      <c r="F89" s="68" t="inlineStr">
        <is>
          <t>V6</t>
        </is>
      </c>
      <c r="G89" s="68" t="inlineStr">
        <is>
          <t>A figure with no backing field</t>
        </is>
      </c>
      <c r="H89" s="68" t="n"/>
      <c r="I89" s="68" t="n"/>
      <c r="J89" s="67" t="n"/>
      <c r="K89" s="67" t="n"/>
      <c r="L89" s="67" t="n"/>
      <c r="M89" s="67" t="n"/>
      <c r="N89" s="67" t="n"/>
      <c r="O89" s="67" t="n"/>
    </row>
    <row r="90" ht="22.35" customHeight="1" s="45">
      <c r="A90" s="63" t="inlineStr">
        <is>
          <t>C-6.13.6</t>
        </is>
      </c>
      <c r="B90" s="68" t="inlineStr">
        <is>
          <t>I Conformance</t>
        </is>
      </c>
      <c r="C90" s="68" t="inlineStr">
        <is>
          <t>6.13 Frontends — governance in the client</t>
        </is>
      </c>
      <c r="D90" s="68" t="inlineStr">
        <is>
          <t>Browse renders aggregates only; no code path surfaces unit content</t>
        </is>
      </c>
      <c r="E90" s="68" t="inlineStr">
        <is>
          <t>DAP-6</t>
        </is>
      </c>
      <c r="F90" s="68" t="inlineStr">
        <is>
          <t>V2</t>
        </is>
      </c>
      <c r="G90" s="68" t="inlineStr">
        <is>
          <t>A record preview reachable from Browse</t>
        </is>
      </c>
      <c r="H90" s="68" t="inlineStr">
        <is>
          <t>DAP Backend spec · DAP-6</t>
        </is>
      </c>
      <c r="I90" s="68" t="n"/>
      <c r="J90" s="67" t="n"/>
      <c r="K90" s="67" t="n"/>
      <c r="L90" s="67" t="n"/>
      <c r="M90" s="67" t="n"/>
      <c r="N90" s="67" t="n"/>
      <c r="O90" s="67" t="n"/>
    </row>
    <row r="91" ht="22.35" customHeight="1" s="45">
      <c r="A91" s="63" t="inlineStr">
        <is>
          <t>C-6.13.7</t>
        </is>
      </c>
      <c r="B91" s="68" t="inlineStr">
        <is>
          <t>I Conformance</t>
        </is>
      </c>
      <c r="C91" s="68" t="inlineStr">
        <is>
          <t>6.13 Frontends — governance in the client</t>
        </is>
      </c>
      <c r="D91" s="68" t="inlineStr">
        <is>
          <t>Redaction is not a requester-controlled setting on the raw-download screen</t>
        </is>
      </c>
      <c r="E91" s="68" t="inlineStr">
        <is>
          <t>DAP-11</t>
        </is>
      </c>
      <c r="F91" s="68" t="inlineStr">
        <is>
          <t>V6</t>
        </is>
      </c>
      <c r="G91" s="68" t="inlineStr">
        <is>
          <t>A redaction-level control on the party surface</t>
        </is>
      </c>
      <c r="H91" s="68" t="inlineStr">
        <is>
          <t>DAP Backend spec · DAP-11</t>
        </is>
      </c>
      <c r="I91" s="68" t="n"/>
      <c r="J91" s="67" t="n"/>
      <c r="K91" s="67" t="n"/>
      <c r="L91" s="67" t="n"/>
      <c r="M91" s="67" t="n"/>
      <c r="N91" s="67" t="n"/>
      <c r="O91" s="67" t="n"/>
    </row>
    <row r="92" ht="32.8" customHeight="1" s="45">
      <c r="A92" s="63" t="inlineStr">
        <is>
          <t>C-6.14.1</t>
        </is>
      </c>
      <c r="B92" s="68" t="inlineStr">
        <is>
          <t>I Conformance</t>
        </is>
      </c>
      <c r="C92" s="68" t="inlineStr">
        <is>
          <t>6.14 Agent and swarm containment</t>
        </is>
      </c>
      <c r="D92" s="68" t="inlineStr">
        <is>
          <t>Four ceilings are unconditional and non-admissible by any ceremony: no self-replication, resource acquisition, credential escalation, oversight tampering</t>
        </is>
      </c>
      <c r="E92" s="68" t="inlineStr">
        <is>
          <t>AC-1; watch_learning_v1 A20.16</t>
        </is>
      </c>
      <c r="F92" s="68" t="inlineStr">
        <is>
          <t>V2 + V5</t>
        </is>
      </c>
      <c r="G92" s="68" t="inlineStr">
        <is>
          <t>A capability class admitting a ceiling</t>
        </is>
      </c>
      <c r="H92" s="68" t="inlineStr">
        <is>
          <t>Agent Containment spec · AC-1; watch_learning_v1 · A20.16</t>
        </is>
      </c>
      <c r="I92" s="68" t="n"/>
      <c r="J92" s="67" t="n"/>
      <c r="K92" s="67" t="n"/>
      <c r="L92" s="67" t="n"/>
      <c r="M92" s="67" t="n"/>
      <c r="N92" s="67" t="n"/>
      <c r="O92" s="67" t="n"/>
    </row>
    <row r="93" ht="32.8" customHeight="1" s="45">
      <c r="A93" s="63" t="inlineStr">
        <is>
          <t>C-6.14.2</t>
        </is>
      </c>
      <c r="B93" s="68" t="inlineStr">
        <is>
          <t>I Conformance</t>
        </is>
      </c>
      <c r="C93" s="68" t="inlineStr">
        <is>
          <t>6.14 Agent and swarm containment</t>
        </is>
      </c>
      <c r="D93" s="68" t="inlineStr">
        <is>
          <t>Scope expands only by track record plus ratification by a party independent of the operator; the runtime proposes, never advances</t>
        </is>
      </c>
      <c r="E93" s="68" t="inlineStr">
        <is>
          <t>AC-2; R-18 effect 6</t>
        </is>
      </c>
      <c r="F93" s="68" t="inlineStr">
        <is>
          <t>V4 + V5</t>
        </is>
      </c>
      <c r="G93" s="68" t="inlineStr">
        <is>
          <t>A rung advanced on the runtime's check alone</t>
        </is>
      </c>
      <c r="H93" s="68" t="inlineStr">
        <is>
          <t>Agent Containment spec · AC-2</t>
        </is>
      </c>
      <c r="I93" s="68" t="n"/>
      <c r="J93" s="67" t="n"/>
      <c r="K93" s="67" t="n"/>
      <c r="L93" s="67" t="n"/>
      <c r="M93" s="67" t="n"/>
      <c r="N93" s="67" t="n"/>
      <c r="O93" s="67" t="n"/>
    </row>
    <row r="94" ht="32.8" customHeight="1" s="45">
      <c r="A94" s="63" t="inlineStr">
        <is>
          <t>C-6.14.3</t>
        </is>
      </c>
      <c r="B94" s="68" t="inlineStr">
        <is>
          <t>I Conformance</t>
        </is>
      </c>
      <c r="C94" s="68" t="inlineStr">
        <is>
          <t>6.14 Agent and swarm containment</t>
        </is>
      </c>
      <c r="D94" s="68" t="inlineStr">
        <is>
          <t>Every action cites an admitted capability class with a certificate; first exercise triggers the foundation floor and the research queue</t>
        </is>
      </c>
      <c r="E94" s="68" t="inlineStr">
        <is>
          <t>AC-17, AC-18; watch_learning_v1 A20.16</t>
        </is>
      </c>
      <c r="F94" s="68" t="inlineStr">
        <is>
          <t>V3</t>
        </is>
      </c>
      <c r="G94" s="68" t="inlineStr">
        <is>
          <t>An action with no admitted class</t>
        </is>
      </c>
      <c r="H94" s="68" t="inlineStr">
        <is>
          <t>watch_learning_v1 · AC-17; watch_learning_v1 · AC-18; watch_learning_v1 · A20.16</t>
        </is>
      </c>
      <c r="I94" s="68" t="n"/>
      <c r="J94" s="67" t="n"/>
      <c r="K94" s="67" t="n"/>
      <c r="L94" s="67" t="n"/>
      <c r="M94" s="67" t="n"/>
      <c r="N94" s="67" t="n"/>
      <c r="O94" s="67" t="n"/>
    </row>
    <row r="95" ht="22.35" customHeight="1" s="45">
      <c r="A95" s="63" t="inlineStr">
        <is>
          <t>C-6.14.4</t>
        </is>
      </c>
      <c r="B95" s="68" t="inlineStr">
        <is>
          <t>I Conformance</t>
        </is>
      </c>
      <c r="C95" s="68" t="inlineStr">
        <is>
          <t>6.14 Agent and swarm containment</t>
        </is>
      </c>
      <c r="D95" s="68" t="inlineStr">
        <is>
          <t>Coalitions evaluated jointly; aggregate effect bounded regardless of detection</t>
        </is>
      </c>
      <c r="E95" s="68" t="inlineStr">
        <is>
          <t>AC-10; DAP-34</t>
        </is>
      </c>
      <c r="F95" s="68" t="inlineStr">
        <is>
          <t>V1</t>
        </is>
      </c>
      <c r="G95" s="68" t="inlineStr">
        <is>
          <t>A coalition bounded only by a member allow-list</t>
        </is>
      </c>
      <c r="H95" s="68" t="inlineStr">
        <is>
          <t>Agent Containment spec · AC-10; Amendment W-4 · DAP-34</t>
        </is>
      </c>
      <c r="I95" s="68" t="n"/>
      <c r="J95" s="67" t="n"/>
      <c r="K95" s="67" t="n"/>
      <c r="L95" s="67" t="n"/>
      <c r="M95" s="67" t="n"/>
      <c r="N95" s="67" t="n"/>
      <c r="O95" s="67" t="n"/>
    </row>
    <row r="96" ht="22.35" customHeight="1" s="45">
      <c r="A96" s="63" t="inlineStr">
        <is>
          <t>C-6.14.5</t>
        </is>
      </c>
      <c r="B96" s="68" t="inlineStr">
        <is>
          <t>I Conformance</t>
        </is>
      </c>
      <c r="C96" s="68" t="inlineStr">
        <is>
          <t>6.14 Agent and swarm containment</t>
        </is>
      </c>
      <c r="D96" s="68" t="inlineStr">
        <is>
          <t>Contained agents are served under SFP-8; contain is a session freeze</t>
        </is>
      </c>
      <c r="E96" s="68" t="inlineStr">
        <is>
          <t>AC-13, AC-14</t>
        </is>
      </c>
      <c r="F96" s="68" t="inlineStr">
        <is>
          <t>V5</t>
        </is>
      </c>
      <c r="G96" s="68" t="inlineStr">
        <is>
          <t>A contained agent served on an unverified path</t>
        </is>
      </c>
      <c r="H96" s="68" t="inlineStr">
        <is>
          <t>serving_integrity_v1 · AC-13; serving_integrity_v1 · AC-14</t>
        </is>
      </c>
      <c r="I96" s="68" t="n"/>
      <c r="J96" s="67" t="n"/>
      <c r="K96" s="67" t="n"/>
      <c r="L96" s="67" t="n"/>
      <c r="M96" s="67" t="n"/>
      <c r="N96" s="67" t="n"/>
      <c r="O96" s="67" t="n"/>
    </row>
    <row r="97" ht="22.35" customHeight="1" s="45">
      <c r="A97" s="63" t="inlineStr">
        <is>
          <t>C-6.15.1</t>
        </is>
      </c>
      <c r="B97" s="68" t="inlineStr">
        <is>
          <t>I Conformance</t>
        </is>
      </c>
      <c r="C97" s="68" t="inlineStr">
        <is>
          <t>6.15 Data protection and retention</t>
        </is>
      </c>
      <c r="D97" s="68" t="inlineStr">
        <is>
          <t>Breach notification path exists and is exercised within 72 hours in a drill record</t>
        </is>
      </c>
      <c r="E97" s="68" t="inlineStr">
        <is>
          <t>Kenya DPA 2019; Pilot Agreement cl. 7.2</t>
        </is>
      </c>
      <c r="F97" s="68" t="inlineStr">
        <is>
          <t>V4 + V5</t>
        </is>
      </c>
      <c r="G97" s="68" t="inlineStr">
        <is>
          <t>No drill record; a path exceeding 72 hours</t>
        </is>
      </c>
      <c r="H97" s="68" t="n"/>
      <c r="I97" s="68" t="n"/>
      <c r="J97" s="67" t="n"/>
      <c r="K97" s="67" t="n"/>
      <c r="L97" s="67" t="n"/>
      <c r="M97" s="67" t="n"/>
      <c r="N97" s="67" t="n"/>
      <c r="O97" s="67" t="n"/>
    </row>
    <row r="98" ht="32.8" customHeight="1" s="45">
      <c r="A98" s="63" t="inlineStr">
        <is>
          <t>C-6.15.2</t>
        </is>
      </c>
      <c r="B98" s="68" t="inlineStr">
        <is>
          <t>I Conformance</t>
        </is>
      </c>
      <c r="C98" s="68" t="inlineStr">
        <is>
          <t>6.15 Data protection and retention</t>
        </is>
      </c>
      <c r="D98" s="68" t="inlineStr">
        <is>
          <t>Erasure overrides retention lengthening in every store that holds derived content</t>
        </is>
      </c>
      <c r="E98" s="68" t="inlineStr">
        <is>
          <t>MEM-9; CON-27; DAP-38</t>
        </is>
      </c>
      <c r="F98" s="68" t="inlineStr">
        <is>
          <t>V5</t>
        </is>
      </c>
      <c r="G98" s="68" t="inlineStr">
        <is>
          <t>A retention setting blocking a lawful erasure</t>
        </is>
      </c>
      <c r="H98" s="68" t="inlineStr">
        <is>
          <t>memory_compaction_v1 · MEM-9; content_registry_v1 · CON-27; Pruning &amp; Unlearning Amendment · DAP-38</t>
        </is>
      </c>
      <c r="I98" s="68" t="n"/>
      <c r="J98" s="67" t="n"/>
      <c r="K98" s="67" t="n"/>
      <c r="L98" s="67" t="n"/>
      <c r="M98" s="67" t="n"/>
      <c r="N98" s="67" t="n"/>
      <c r="O98" s="67" t="n"/>
    </row>
    <row r="99" ht="22.35" customHeight="1" s="45">
      <c r="A99" s="63" t="inlineStr">
        <is>
          <t>C-6.15.3</t>
        </is>
      </c>
      <c r="B99" s="68" t="inlineStr">
        <is>
          <t>I Conformance</t>
        </is>
      </c>
      <c r="C99" s="68" t="inlineStr">
        <is>
          <t>6.15 Data protection and retention</t>
        </is>
      </c>
      <c r="D99" s="68" t="inlineStr">
        <is>
          <t>Retention defaults recorded per collection; tenants may lengthen, not shorten, save for erasure</t>
        </is>
      </c>
      <c r="E99" s="68" t="inlineStr">
        <is>
          <t>D-14</t>
        </is>
      </c>
      <c r="F99" s="68" t="inlineStr">
        <is>
          <t>V7</t>
        </is>
      </c>
      <c r="G99" s="68" t="inlineStr">
        <is>
          <t>A collection with no recorded retention</t>
        </is>
      </c>
      <c r="H99" s="68" t="n"/>
      <c r="I99" s="68" t="inlineStr">
        <is>
          <t>D-14 — no registry row</t>
        </is>
      </c>
      <c r="J99" s="67" t="n"/>
      <c r="K99" s="67" t="n"/>
      <c r="L99" s="67" t="n"/>
      <c r="M99" s="67" t="n"/>
      <c r="N99" s="67" t="n"/>
      <c r="O99" s="67" t="n"/>
    </row>
    <row r="100" ht="43.25" customHeight="1" s="45">
      <c r="A100" s="63" t="inlineStr">
        <is>
          <t>C-6.16.1</t>
        </is>
      </c>
      <c r="B100" s="68" t="inlineStr">
        <is>
          <t>I Conformance</t>
        </is>
      </c>
      <c r="C100" s="68" t="inlineStr">
        <is>
          <t>6.16 Product function</t>
        </is>
      </c>
      <c r="D100" s="68" t="inlineStr">
        <is>
          <t>The system is built and started from the audit target by documented steps only; each engine named in Build Status §1 (SyniSense, Solva, Northena, Mtafiti, Targeta, Mkondo), the Watch and the Ledger answers a health request</t>
        </is>
      </c>
      <c r="E100" s="68" t="inlineStr">
        <is>
          <t>Build Status §1; ORCH_BOOT.md</t>
        </is>
      </c>
      <c r="F100" s="68" t="inlineStr">
        <is>
          <t>V8</t>
        </is>
      </c>
      <c r="G100" s="68" t="inlineStr">
        <is>
          <t>An engine that does not start; a step required that no document states. A component that does not exist is NOT BUILT</t>
        </is>
      </c>
      <c r="H100" s="68" t="n"/>
      <c r="I100" s="68" t="n"/>
      <c r="J100" s="67" t="n"/>
      <c r="K100" s="67" t="n"/>
      <c r="L100" s="67" t="n"/>
      <c r="M100" s="67" t="n"/>
      <c r="N100" s="67" t="n"/>
      <c r="O100" s="67" t="n"/>
    </row>
    <row r="101" ht="43.25" customHeight="1" s="45">
      <c r="A101" s="63" t="inlineStr">
        <is>
          <t>C-6.16.2</t>
        </is>
      </c>
      <c r="B101" s="68" t="inlineStr">
        <is>
          <t>I Conformance</t>
        </is>
      </c>
      <c r="C101" s="68" t="inlineStr">
        <is>
          <t>6.16 Product function</t>
        </is>
      </c>
      <c r="D101" s="68" t="inlineStr">
        <is>
          <t>O1 Custody (#1–#4 · Docs 1, 2): a request carrying an entity on the tenant confidentiality list crosses; the payload captured at the perimeter contains no listed entity; both custody pathways leave a receipt</t>
        </is>
      </c>
      <c r="E101" s="68" t="inlineStr">
        <is>
          <t>Doc 1 A5.1, A5.2, A5.7, A5.8; Doc 2 A5.1</t>
        </is>
      </c>
      <c r="F101" s="68" t="inlineStr">
        <is>
          <t>V8 + rule class</t>
        </is>
      </c>
      <c r="G101" s="68" t="inlineStr">
        <is>
          <t>A listed entity in the captured payload; a crossing with no receipt</t>
        </is>
      </c>
      <c r="H101" s="68" t="n"/>
      <c r="I101" s="68" t="n"/>
      <c r="J101" s="67" t="n"/>
      <c r="K101" s="67" t="n"/>
      <c r="L101" s="67" t="n"/>
      <c r="M101" s="67" t="n"/>
      <c r="N101" s="67" t="n"/>
      <c r="O101" s="67" t="n"/>
    </row>
    <row r="102" ht="32.8" customHeight="1" s="45">
      <c r="A102" s="63" t="inlineStr">
        <is>
          <t>C-6.16.3</t>
        </is>
      </c>
      <c r="B102" s="68" t="inlineStr">
        <is>
          <t>I Conformance</t>
        </is>
      </c>
      <c r="C102" s="68" t="inlineStr">
        <is>
          <t>6.16 Product function</t>
        </is>
      </c>
      <c r="D102" s="68" t="inlineStr">
        <is>
          <t>O3 Reasoning and grounding (#8, #31 · Doc 4): a question whose answer the estate does not contain is refused, not answered; the lower-rung fallback reproduces byte-identically</t>
        </is>
      </c>
      <c r="E102" s="68" t="inlineStr">
        <is>
          <t>Doc 1 A5.9; Doc 4 A5.2, A5.3</t>
        </is>
      </c>
      <c r="F102" s="68" t="inlineStr">
        <is>
          <t>V8 + rule class</t>
        </is>
      </c>
      <c r="G102" s="68" t="inlineStr">
        <is>
          <t>An ungrounded answer returned; a fallback output that drifts</t>
        </is>
      </c>
      <c r="H102" s="68" t="n"/>
      <c r="I102" s="68" t="n"/>
      <c r="J102" s="67" t="n"/>
      <c r="K102" s="67" t="n"/>
      <c r="L102" s="67" t="n"/>
      <c r="M102" s="67" t="n"/>
      <c r="N102" s="67" t="n"/>
      <c r="O102" s="67" t="n"/>
    </row>
    <row r="103" ht="32.8" customHeight="1" s="45">
      <c r="A103" s="63" t="inlineStr">
        <is>
          <t>C-6.16.4</t>
        </is>
      </c>
      <c r="B103" s="68" t="inlineStr">
        <is>
          <t>I Conformance</t>
        </is>
      </c>
      <c r="C103" s="68" t="inlineStr">
        <is>
          <t>6.16 Product function</t>
        </is>
      </c>
      <c r="D103" s="68" t="inlineStr">
        <is>
          <t>O4 Direction and focus (#16–#18 · Docs 5, 6): the objective captured at the start of a long session is present and unaltered at its end; scope expands only by explicit request</t>
        </is>
      </c>
      <c r="E103" s="68" t="inlineStr">
        <is>
          <t>Doc 1 B5.3; Doc 5; Doc 6 A5.2, A5.3</t>
        </is>
      </c>
      <c r="F103" s="68" t="inlineStr">
        <is>
          <t>V8 + rule class</t>
        </is>
      </c>
      <c r="G103" s="68" t="inlineStr">
        <is>
          <t>An objective edited or lost in flight; scope widened with no request recorded</t>
        </is>
      </c>
      <c r="H103" s="68" t="n"/>
      <c r="I103" s="68" t="n"/>
      <c r="J103" s="67" t="n"/>
      <c r="K103" s="67" t="n"/>
      <c r="L103" s="67" t="n"/>
      <c r="M103" s="67" t="n"/>
      <c r="N103" s="67" t="n"/>
      <c r="O103" s="67" t="n"/>
    </row>
    <row r="104" ht="32.8" customHeight="1" s="45">
      <c r="A104" s="63" t="inlineStr">
        <is>
          <t>C-6.16.5</t>
        </is>
      </c>
      <c r="B104" s="68" t="inlineStr">
        <is>
          <t>I Conformance</t>
        </is>
      </c>
      <c r="C104" s="68" t="inlineStr">
        <is>
          <t>6.16 Product function</t>
        </is>
      </c>
      <c r="D104" s="68" t="inlineStr">
        <is>
          <t>O5 Context preservation (#19–#21 · Docs 7, 8): every unit carries a re-extraction handle; an on-demand fetch is served without re-running the estate</t>
        </is>
      </c>
      <c r="E104" s="68" t="inlineStr">
        <is>
          <t>Doc 7 A5.2; Doc 8 A5.2, A5.3</t>
        </is>
      </c>
      <c r="F104" s="68" t="inlineStr">
        <is>
          <t>V8 + rule class</t>
        </is>
      </c>
      <c r="G104" s="68" t="inlineStr">
        <is>
          <t>A unit with no handle; a fetch that triggers an estate run</t>
        </is>
      </c>
      <c r="H104" s="68" t="n"/>
      <c r="I104" s="68" t="n"/>
      <c r="J104" s="67" t="n"/>
      <c r="K104" s="67" t="n"/>
      <c r="L104" s="67" t="n"/>
      <c r="M104" s="67" t="n"/>
      <c r="N104" s="67" t="n"/>
      <c r="O104" s="67" t="n"/>
    </row>
    <row r="105" ht="32.8" customHeight="1" s="45">
      <c r="A105" s="63" t="inlineStr">
        <is>
          <t>C-6.16.6</t>
        </is>
      </c>
      <c r="B105" s="68" t="inlineStr">
        <is>
          <t>I Conformance</t>
        </is>
      </c>
      <c r="C105" s="68" t="inlineStr">
        <is>
          <t>6.16 Product function</t>
        </is>
      </c>
      <c r="D105" s="68" t="inlineStr">
        <is>
          <t>O6 Estate registry (#12–#15 · Docs 9, 10): each source type the build claims connects to a reference instance; the census of a fixture of known composition matches it; an audio fixture is read</t>
        </is>
      </c>
      <c r="E105" s="68" t="inlineStr">
        <is>
          <t>Doc 9 A5.2, A5.3; Doc 10</t>
        </is>
      </c>
      <c r="F105" s="68" t="inlineStr">
        <is>
          <t>V8 + rule class</t>
        </is>
      </c>
      <c r="G105" s="68" t="inlineStr">
        <is>
          <t>A claimed connector that fails; a census that differs from the fixture</t>
        </is>
      </c>
      <c r="H105" s="68" t="n"/>
      <c r="I105" s="68" t="n"/>
      <c r="J105" s="67" t="n"/>
      <c r="K105" s="67" t="n"/>
      <c r="L105" s="67" t="n"/>
      <c r="M105" s="67" t="n"/>
      <c r="N105" s="67" t="n"/>
      <c r="O105" s="67" t="n"/>
    </row>
    <row r="106" ht="32.8" customHeight="1" s="45">
      <c r="A106" s="63" t="inlineStr">
        <is>
          <t>C-6.16.7</t>
        </is>
      </c>
      <c r="B106" s="68" t="inlineStr">
        <is>
          <t>I Conformance</t>
        </is>
      </c>
      <c r="C106" s="68" t="inlineStr">
        <is>
          <t>6.16 Product function</t>
        </is>
      </c>
      <c r="D106" s="68" t="inlineStr">
        <is>
          <t>O7 Cost and compute (#9–#11 · Docs 11, 12): cost is shown before commit and is a measured figure; a pull-seam job completes with no estate data leaving</t>
        </is>
      </c>
      <c r="E106" s="68" t="inlineStr">
        <is>
          <t>Doc 11 A5.3; Doc 12 A5.2</t>
        </is>
      </c>
      <c r="F106" s="68" t="inlineStr">
        <is>
          <t>V8 + rule class</t>
        </is>
      </c>
      <c r="G106" s="68" t="inlineStr">
        <is>
          <t>A job committing with no prior cost; a simulated cost; estate data in the outbound capture</t>
        </is>
      </c>
      <c r="H106" s="68" t="n"/>
      <c r="I106" s="68" t="n"/>
      <c r="J106" s="67" t="n"/>
      <c r="K106" s="67" t="n"/>
      <c r="L106" s="67" t="n"/>
      <c r="M106" s="67" t="n"/>
      <c r="N106" s="67" t="n"/>
      <c r="O106" s="67" t="n"/>
    </row>
    <row r="107" ht="43.25" customHeight="1" s="45">
      <c r="A107" s="63" t="inlineStr">
        <is>
          <t>C-6.16.8</t>
        </is>
      </c>
      <c r="B107" s="68" t="inlineStr">
        <is>
          <t>I Conformance</t>
        </is>
      </c>
      <c r="C107" s="68" t="inlineStr">
        <is>
          <t>6.16 Product function</t>
        </is>
      </c>
      <c r="D107" s="68" t="inlineStr">
        <is>
          <t>O8 Training and models (#22–#25, #30 · Docs 13, 14, 17, 20): one training job runs end to end on a fixture — objective dialogue, mission reflected then frozen, run, acceptance against a registered baseline</t>
        </is>
      </c>
      <c r="E107" s="68" t="inlineStr">
        <is>
          <t>Doc 13 A5.2, A5.3; Doc 14; Doc 17; Doc 20</t>
        </is>
      </c>
      <c r="F107" s="68" t="inlineStr">
        <is>
          <t>V8 + rule class</t>
        </is>
      </c>
      <c r="G107" s="68" t="inlineStr">
        <is>
          <t>A job that completes with no frozen mission; acceptance against an unregistered baseline</t>
        </is>
      </c>
      <c r="H107" s="68" t="n"/>
      <c r="I107" s="68" t="n"/>
      <c r="J107" s="67" t="n"/>
      <c r="K107" s="67" t="n"/>
      <c r="L107" s="67" t="n"/>
      <c r="M107" s="67" t="n"/>
      <c r="N107" s="67" t="n"/>
      <c r="O107" s="67" t="n"/>
    </row>
    <row r="108" ht="32.8" customHeight="1" s="45">
      <c r="A108" s="63" t="inlineStr">
        <is>
          <t>C-6.16.9</t>
        </is>
      </c>
      <c r="B108" s="68" t="inlineStr">
        <is>
          <t>I Conformance</t>
        </is>
      </c>
      <c r="C108" s="68" t="inlineStr">
        <is>
          <t>6.16 Product function</t>
        </is>
      </c>
      <c r="D108" s="68" t="inlineStr">
        <is>
          <t>O9 Orchestration (#27, #32 · Doc 15): a job follows the specified path to completion; a rule-book change takes effect only by ceremony</t>
        </is>
      </c>
      <c r="E108" s="68" t="inlineStr">
        <is>
          <t>Doc 15</t>
        </is>
      </c>
      <c r="F108" s="68" t="inlineStr">
        <is>
          <t>V8 + rule class</t>
        </is>
      </c>
      <c r="G108" s="68" t="inlineStr">
        <is>
          <t>A job completing off-path; a rule book edited in place</t>
        </is>
      </c>
      <c r="H108" s="68" t="n"/>
      <c r="I108" s="68" t="n"/>
      <c r="J108" s="67" t="n"/>
      <c r="K108" s="67" t="n"/>
      <c r="L108" s="67" t="n"/>
      <c r="M108" s="67" t="n"/>
      <c r="N108" s="67" t="n"/>
      <c r="O108" s="67" t="n"/>
    </row>
    <row r="109" ht="32.8" customHeight="1" s="45">
      <c r="A109" s="63" t="inlineStr">
        <is>
          <t>C-6.16.10</t>
        </is>
      </c>
      <c r="B109" s="68" t="inlineStr">
        <is>
          <t>I Conformance</t>
        </is>
      </c>
      <c r="C109" s="68" t="inlineStr">
        <is>
          <t>6.16 Product function</t>
        </is>
      </c>
      <c r="D109" s="68" t="inlineStr">
        <is>
          <t>O10 Critic seam (Doc 19A, CANON): the Tier 1 deterministic checks run over a fixture seeded with one defect per check; each is caught</t>
        </is>
      </c>
      <c r="E109" s="68" t="inlineStr">
        <is>
          <t>Doc 19 (19A rules)</t>
        </is>
      </c>
      <c r="F109" s="68" t="inlineStr">
        <is>
          <t>V8 + V1</t>
        </is>
      </c>
      <c r="G109" s="68" t="inlineStr">
        <is>
          <t>A seeded defect that passes</t>
        </is>
      </c>
      <c r="H109" s="68" t="n"/>
      <c r="I109" s="68" t="n"/>
      <c r="J109" s="67" t="n"/>
      <c r="K109" s="67" t="n"/>
      <c r="L109" s="67" t="n"/>
      <c r="M109" s="67" t="n"/>
      <c r="N109" s="67" t="n"/>
      <c r="O109" s="67" t="n"/>
    </row>
    <row r="110" ht="32.8" customHeight="1" s="45">
      <c r="A110" s="63" t="inlineStr">
        <is>
          <t>C-6.16.11</t>
        </is>
      </c>
      <c r="B110" s="68" t="inlineStr">
        <is>
          <t>I Conformance</t>
        </is>
      </c>
      <c r="C110" s="68" t="inlineStr">
        <is>
          <t>6.16 Product function</t>
        </is>
      </c>
      <c r="D110" s="68" t="inlineStr">
        <is>
          <t>O11 Skills and rendering (Doc 18 · Deck Engine): a fixture deck renders; each DR-R requirement whose status the owner has ruled is met in the output</t>
        </is>
      </c>
      <c r="E110" s="68" t="inlineStr">
        <is>
          <t>Doc 18; Deck Engine spec</t>
        </is>
      </c>
      <c r="F110" s="68" t="inlineStr">
        <is>
          <t>V8 + rule class</t>
        </is>
      </c>
      <c r="G110" s="68" t="inlineStr">
        <is>
          <t>A render that fails or omits a required element</t>
        </is>
      </c>
      <c r="H110" s="68" t="n"/>
      <c r="I110" s="68" t="n"/>
      <c r="J110" s="67" t="n"/>
      <c r="K110" s="67" t="n"/>
      <c r="L110" s="67" t="n"/>
      <c r="M110" s="67" t="n"/>
      <c r="N110" s="67" t="n"/>
      <c r="O110" s="67" t="n"/>
    </row>
    <row r="111" ht="32.8" customHeight="1" s="45">
      <c r="A111" s="63" t="inlineStr">
        <is>
          <t>C-6.16.12</t>
        </is>
      </c>
      <c r="B111" s="68" t="inlineStr">
        <is>
          <t>I Conformance</t>
        </is>
      </c>
      <c r="C111" s="68" t="inlineStr">
        <is>
          <t>6.16 Product function</t>
        </is>
      </c>
      <c r="D111" s="68" t="inlineStr">
        <is>
          <t>Abuse paths on every scenario above: malformed input, oversize input, an unauthenticated caller, a caller from another tenant</t>
        </is>
      </c>
      <c r="E111" s="68" t="inlineStr">
        <is>
          <t>Doc 1 A5.4; PRIN-11, PRIN-12; FP-1</t>
        </is>
      </c>
      <c r="F111" s="68" t="inlineStr">
        <is>
          <t>V8 + V5</t>
        </is>
      </c>
      <c r="G111" s="68" t="inlineStr">
        <is>
          <t>A stack trace at a surface; another tenant’s data returned; an unhandled server error</t>
        </is>
      </c>
      <c r="H111" s="68" t="n"/>
      <c r="I111" s="68" t="n"/>
      <c r="J111" s="67" t="n"/>
      <c r="K111" s="67" t="n"/>
      <c r="L111" s="67" t="n"/>
      <c r="M111" s="67" t="n"/>
      <c r="N111" s="67" t="n"/>
      <c r="O111" s="67" t="n"/>
    </row>
    <row r="112" ht="22.35" customHeight="1" s="45">
      <c r="A112" s="63" t="inlineStr">
        <is>
          <t>RQ-1</t>
        </is>
      </c>
      <c r="B112" s="68" t="inlineStr">
        <is>
          <t>0 Rule quality</t>
        </is>
      </c>
      <c r="C112" s="68" t="inlineStr">
        <is>
          <t>7 Rule quality</t>
        </is>
      </c>
      <c r="D112" s="68" t="inlineStr">
        <is>
          <t>The full text of every COUNTS rule is located at its Source file:line, and its heading matches the Statement column</t>
        </is>
      </c>
      <c r="E112" s="68" t="inlineStr">
        <is>
          <t>Standards 2.4</t>
        </is>
      </c>
      <c r="F112" s="68" t="inlineStr">
        <is>
          <t>Source inspection</t>
        </is>
      </c>
      <c r="G112" s="68" t="inlineStr">
        <is>
          <t>A source line that does not exist or holds different text</t>
        </is>
      </c>
      <c r="H112" s="68" t="n"/>
      <c r="I112" s="68" t="n"/>
      <c r="J112" s="67" t="n"/>
      <c r="K112" s="67" t="n"/>
      <c r="L112" s="67" t="n"/>
      <c r="M112" s="67" t="n"/>
      <c r="N112" s="67" t="n"/>
      <c r="O112" s="67" t="n"/>
    </row>
    <row r="113" ht="43.25" customHeight="1" s="45">
      <c r="A113" s="63" t="inlineStr">
        <is>
          <t>RQ-2</t>
        </is>
      </c>
      <c r="B113" s="68" t="inlineStr">
        <is>
          <t>0 Rule quality</t>
        </is>
      </c>
      <c r="C113" s="68" t="inlineStr">
        <is>
          <t>7 Rule quality</t>
        </is>
      </c>
      <c r="D113" s="68" t="inlineStr">
        <is>
          <t>Every rule examined is rated TESTABLE, AMBIGUOUS, NOT TESTABLE, CONFLICTS or DUPLICATES. TESTABLE means the text names a subject, a condition, a required or forbidden behaviour, and an observable outcome</t>
        </is>
      </c>
      <c r="E113" s="68" t="inlineStr">
        <is>
          <t>Standards 7.2</t>
        </is>
      </c>
      <c r="F113" s="68" t="inlineStr">
        <is>
          <t>Text inspection</t>
        </is>
      </c>
      <c r="G113" s="68" t="inlineStr">
        <is>
          <t>A rule two competent readers would test differently</t>
        </is>
      </c>
      <c r="H113" s="68" t="n"/>
      <c r="I113" s="68" t="n"/>
      <c r="J113" s="67" t="n"/>
      <c r="K113" s="67" t="n"/>
      <c r="L113" s="67" t="n"/>
      <c r="M113" s="67" t="n"/>
      <c r="N113" s="67" t="n"/>
      <c r="O113" s="67" t="n"/>
    </row>
    <row r="114" ht="22.35" customHeight="1" s="45">
      <c r="A114" s="63" t="inlineStr">
        <is>
          <t>RQ-3</t>
        </is>
      </c>
      <c r="B114" s="68" t="inlineStr">
        <is>
          <t>0 Rule quality</t>
        </is>
      </c>
      <c r="C114" s="68" t="inlineStr">
        <is>
          <t>7 Rule quality</t>
        </is>
      </c>
      <c r="D114" s="68" t="inlineStr">
        <is>
          <t>Every (Rule ID, Doc) pair is unique, and every canon_ref in the build resolves to exactly one</t>
        </is>
      </c>
      <c r="E114" s="68" t="inlineStr">
        <is>
          <t>Standards 2.2; R-18 effect 2</t>
        </is>
      </c>
      <c r="F114" s="68" t="inlineStr">
        <is>
          <t>Registry and repo scan</t>
        </is>
      </c>
      <c r="G114" s="68" t="inlineStr">
        <is>
          <t>A pair that repeats; a canon_ref resolving to two rules or none</t>
        </is>
      </c>
      <c r="H114" s="68" t="n"/>
      <c r="I114" s="68" t="n"/>
      <c r="J114" s="67" t="n"/>
      <c r="K114" s="67" t="n"/>
      <c r="L114" s="67" t="n"/>
      <c r="M114" s="67" t="n"/>
      <c r="N114" s="67" t="n"/>
      <c r="O114" s="67" t="n"/>
    </row>
    <row r="115" ht="22.35" customHeight="1" s="45">
      <c r="A115" s="63" t="inlineStr">
        <is>
          <t>RQ-4</t>
        </is>
      </c>
      <c r="B115" s="68" t="inlineStr">
        <is>
          <t>0 Rule quality</t>
        </is>
      </c>
      <c r="C115" s="68" t="inlineStr">
        <is>
          <t>7 Rule quality</t>
        </is>
      </c>
      <c r="D115" s="68" t="inlineStr">
        <is>
          <t>Every status is inside the vocabulary CANON · RULED · PROPOSED · DEFAULT · OPEN</t>
        </is>
      </c>
      <c r="E115" s="68" t="inlineStr">
        <is>
          <t>Standards 2.3; Status Map</t>
        </is>
      </c>
      <c r="F115" s="68" t="inlineStr">
        <is>
          <t>Registry scan</t>
        </is>
      </c>
      <c r="G115" s="68" t="inlineStr">
        <is>
          <t>Any UNDEFINED row at the audit target</t>
        </is>
      </c>
      <c r="H115" s="68" t="n"/>
      <c r="I115" s="68" t="n"/>
      <c r="J115" s="67" t="n"/>
      <c r="K115" s="67" t="n"/>
      <c r="L115" s="67" t="n"/>
      <c r="M115" s="67" t="n"/>
      <c r="N115" s="67" t="n"/>
      <c r="O115" s="67" t="n"/>
    </row>
    <row r="116" ht="22.35" customHeight="1" s="45">
      <c r="A116" s="63" t="inlineStr">
        <is>
          <t>RQ-5</t>
        </is>
      </c>
      <c r="B116" s="68" t="inlineStr">
        <is>
          <t>0 Rule quality</t>
        </is>
      </c>
      <c r="C116" s="68" t="inlineStr">
        <is>
          <t>7 Rule quality</t>
        </is>
      </c>
      <c r="D116" s="68" t="inlineStr">
        <is>
          <t>Every promise has at least one COUNTS fulfilling rule, or the registry states why not</t>
        </is>
      </c>
      <c r="E116" s="68" t="inlineStr">
        <is>
          <t>Standards 3.6</t>
        </is>
      </c>
      <c r="F116" s="68" t="inlineStr">
        <is>
          <t>Promise–Rule Map</t>
        </is>
      </c>
      <c r="G116" s="68" t="inlineStr">
        <is>
          <t>A promise that would roll up over nothing</t>
        </is>
      </c>
      <c r="H116" s="68" t="n"/>
      <c r="I116" s="68" t="n"/>
      <c r="J116" s="67" t="n"/>
      <c r="K116" s="67" t="n"/>
      <c r="L116" s="67" t="n"/>
      <c r="M116" s="67" t="n"/>
      <c r="N116" s="67" t="n"/>
      <c r="O116" s="67" t="n"/>
    </row>
    <row r="117" ht="32.8" customHeight="1" s="45">
      <c r="A117" s="63" t="inlineStr">
        <is>
          <t>RQ-6</t>
        </is>
      </c>
      <c r="B117" s="68" t="inlineStr">
        <is>
          <t>0 Rule quality</t>
        </is>
      </c>
      <c r="C117" s="68" t="inlineStr">
        <is>
          <t>7 Rule quality</t>
        </is>
      </c>
      <c r="D117" s="68" t="inlineStr">
        <is>
          <t>Every identifier cited as a standard in Standards §6, the SER, and the objective cards resolves to a registry row or a DECISIONS.md entry</t>
        </is>
      </c>
      <c r="E117" s="68" t="inlineStr">
        <is>
          <t>Standards 2.5</t>
        </is>
      </c>
      <c r="F117" s="68" t="inlineStr">
        <is>
          <t>Citation resolution</t>
        </is>
      </c>
      <c r="G117" s="68" t="inlineStr">
        <is>
          <t>A check whose governing rule cannot be found</t>
        </is>
      </c>
      <c r="H117" s="68" t="n"/>
      <c r="I117" s="68" t="n"/>
      <c r="J117" s="67" t="n"/>
      <c r="K117" s="67" t="n"/>
      <c r="L117" s="67" t="n"/>
      <c r="M117" s="67" t="n"/>
      <c r="N117" s="67" t="n"/>
      <c r="O117" s="67" t="n"/>
    </row>
    <row r="118" ht="22.35" customHeight="1" s="45">
      <c r="A118" s="63" t="inlineStr">
        <is>
          <t>RQ-7</t>
        </is>
      </c>
      <c r="B118" s="68" t="inlineStr">
        <is>
          <t>0 Rule quality</t>
        </is>
      </c>
      <c r="C118" s="68" t="inlineStr">
        <is>
          <t>7 Rule quality</t>
        </is>
      </c>
      <c r="D118" s="68" t="inlineStr">
        <is>
          <t>Rules in the same domain across documents are read in pairs for incompatible requirements</t>
        </is>
      </c>
      <c r="E118" s="68" t="inlineStr">
        <is>
          <t>Standards 7.3</t>
        </is>
      </c>
      <c r="F118" s="68" t="inlineStr">
        <is>
          <t>Text inspection</t>
        </is>
      </c>
      <c r="G118" s="68" t="inlineStr">
        <is>
          <t>Two CANON rules that cannot both hold</t>
        </is>
      </c>
      <c r="H118" s="68" t="n"/>
      <c r="I118" s="68" t="n"/>
      <c r="J118" s="67" t="n"/>
      <c r="K118" s="67" t="n"/>
      <c r="L118" s="67" t="n"/>
      <c r="M118" s="67" t="n"/>
      <c r="N118" s="67" t="n"/>
      <c r="O118" s="67" t="n"/>
    </row>
    <row r="119" ht="22.35" customHeight="1" s="45">
      <c r="A119" s="63" t="inlineStr">
        <is>
          <t>RQ-8</t>
        </is>
      </c>
      <c r="B119" s="68" t="inlineStr">
        <is>
          <t>0 Rule quality</t>
        </is>
      </c>
      <c r="C119" s="68" t="inlineStr">
        <is>
          <t>7 Rule quality</t>
        </is>
      </c>
      <c r="D119" s="68" t="inlineStr">
        <is>
          <t>Every rule that names a bound, threshold, cadence or time limit states its value, or the registry marks it unruled</t>
        </is>
      </c>
      <c r="E119" s="68" t="inlineStr">
        <is>
          <t>Security Assurance Promises, column Bound / Ruling</t>
        </is>
      </c>
      <c r="F119" s="68" t="inlineStr">
        <is>
          <t>Text inspection</t>
        </is>
      </c>
      <c r="G119" s="68" t="inlineStr">
        <is>
          <t>A numeric guarantee with no number</t>
        </is>
      </c>
      <c r="H119" s="68" t="n"/>
      <c r="I119" s="68" t="n"/>
      <c r="J119" s="67" t="n"/>
      <c r="K119" s="67" t="n"/>
      <c r="L119" s="67" t="n"/>
      <c r="M119" s="67" t="n"/>
      <c r="N119" s="67" t="n"/>
      <c r="O119" s="67" t="n"/>
    </row>
    <row r="120" ht="22.35" customHeight="1" s="45">
      <c r="A120" s="63" t="inlineStr">
        <is>
          <t>Q-1.1</t>
        </is>
      </c>
      <c r="B120" s="68" t="inlineStr">
        <is>
          <t>II Engineering quality</t>
        </is>
      </c>
      <c r="C120" s="68" t="inlineStr">
        <is>
          <t>8.1 Build and run</t>
        </is>
      </c>
      <c r="D120" s="68" t="inlineStr">
        <is>
          <t>A clean clone builds using only the documented steps, in an environment with no access beyond the package registries</t>
        </is>
      </c>
      <c r="E120" s="68" t="inlineStr">
        <is>
          <t>Standards 8.1; Appendix G</t>
        </is>
      </c>
      <c r="F120" s="68" t="inlineStr">
        <is>
          <t>Re-performance</t>
        </is>
      </c>
      <c r="G120" s="68" t="inlineStr">
        <is>
          <t>An undocumented step; a build that depends on a developer machine</t>
        </is>
      </c>
      <c r="H120" s="68" t="n"/>
      <c r="I120" s="68" t="n"/>
      <c r="J120" s="67" t="n"/>
      <c r="K120" s="67" t="n"/>
      <c r="L120" s="67" t="n"/>
      <c r="M120" s="67" t="n"/>
      <c r="N120" s="67" t="n"/>
      <c r="O120" s="67" t="n"/>
    </row>
    <row r="121" ht="22.35" customHeight="1" s="45">
      <c r="A121" s="63" t="inlineStr">
        <is>
          <t>Q-1.2</t>
        </is>
      </c>
      <c r="B121" s="68" t="inlineStr">
        <is>
          <t>II Engineering quality</t>
        </is>
      </c>
      <c r="C121" s="68" t="inlineStr">
        <is>
          <t>8.1 Build and run</t>
        </is>
      </c>
      <c r="D121" s="68" t="inlineStr">
        <is>
          <t>Every dependency is pinned by lockfile with hashes; vendored code carries provenance</t>
        </is>
      </c>
      <c r="E121" s="68" t="inlineStr">
        <is>
          <t>Standards 8.1; Appendix G</t>
        </is>
      </c>
      <c r="F121" s="68" t="inlineStr">
        <is>
          <t>Manifest inspection</t>
        </is>
      </c>
      <c r="G121" s="68" t="inlineStr">
        <is>
          <t>A floating version; vendored code of unknown origin</t>
        </is>
      </c>
      <c r="H121" s="68" t="n"/>
      <c r="I121" s="68" t="n"/>
      <c r="J121" s="67" t="n"/>
      <c r="K121" s="67" t="n"/>
      <c r="L121" s="67" t="n"/>
      <c r="M121" s="67" t="n"/>
      <c r="N121" s="67" t="n"/>
      <c r="O121" s="67" t="n"/>
    </row>
    <row r="122" ht="22.35" customHeight="1" s="45">
      <c r="A122" s="63" t="inlineStr">
        <is>
          <t>Q-1.3</t>
        </is>
      </c>
      <c r="B122" s="68" t="inlineStr">
        <is>
          <t>II Engineering quality</t>
        </is>
      </c>
      <c r="C122" s="68" t="inlineStr">
        <is>
          <t>8.1 Build and run</t>
        </is>
      </c>
      <c r="D122" s="68" t="inlineStr">
        <is>
          <t>The running system completes one smoke scenario per engine (with C-6.16.1)</t>
        </is>
      </c>
      <c r="E122" s="68" t="inlineStr">
        <is>
          <t>Standards 8.1; Appendix G</t>
        </is>
      </c>
      <c r="F122" s="68" t="inlineStr">
        <is>
          <t>Re-performance</t>
        </is>
      </c>
      <c r="G122" s="68" t="inlineStr">
        <is>
          <t>An engine that starts and cannot serve</t>
        </is>
      </c>
      <c r="H122" s="68" t="n"/>
      <c r="I122" s="68" t="n"/>
      <c r="J122" s="67" t="n"/>
      <c r="K122" s="67" t="n"/>
      <c r="L122" s="67" t="n"/>
      <c r="M122" s="67" t="n"/>
      <c r="N122" s="67" t="n"/>
      <c r="O122" s="67" t="n"/>
    </row>
    <row r="123" ht="22.35" customHeight="1" s="45">
      <c r="A123" s="63" t="inlineStr">
        <is>
          <t>Q-1.4</t>
        </is>
      </c>
      <c r="B123" s="68" t="inlineStr">
        <is>
          <t>II Engineering quality</t>
        </is>
      </c>
      <c r="C123" s="68" t="inlineStr">
        <is>
          <t>8.1 Build and run</t>
        </is>
      </c>
      <c r="D123" s="68" t="inlineStr">
        <is>
          <t>Every configuration key the code reads is documented, every documented key is read, and no secret has a default</t>
        </is>
      </c>
      <c r="E123" s="68" t="inlineStr">
        <is>
          <t>Standards 8.1; Appendix G</t>
        </is>
      </c>
      <c r="F123" s="68" t="inlineStr">
        <is>
          <t>Scan + inspection</t>
        </is>
      </c>
      <c r="G123" s="68" t="inlineStr">
        <is>
          <t>A dead key; an undocumented key; a default credential</t>
        </is>
      </c>
      <c r="H123" s="68" t="n"/>
      <c r="I123" s="68" t="n"/>
      <c r="J123" s="67" t="n"/>
      <c r="K123" s="67" t="n"/>
      <c r="L123" s="67" t="n"/>
      <c r="M123" s="67" t="n"/>
      <c r="N123" s="67" t="n"/>
      <c r="O123" s="67" t="n"/>
    </row>
    <row r="124" ht="22.35" customHeight="1" s="45">
      <c r="A124" s="63" t="inlineStr">
        <is>
          <t>Q-1.5</t>
        </is>
      </c>
      <c r="B124" s="68" t="inlineStr">
        <is>
          <t>II Engineering quality</t>
        </is>
      </c>
      <c r="C124" s="68" t="inlineStr">
        <is>
          <t>8.1 Build and run</t>
        </is>
      </c>
      <c r="D124" s="68" t="inlineStr">
        <is>
          <t>Two builds of the audit target produce identical artefacts, or each difference is explained</t>
        </is>
      </c>
      <c r="E124" s="68" t="inlineStr">
        <is>
          <t>Standards 8.1; Appendix G</t>
        </is>
      </c>
      <c r="F124" s="68" t="inlineStr">
        <is>
          <t>Re-performance</t>
        </is>
      </c>
      <c r="G124" s="68" t="inlineStr">
        <is>
          <t>Unexplained artefact drift</t>
        </is>
      </c>
      <c r="H124" s="68" t="n"/>
      <c r="I124" s="68" t="n"/>
      <c r="J124" s="67" t="n"/>
      <c r="K124" s="67" t="n"/>
      <c r="L124" s="67" t="n"/>
      <c r="M124" s="67" t="n"/>
      <c r="N124" s="67" t="n"/>
      <c r="O124" s="67" t="n"/>
    </row>
    <row r="125" ht="22.35" customHeight="1" s="45">
      <c r="A125" s="63" t="inlineStr">
        <is>
          <t>Q-2.1</t>
        </is>
      </c>
      <c r="B125" s="68" t="inlineStr">
        <is>
          <t>II Engineering quality</t>
        </is>
      </c>
      <c r="C125" s="68" t="inlineStr">
        <is>
          <t>8.2 Test suite integrity</t>
        </is>
      </c>
      <c r="D125" s="68" t="inlineStr">
        <is>
          <t>The full suite, run three times from clean and once in random order, gives identical results</t>
        </is>
      </c>
      <c r="E125" s="68" t="inlineStr">
        <is>
          <t>Standards 8.2; Appendix G</t>
        </is>
      </c>
      <c r="F125" s="68" t="inlineStr">
        <is>
          <t>Re-performance</t>
        </is>
      </c>
      <c r="G125" s="68" t="inlineStr">
        <is>
          <t>A flaky or order-dependent test</t>
        </is>
      </c>
      <c r="H125" s="68" t="n"/>
      <c r="I125" s="68" t="n"/>
      <c r="J125" s="67" t="n"/>
      <c r="K125" s="67" t="n"/>
      <c r="L125" s="67" t="n"/>
      <c r="M125" s="67" t="n"/>
      <c r="N125" s="67" t="n"/>
      <c r="O125" s="67" t="n"/>
    </row>
    <row r="126" ht="32.8" customHeight="1" s="45">
      <c r="A126" s="63" t="inlineStr">
        <is>
          <t>Q-2.2</t>
        </is>
      </c>
      <c r="B126" s="68" t="inlineStr">
        <is>
          <t>II Engineering quality</t>
        </is>
      </c>
      <c r="C126" s="68" t="inlineStr">
        <is>
          <t>8.2 Test suite integrity</t>
        </is>
      </c>
      <c r="D126" s="68" t="inlineStr">
        <is>
          <t>Every skipped, xfailed, excluded or quarantined test is inventoried with its stated reason and a DECISIONS or card reference</t>
        </is>
      </c>
      <c r="E126" s="68" t="inlineStr">
        <is>
          <t>Standards 8.2; Appendix G</t>
        </is>
      </c>
      <c r="F126" s="68" t="inlineStr">
        <is>
          <t>Scan</t>
        </is>
      </c>
      <c r="G126" s="68" t="inlineStr">
        <is>
          <t>A skip with no reason; an exclusion from the ratchet nobody recorded</t>
        </is>
      </c>
      <c r="H126" s="68" t="n"/>
      <c r="I126" s="68" t="n"/>
      <c r="J126" s="67" t="n"/>
      <c r="K126" s="67" t="n"/>
      <c r="L126" s="67" t="n"/>
      <c r="M126" s="67" t="n"/>
      <c r="N126" s="67" t="n"/>
      <c r="O126" s="67" t="n"/>
    </row>
    <row r="127" ht="22.35" customHeight="1" s="45">
      <c r="A127" s="63" t="inlineStr">
        <is>
          <t>Q-2.3</t>
        </is>
      </c>
      <c r="B127" s="68" t="inlineStr">
        <is>
          <t>II Engineering quality</t>
        </is>
      </c>
      <c r="C127" s="68" t="inlineStr">
        <is>
          <t>8.2 Test suite integrity</t>
        </is>
      </c>
      <c r="D127" s="68" t="inlineStr">
        <is>
          <t>Every entry in baseline_failures.json is listed with its age, reason, owner and the rule it touches</t>
        </is>
      </c>
      <c r="E127" s="68" t="inlineStr">
        <is>
          <t>Standards 8.2; Appendix G</t>
        </is>
      </c>
      <c r="F127" s="68" t="inlineStr">
        <is>
          <t>Inspection</t>
        </is>
      </c>
      <c r="G127" s="68" t="inlineStr">
        <is>
          <t>A grandfathered failure against a TCB or COUNTS rule; an entry with no reason</t>
        </is>
      </c>
      <c r="H127" s="68" t="n"/>
      <c r="I127" s="68" t="n"/>
      <c r="J127" s="67" t="n"/>
      <c r="K127" s="67" t="n"/>
      <c r="L127" s="67" t="n"/>
      <c r="M127" s="67" t="n"/>
      <c r="N127" s="67" t="n"/>
      <c r="O127" s="67" t="n"/>
    </row>
    <row r="128" ht="32.8" customHeight="1" s="45">
      <c r="A128" s="63" t="inlineStr">
        <is>
          <t>Q-2.4</t>
        </is>
      </c>
      <c r="B128" s="68" t="inlineStr">
        <is>
          <t>II Engineering quality</t>
        </is>
      </c>
      <c r="C128" s="68" t="inlineStr">
        <is>
          <t>8.2 Test suite integrity</t>
        </is>
      </c>
      <c r="D128" s="68" t="inlineStr">
        <is>
          <t>Tests are scanned for: no assertion, assertion on a constant, assertion only on a mock, an exception caught that should fail the test</t>
        </is>
      </c>
      <c r="E128" s="68" t="inlineStr">
        <is>
          <t>Standards 8.2; Appendix G</t>
        </is>
      </c>
      <c r="F128" s="68" t="inlineStr">
        <is>
          <t>AST scan + reading</t>
        </is>
      </c>
      <c r="G128" s="68" t="inlineStr">
        <is>
          <t>A test that cannot fail</t>
        </is>
      </c>
      <c r="H128" s="68" t="n"/>
      <c r="I128" s="68" t="n"/>
      <c r="J128" s="67" t="n"/>
      <c r="K128" s="67" t="n"/>
      <c r="L128" s="67" t="n"/>
      <c r="M128" s="67" t="n"/>
      <c r="N128" s="67" t="n"/>
      <c r="O128" s="67" t="n"/>
    </row>
    <row r="129" ht="22.35" customHeight="1" s="45">
      <c r="A129" s="63" t="inlineStr">
        <is>
          <t>Q-2.5</t>
        </is>
      </c>
      <c r="B129" s="68" t="inlineStr">
        <is>
          <t>II Engineering quality</t>
        </is>
      </c>
      <c r="C129" s="68" t="inlineStr">
        <is>
          <t>8.2 Test suite integrity</t>
        </is>
      </c>
      <c r="D129" s="68" t="inlineStr">
        <is>
          <t>Each golden output was derived independently of the code it checks, or hand-verified with a record</t>
        </is>
      </c>
      <c r="E129" s="68" t="inlineStr">
        <is>
          <t>Standards 8.2; Appendix G</t>
        </is>
      </c>
      <c r="F129" s="68" t="inlineStr">
        <is>
          <t>History inspection</t>
        </is>
      </c>
      <c r="G129" s="68" t="inlineStr">
        <is>
          <t>A golden regenerated by the code under test in the commit that changed the behaviour</t>
        </is>
      </c>
      <c r="H129" s="68" t="n"/>
      <c r="I129" s="68" t="n"/>
      <c r="J129" s="67" t="n"/>
      <c r="K129" s="67" t="n"/>
      <c r="L129" s="67" t="n"/>
      <c r="M129" s="67" t="n"/>
      <c r="N129" s="67" t="n"/>
      <c r="O129" s="67" t="n"/>
    </row>
    <row r="130" ht="32.8" customHeight="1" s="45">
      <c r="A130" s="63" t="inlineStr">
        <is>
          <t>Q-2.6</t>
        </is>
      </c>
      <c r="B130" s="68" t="inlineStr">
        <is>
          <t>II Engineering quality</t>
        </is>
      </c>
      <c r="C130" s="68" t="inlineStr">
        <is>
          <t>8.2 Test suite integrity</t>
        </is>
      </c>
      <c r="D130" s="68" t="inlineStr">
        <is>
          <t>Mutation testing over every TCB member and the chokepoint: kill rate reported, every surviving mutant on a decision or refusal branch listed</t>
        </is>
      </c>
      <c r="E130" s="68" t="inlineStr">
        <is>
          <t>Standards 8.2; Appendix G</t>
        </is>
      </c>
      <c r="F130" s="68" t="inlineStr">
        <is>
          <t>Mutation run, isolated</t>
        </is>
      </c>
      <c r="G130" s="68" t="inlineStr">
        <is>
          <t>A surviving mutant that inverts a refusal</t>
        </is>
      </c>
      <c r="H130" s="68" t="n"/>
      <c r="I130" s="68" t="n"/>
      <c r="J130" s="67" t="n"/>
      <c r="K130" s="67" t="n"/>
      <c r="L130" s="67" t="n"/>
      <c r="M130" s="67" t="n"/>
      <c r="N130" s="67" t="n"/>
      <c r="O130" s="67" t="n"/>
    </row>
    <row r="131" ht="22.35" customHeight="1" s="45">
      <c r="A131" s="63" t="inlineStr">
        <is>
          <t>Q-2.7</t>
        </is>
      </c>
      <c r="B131" s="68" t="inlineStr">
        <is>
          <t>II Engineering quality</t>
        </is>
      </c>
      <c r="C131" s="68" t="inlineStr">
        <is>
          <t>8.2 Test suite integrity</t>
        </is>
      </c>
      <c r="D131" s="68" t="inlineStr">
        <is>
          <t>Branch coverage reported per TCB member and per engine</t>
        </is>
      </c>
      <c r="E131" s="68" t="inlineStr">
        <is>
          <t>Standards 8.2; Appendix G</t>
        </is>
      </c>
      <c r="F131" s="68" t="inlineStr">
        <is>
          <t>Coverage run</t>
        </is>
      </c>
      <c r="G131" s="68" t="inlineStr">
        <is>
          <t>An uncovered decision branch in a TCB member</t>
        </is>
      </c>
      <c r="H131" s="68" t="n"/>
      <c r="I131" s="68" t="n"/>
      <c r="J131" s="67" t="n"/>
      <c r="K131" s="67" t="n"/>
      <c r="L131" s="67" t="n"/>
      <c r="M131" s="67" t="n"/>
      <c r="N131" s="67" t="n"/>
      <c r="O131" s="67" t="n"/>
    </row>
    <row r="132" ht="32.8" customHeight="1" s="45">
      <c r="A132" s="63" t="inlineStr">
        <is>
          <t>Q-2.8</t>
        </is>
      </c>
      <c r="B132" s="68" t="inlineStr">
        <is>
          <t>II Engineering quality</t>
        </is>
      </c>
      <c r="C132" s="68" t="inlineStr">
        <is>
          <t>8.2 Test suite integrity</t>
        </is>
      </c>
      <c r="D132" s="68" t="inlineStr">
        <is>
          <t>The ratchet is decomposed by invariant kind — golden, structural, injection, unit, trivially true — and its growth set beside code growth</t>
        </is>
      </c>
      <c r="E132" s="68" t="inlineStr">
        <is>
          <t>Standards 8.2; Appendix G</t>
        </is>
      </c>
      <c r="F132" s="68" t="inlineStr">
        <is>
          <t>Manifest analysis</t>
        </is>
      </c>
      <c r="G132" s="68" t="inlineStr">
        <is>
          <t>A floor raised by invariants that assert constants or duplicate each other</t>
        </is>
      </c>
      <c r="H132" s="68" t="n"/>
      <c r="I132" s="68" t="n"/>
      <c r="J132" s="67" t="n"/>
      <c r="K132" s="67" t="n"/>
      <c r="L132" s="67" t="n"/>
      <c r="M132" s="67" t="n"/>
      <c r="N132" s="67" t="n"/>
      <c r="O132" s="67" t="n"/>
    </row>
    <row r="133" ht="22.35" customHeight="1" s="45">
      <c r="A133" s="63" t="inlineStr">
        <is>
          <t>Q-2.9</t>
        </is>
      </c>
      <c r="B133" s="68" t="inlineStr">
        <is>
          <t>II Engineering quality</t>
        </is>
      </c>
      <c r="C133" s="68" t="inlineStr">
        <is>
          <t>8.2 Test suite integrity</t>
        </is>
      </c>
      <c r="D133" s="68" t="inlineStr">
        <is>
          <t>Tests touch no network, wall clock or shared state</t>
        </is>
      </c>
      <c r="E133" s="68" t="inlineStr">
        <is>
          <t>Standards 8.2; Appendix G</t>
        </is>
      </c>
      <c r="F133" s="68" t="inlineStr">
        <is>
          <t>Scan + sandboxed run</t>
        </is>
      </c>
      <c r="G133" s="68" t="inlineStr">
        <is>
          <t>A test that passes only with network or on a given date</t>
        </is>
      </c>
      <c r="H133" s="68" t="n"/>
      <c r="I133" s="68" t="n"/>
      <c r="J133" s="67" t="n"/>
      <c r="K133" s="67" t="n"/>
      <c r="L133" s="67" t="n"/>
      <c r="M133" s="67" t="n"/>
      <c r="N133" s="67" t="n"/>
      <c r="O133" s="67" t="n"/>
    </row>
    <row r="134" ht="22.35" customHeight="1" s="45">
      <c r="A134" s="63" t="inlineStr">
        <is>
          <t>Q-2.10</t>
        </is>
      </c>
      <c r="B134" s="68" t="inlineStr">
        <is>
          <t>II Engineering quality</t>
        </is>
      </c>
      <c r="C134" s="68" t="inlineStr">
        <is>
          <t>8.2 Test suite integrity</t>
        </is>
      </c>
      <c r="D134" s="68" t="inlineStr">
        <is>
          <t>For every V2 negative scan, the auditor plants a violating call site in the isolated clone and the scan goes RED</t>
        </is>
      </c>
      <c r="E134" s="68" t="inlineStr">
        <is>
          <t>Standards 8.2; Appendix G</t>
        </is>
      </c>
      <c r="F134" s="68" t="inlineStr">
        <is>
          <t>Re-performance</t>
        </is>
      </c>
      <c r="G134" s="68" t="inlineStr">
        <is>
          <t>A scan that stays green over a planted violation</t>
        </is>
      </c>
      <c r="H134" s="68" t="n"/>
      <c r="I134" s="68" t="n"/>
      <c r="J134" s="67" t="n"/>
      <c r="K134" s="67" t="n"/>
      <c r="L134" s="67" t="n"/>
      <c r="M134" s="67" t="n"/>
      <c r="N134" s="67" t="n"/>
      <c r="O134" s="67" t="n"/>
    </row>
    <row r="135" ht="32.8" customHeight="1" s="45">
      <c r="A135" s="63" t="inlineStr">
        <is>
          <t>Q-3.1</t>
        </is>
      </c>
      <c r="B135" s="68" t="inlineStr">
        <is>
          <t>II Engineering quality</t>
        </is>
      </c>
      <c r="C135" s="68" t="inlineStr">
        <is>
          <t>8.3 Static quality</t>
        </is>
      </c>
      <c r="D135" s="68" t="inlineStr">
        <is>
          <t>Linter and type checker pass at the project’s own configured strictness; every suppression (noqa, type: ignore, eslint-disable) is inventoried with its reason</t>
        </is>
      </c>
      <c r="E135" s="68" t="inlineStr">
        <is>
          <t>Standards 8.3; Appendix G</t>
        </is>
      </c>
      <c r="F135" s="68" t="inlineStr">
        <is>
          <t>Tool run + scan</t>
        </is>
      </c>
      <c r="G135" s="68" t="inlineStr">
        <is>
          <t>Errors at the audit target; suppressions with no reason</t>
        </is>
      </c>
      <c r="H135" s="68" t="n"/>
      <c r="I135" s="68" t="n"/>
      <c r="J135" s="67" t="n"/>
      <c r="K135" s="67" t="n"/>
      <c r="L135" s="67" t="n"/>
      <c r="M135" s="67" t="n"/>
      <c r="N135" s="67" t="n"/>
      <c r="O135" s="67" t="n"/>
    </row>
    <row r="136" ht="22.35" customHeight="1" s="45">
      <c r="A136" s="63" t="inlineStr">
        <is>
          <t>Q-3.2</t>
        </is>
      </c>
      <c r="B136" s="68" t="inlineStr">
        <is>
          <t>II Engineering quality</t>
        </is>
      </c>
      <c r="C136" s="68" t="inlineStr">
        <is>
          <t>8.3 Static quality</t>
        </is>
      </c>
      <c r="D136" s="68" t="inlineStr">
        <is>
          <t>Cyclomatic complexity and length per function, against Appendix G</t>
        </is>
      </c>
      <c r="E136" s="68" t="inlineStr">
        <is>
          <t>Standards 8.3; Appendix G</t>
        </is>
      </c>
      <c r="F136" s="68" t="inlineStr">
        <is>
          <t>Tool run</t>
        </is>
      </c>
      <c r="G136" s="68" t="inlineStr">
        <is>
          <t>A TCB function above the threshold</t>
        </is>
      </c>
      <c r="H136" s="68" t="n"/>
      <c r="I136" s="68" t="n"/>
      <c r="J136" s="67" t="n"/>
      <c r="K136" s="67" t="n"/>
      <c r="L136" s="67" t="n"/>
      <c r="M136" s="67" t="n"/>
      <c r="N136" s="67" t="n"/>
      <c r="O136" s="67" t="n"/>
    </row>
    <row r="137" ht="22.35" customHeight="1" s="45">
      <c r="A137" s="63" t="inlineStr">
        <is>
          <t>Q-3.3</t>
        </is>
      </c>
      <c r="B137" s="68" t="inlineStr">
        <is>
          <t>II Engineering quality</t>
        </is>
      </c>
      <c r="C137" s="68" t="inlineStr">
        <is>
          <t>8.3 Static quality</t>
        </is>
      </c>
      <c r="D137" s="68" t="inlineStr">
        <is>
          <t>Duplicated blocks, against Appendix G</t>
        </is>
      </c>
      <c r="E137" s="68" t="inlineStr">
        <is>
          <t>Standards 8.3; Appendix G</t>
        </is>
      </c>
      <c r="F137" s="68" t="inlineStr">
        <is>
          <t>Tool run</t>
        </is>
      </c>
      <c r="G137" s="68" t="inlineStr">
        <is>
          <t>The same logic maintained in three places</t>
        </is>
      </c>
      <c r="H137" s="68" t="n"/>
      <c r="I137" s="68" t="n"/>
      <c r="J137" s="67" t="n"/>
      <c r="K137" s="67" t="n"/>
      <c r="L137" s="67" t="n"/>
      <c r="M137" s="67" t="n"/>
      <c r="N137" s="67" t="n"/>
      <c r="O137" s="67" t="n"/>
    </row>
    <row r="138" ht="22.35" customHeight="1" s="45">
      <c r="A138" s="63" t="inlineStr">
        <is>
          <t>Q-3.4</t>
        </is>
      </c>
      <c r="B138" s="68" t="inlineStr">
        <is>
          <t>II Engineering quality</t>
        </is>
      </c>
      <c r="C138" s="68" t="inlineStr">
        <is>
          <t>8.3 Static quality</t>
        </is>
      </c>
      <c r="D138" s="68" t="inlineStr">
        <is>
          <t>Unreferenced modules, functions, routes, feature flags and configuration keys</t>
        </is>
      </c>
      <c r="E138" s="68" t="inlineStr">
        <is>
          <t>Standards 8.3; Appendix G</t>
        </is>
      </c>
      <c r="F138" s="68" t="inlineStr">
        <is>
          <t>Reachability analysis</t>
        </is>
      </c>
      <c r="G138" s="68" t="inlineStr">
        <is>
          <t>Code nothing calls</t>
        </is>
      </c>
      <c r="H138" s="68" t="n"/>
      <c r="I138" s="68" t="n"/>
      <c r="J138" s="67" t="n"/>
      <c r="K138" s="67" t="n"/>
      <c r="L138" s="67" t="n"/>
      <c r="M138" s="67" t="n"/>
      <c r="N138" s="67" t="n"/>
      <c r="O138" s="67" t="n"/>
    </row>
    <row r="139" ht="22.35" customHeight="1" s="45">
      <c r="A139" s="63" t="inlineStr">
        <is>
          <t>Q-3.5</t>
        </is>
      </c>
      <c r="B139" s="68" t="inlineStr">
        <is>
          <t>II Engineering quality</t>
        </is>
      </c>
      <c r="C139" s="68" t="inlineStr">
        <is>
          <t>8.3 Static quality</t>
        </is>
      </c>
      <c r="D139" s="68" t="inlineStr">
        <is>
          <t>Module boundaries and dependency direction match the architecture the SER describes; no import cycles</t>
        </is>
      </c>
      <c r="E139" s="68" t="inlineStr">
        <is>
          <t>Standards 8.3; Appendix G</t>
        </is>
      </c>
      <c r="F139" s="68" t="inlineStr">
        <is>
          <t>Import graph</t>
        </is>
      </c>
      <c r="G139" s="68" t="inlineStr">
        <is>
          <t>A lower layer importing a higher one; a cycle through the chokepoint</t>
        </is>
      </c>
      <c r="H139" s="68" t="n"/>
      <c r="I139" s="68" t="n"/>
      <c r="J139" s="67" t="n"/>
      <c r="K139" s="67" t="n"/>
      <c r="L139" s="67" t="n"/>
      <c r="M139" s="67" t="n"/>
      <c r="N139" s="67" t="n"/>
      <c r="O139" s="67" t="n"/>
    </row>
    <row r="140" ht="22.35" customHeight="1" s="45">
      <c r="A140" s="63" t="inlineStr">
        <is>
          <t>Q-3.6</t>
        </is>
      </c>
      <c r="B140" s="68" t="inlineStr">
        <is>
          <t>II Engineering quality</t>
        </is>
      </c>
      <c r="C140" s="68" t="inlineStr">
        <is>
          <t>8.3 Static quality</t>
        </is>
      </c>
      <c r="D140" s="68" t="inlineStr">
        <is>
          <t>One idiom per concern — configuration, errors, HTTP client, logging, time</t>
        </is>
      </c>
      <c r="E140" s="68" t="inlineStr">
        <is>
          <t>Standards 8.3; Appendix G</t>
        </is>
      </c>
      <c r="F140" s="68" t="inlineStr">
        <is>
          <t>Reading</t>
        </is>
      </c>
      <c r="G140" s="68" t="inlineStr">
        <is>
          <t>Three error styles in one service</t>
        </is>
      </c>
      <c r="H140" s="68" t="n"/>
      <c r="I140" s="68" t="n"/>
      <c r="J140" s="67" t="n"/>
      <c r="K140" s="67" t="n"/>
      <c r="L140" s="67" t="n"/>
      <c r="M140" s="67" t="n"/>
      <c r="N140" s="67" t="n"/>
      <c r="O140" s="67" t="n"/>
    </row>
    <row r="141" ht="22.35" customHeight="1" s="45">
      <c r="A141" s="63" t="inlineStr">
        <is>
          <t>Q-3.7</t>
        </is>
      </c>
      <c r="B141" s="68" t="inlineStr">
        <is>
          <t>II Engineering quality</t>
        </is>
      </c>
      <c r="C141" s="68" t="inlineStr">
        <is>
          <t>8.3 Static quality</t>
        </is>
      </c>
      <c r="D141" s="68" t="inlineStr">
        <is>
          <t>Public interfaces are typed and match the frozen schemas under contracts/</t>
        </is>
      </c>
      <c r="E141" s="68" t="inlineStr">
        <is>
          <t>Standards 8.3; Appendix G</t>
        </is>
      </c>
      <c r="F141" s="68" t="inlineStr">
        <is>
          <t>Schema diff</t>
        </is>
      </c>
      <c r="G141" s="68" t="inlineStr">
        <is>
          <t>An endpoint that departs from its pinned contract</t>
        </is>
      </c>
      <c r="H141" s="68" t="n"/>
      <c r="I141" s="68" t="n"/>
      <c r="J141" s="67" t="n"/>
      <c r="K141" s="67" t="n"/>
      <c r="L141" s="67" t="n"/>
      <c r="M141" s="67" t="n"/>
      <c r="N141" s="67" t="n"/>
      <c r="O141" s="67" t="n"/>
    </row>
    <row r="142" ht="32.8" customHeight="1" s="45">
      <c r="A142" s="63" t="inlineStr">
        <is>
          <t>Q-4.1</t>
        </is>
      </c>
      <c r="B142" s="68" t="inlineStr">
        <is>
          <t>II Engineering quality</t>
        </is>
      </c>
      <c r="C142" s="68" t="inlineStr">
        <is>
          <t>8.4 Slop indicators</t>
        </is>
      </c>
      <c r="D142" s="68" t="inlineStr">
        <is>
          <t>Placeholders on reachable paths: pass, NotImplemented, TODO, FIXME, a hard-coded return, identifiers containing mock, fake, dummy, sample or placeholder outside tests</t>
        </is>
      </c>
      <c r="E142" s="68" t="inlineStr">
        <is>
          <t>Standards 8.4; Appendix G</t>
        </is>
      </c>
      <c r="F142" s="68" t="inlineStr">
        <is>
          <t>Scan + reachability</t>
        </is>
      </c>
      <c r="G142" s="68" t="inlineStr">
        <is>
          <t>A stub a request can reach</t>
        </is>
      </c>
      <c r="H142" s="68" t="n"/>
      <c r="I142" s="68" t="n"/>
      <c r="J142" s="67" t="n"/>
      <c r="K142" s="67" t="n"/>
      <c r="L142" s="67" t="n"/>
      <c r="M142" s="67" t="n"/>
      <c r="N142" s="67" t="n"/>
      <c r="O142" s="67" t="n"/>
    </row>
    <row r="143" ht="22.35" customHeight="1" s="45">
      <c r="A143" s="63" t="inlineStr">
        <is>
          <t>Q-4.2</t>
        </is>
      </c>
      <c r="B143" s="68" t="inlineStr">
        <is>
          <t>II Engineering quality</t>
        </is>
      </c>
      <c r="C143" s="68" t="inlineStr">
        <is>
          <t>8.4 Slop indicators</t>
        </is>
      </c>
      <c r="D143" s="68" t="inlineStr">
        <is>
          <t>Parallel implementations: _v2, _new, _old, copied modules, near-duplicate functions</t>
        </is>
      </c>
      <c r="E143" s="68" t="inlineStr">
        <is>
          <t>Standards 8.4; Appendix G</t>
        </is>
      </c>
      <c r="F143" s="68" t="inlineStr">
        <is>
          <t>Scan + similarity</t>
        </is>
      </c>
      <c r="G143" s="68" t="inlineStr">
        <is>
          <t>Two live versions of one function</t>
        </is>
      </c>
      <c r="H143" s="68" t="n"/>
      <c r="I143" s="68" t="n"/>
      <c r="J143" s="67" t="n"/>
      <c r="K143" s="67" t="n"/>
      <c r="L143" s="67" t="n"/>
      <c r="M143" s="67" t="n"/>
      <c r="N143" s="67" t="n"/>
      <c r="O143" s="67" t="n"/>
    </row>
    <row r="144" ht="32.8" customHeight="1" s="45">
      <c r="A144" s="63" t="inlineStr">
        <is>
          <t>Q-4.3</t>
        </is>
      </c>
      <c r="B144" s="68" t="inlineStr">
        <is>
          <t>II Engineering quality</t>
        </is>
      </c>
      <c r="C144" s="68" t="inlineStr">
        <is>
          <t>8.4 Slop indicators</t>
        </is>
      </c>
      <c r="D144" s="68" t="inlineStr">
        <is>
          <t>Comments and docstrings are true: none describes behaviour the code lacks, none merely narrates; no document claims a capability with no implementation</t>
        </is>
      </c>
      <c r="E144" s="68" t="inlineStr">
        <is>
          <t>Standards 8.4; Appendix G</t>
        </is>
      </c>
      <c r="F144" s="68" t="inlineStr">
        <is>
          <t>Reading</t>
        </is>
      </c>
      <c r="G144" s="68" t="inlineStr">
        <is>
          <t>A docstring that contradicts its function; a README feature that does not exist</t>
        </is>
      </c>
      <c r="H144" s="68" t="n"/>
      <c r="I144" s="68" t="n"/>
      <c r="J144" s="67" t="n"/>
      <c r="K144" s="67" t="n"/>
      <c r="L144" s="67" t="n"/>
      <c r="M144" s="67" t="n"/>
      <c r="N144" s="67" t="n"/>
      <c r="O144" s="67" t="n"/>
    </row>
    <row r="145" ht="32.8" customHeight="1" s="45">
      <c r="A145" s="63" t="inlineStr">
        <is>
          <t>Q-4.4</t>
        </is>
      </c>
      <c r="B145" s="68" t="inlineStr">
        <is>
          <t>II Engineering quality</t>
        </is>
      </c>
      <c r="C145" s="68" t="inlineStr">
        <is>
          <t>8.4 Slop indicators</t>
        </is>
      </c>
      <c r="D145" s="68" t="inlineStr">
        <is>
          <t>Phantom references: unused or non-existent imports, manifest dependencies never imported, calls to signatures that do not exist</t>
        </is>
      </c>
      <c r="E145" s="68" t="inlineStr">
        <is>
          <t>Standards 8.4; Appendix G</t>
        </is>
      </c>
      <c r="F145" s="68" t="inlineStr">
        <is>
          <t>Tool run</t>
        </is>
      </c>
      <c r="G145" s="68" t="inlineStr">
        <is>
          <t>A dependency nobody uses; a call that can only fail at run time</t>
        </is>
      </c>
      <c r="H145" s="68" t="n"/>
      <c r="I145" s="68" t="n"/>
      <c r="J145" s="67" t="n"/>
      <c r="K145" s="67" t="n"/>
      <c r="L145" s="67" t="n"/>
      <c r="M145" s="67" t="n"/>
      <c r="N145" s="67" t="n"/>
      <c r="O145" s="67" t="n"/>
    </row>
    <row r="146" ht="22.35" customHeight="1" s="45">
      <c r="A146" s="63" t="inlineStr">
        <is>
          <t>Q-4.5</t>
        </is>
      </c>
      <c r="B146" s="68" t="inlineStr">
        <is>
          <t>II Engineering quality</t>
        </is>
      </c>
      <c r="C146" s="68" t="inlineStr">
        <is>
          <t>8.4 Slop indicators</t>
        </is>
      </c>
      <c r="D146" s="68" t="inlineStr">
        <is>
          <t>Hollow abstractions: an interface with one implementation and no test seam, a pass-through wrapper, an unused parameter</t>
        </is>
      </c>
      <c r="E146" s="68" t="inlineStr">
        <is>
          <t>Standards 8.4; Appendix G</t>
        </is>
      </c>
      <c r="F146" s="68" t="inlineStr">
        <is>
          <t>Reading</t>
        </is>
      </c>
      <c r="G146" s="68" t="inlineStr">
        <is>
          <t>Indirection that carries nothing</t>
        </is>
      </c>
      <c r="H146" s="68" t="n"/>
      <c r="I146" s="68" t="n"/>
      <c r="J146" s="67" t="n"/>
      <c r="K146" s="67" t="n"/>
      <c r="L146" s="67" t="n"/>
      <c r="M146" s="67" t="n"/>
      <c r="N146" s="67" t="n"/>
      <c r="O146" s="67" t="n"/>
    </row>
    <row r="147" ht="22.35" customHeight="1" s="45">
      <c r="A147" s="63" t="inlineStr">
        <is>
          <t>Q-4.6</t>
        </is>
      </c>
      <c r="B147" s="68" t="inlineStr">
        <is>
          <t>II Engineering quality</t>
        </is>
      </c>
      <c r="C147" s="68" t="inlineStr">
        <is>
          <t>8.4 Slop indicators</t>
        </is>
      </c>
      <c r="D147" s="68" t="inlineStr">
        <is>
          <t>Copy artefacts: identifiers, strings or comments from an unrelated context; stale names after a rename</t>
        </is>
      </c>
      <c r="E147" s="68" t="inlineStr">
        <is>
          <t>Standards 8.4; Appendix G</t>
        </is>
      </c>
      <c r="F147" s="68" t="inlineStr">
        <is>
          <t>Reading</t>
        </is>
      </c>
      <c r="G147" s="68" t="inlineStr">
        <is>
          <t>A module that still names the thing it was copied from</t>
        </is>
      </c>
      <c r="H147" s="68" t="n"/>
      <c r="I147" s="68" t="n"/>
      <c r="J147" s="67" t="n"/>
      <c r="K147" s="67" t="n"/>
      <c r="L147" s="67" t="n"/>
      <c r="M147" s="67" t="n"/>
      <c r="N147" s="67" t="n"/>
      <c r="O147" s="67" t="n"/>
    </row>
    <row r="148" ht="22.35" customHeight="1" s="45">
      <c r="A148" s="63" t="inlineStr">
        <is>
          <t>Q-4.7</t>
        </is>
      </c>
      <c r="B148" s="68" t="inlineStr">
        <is>
          <t>II Engineering quality</t>
        </is>
      </c>
      <c r="C148" s="68" t="inlineStr">
        <is>
          <t>8.4 Slop indicators</t>
        </is>
      </c>
      <c r="D148" s="68" t="inlineStr">
        <is>
          <t>Debug residue: print and console.log, commented-out blocks, scratch files, large generated files under version control</t>
        </is>
      </c>
      <c r="E148" s="68" t="inlineStr">
        <is>
          <t>Standards 8.4; Appendix G</t>
        </is>
      </c>
      <c r="F148" s="68" t="inlineStr">
        <is>
          <t>Scan</t>
        </is>
      </c>
      <c r="G148" s="68" t="inlineStr">
        <is>
          <t>Any of these at the audit target</t>
        </is>
      </c>
      <c r="H148" s="68" t="n"/>
      <c r="I148" s="68" t="n"/>
      <c r="J148" s="67" t="n"/>
      <c r="K148" s="67" t="n"/>
      <c r="L148" s="67" t="n"/>
      <c r="M148" s="67" t="n"/>
      <c r="N148" s="67" t="n"/>
      <c r="O148" s="67" t="n"/>
    </row>
    <row r="149" ht="22.35" customHeight="1" s="45">
      <c r="A149" s="63" t="inlineStr">
        <is>
          <t>Q-4.8</t>
        </is>
      </c>
      <c r="B149" s="68" t="inlineStr">
        <is>
          <t>II Engineering quality</t>
        </is>
      </c>
      <c r="C149" s="68" t="inlineStr">
        <is>
          <t>8.4 Slop indicators</t>
        </is>
      </c>
      <c r="D149" s="68" t="inlineStr">
        <is>
          <t>Tests that mirror the implementation — the expected value computed by the same logic as the code</t>
        </is>
      </c>
      <c r="E149" s="68" t="inlineStr">
        <is>
          <t>Standards 8.4; Appendix G</t>
        </is>
      </c>
      <c r="F149" s="68" t="inlineStr">
        <is>
          <t>Reading</t>
        </is>
      </c>
      <c r="G149" s="68" t="inlineStr">
        <is>
          <t>A test that would pass whatever the function did</t>
        </is>
      </c>
      <c r="H149" s="68" t="n"/>
      <c r="I149" s="68" t="n"/>
      <c r="J149" s="67" t="n"/>
      <c r="K149" s="67" t="n"/>
      <c r="L149" s="67" t="n"/>
      <c r="M149" s="67" t="n"/>
      <c r="N149" s="67" t="n"/>
      <c r="O149" s="67" t="n"/>
    </row>
    <row r="150" ht="22.35" customHeight="1" s="45">
      <c r="A150" s="63" t="inlineStr">
        <is>
          <t>Q-5.1</t>
        </is>
      </c>
      <c r="B150" s="68" t="inlineStr">
        <is>
          <t>II Engineering quality</t>
        </is>
      </c>
      <c r="C150" s="68" t="inlineStr">
        <is>
          <t>8.5 Error handling and failure idiom</t>
        </is>
      </c>
      <c r="D150" s="68" t="inlineStr">
        <is>
          <t>Bare or broad exception handlers, swallowed exceptions, an error converted to a default value</t>
        </is>
      </c>
      <c r="E150" s="68" t="inlineStr">
        <is>
          <t>Standards 8.5; Appendix G</t>
        </is>
      </c>
      <c r="F150" s="68" t="inlineStr">
        <is>
          <t>AST scan</t>
        </is>
      </c>
      <c r="G150" s="68" t="inlineStr">
        <is>
          <t>except: pass; return True on error</t>
        </is>
      </c>
      <c r="H150" s="68" t="n"/>
      <c r="I150" s="68" t="n"/>
      <c r="J150" s="67" t="n"/>
      <c r="K150" s="67" t="n"/>
      <c r="L150" s="67" t="n"/>
      <c r="M150" s="67" t="n"/>
      <c r="N150" s="67" t="n"/>
      <c r="O150" s="67" t="n"/>
    </row>
    <row r="151" ht="22.35" customHeight="1" s="45">
      <c r="A151" s="63" t="inlineStr">
        <is>
          <t>Q-5.2</t>
        </is>
      </c>
      <c r="B151" s="68" t="inlineStr">
        <is>
          <t>II Engineering quality</t>
        </is>
      </c>
      <c r="C151" s="68" t="inlineStr">
        <is>
          <t>8.5 Error handling and failure idiom</t>
        </is>
      </c>
      <c r="D151" s="68" t="inlineStr">
        <is>
          <t>Fail-open defaults on any decision path: default-allow, an Optional with a permissive default</t>
        </is>
      </c>
      <c r="E151" s="68" t="inlineStr">
        <is>
          <t>Standards 8.5; Appendix G</t>
        </is>
      </c>
      <c r="F151" s="68" t="inlineStr">
        <is>
          <t>Scan + reading</t>
        </is>
      </c>
      <c r="G151" s="68" t="inlineStr">
        <is>
          <t>A gate that opens when its input is missing</t>
        </is>
      </c>
      <c r="H151" s="68" t="n"/>
      <c r="I151" s="68" t="n"/>
      <c r="J151" s="67" t="n"/>
      <c r="K151" s="67" t="n"/>
      <c r="L151" s="67" t="n"/>
      <c r="M151" s="67" t="n"/>
      <c r="N151" s="67" t="n"/>
      <c r="O151" s="67" t="n"/>
    </row>
    <row r="152" ht="22.35" customHeight="1" s="45">
      <c r="A152" s="63" t="inlineStr">
        <is>
          <t>Q-5.3</t>
        </is>
      </c>
      <c r="B152" s="68" t="inlineStr">
        <is>
          <t>II Engineering quality</t>
        </is>
      </c>
      <c r="C152" s="68" t="inlineStr">
        <is>
          <t>8.5 Error handling and failure idiom</t>
        </is>
      </c>
      <c r="D152" s="68" t="inlineStr">
        <is>
          <t>Every external call has a timeout, bounded retry and backoff</t>
        </is>
      </c>
      <c r="E152" s="68" t="inlineStr">
        <is>
          <t>Standards 8.5; Appendix G</t>
        </is>
      </c>
      <c r="F152" s="68" t="inlineStr">
        <is>
          <t>Scan</t>
        </is>
      </c>
      <c r="G152" s="68" t="inlineStr">
        <is>
          <t>An unbounded wait or retry</t>
        </is>
      </c>
      <c r="H152" s="68" t="n"/>
      <c r="I152" s="68" t="n"/>
      <c r="J152" s="67" t="n"/>
      <c r="K152" s="67" t="n"/>
      <c r="L152" s="67" t="n"/>
      <c r="M152" s="67" t="n"/>
      <c r="N152" s="67" t="n"/>
      <c r="O152" s="67" t="n"/>
    </row>
    <row r="153" ht="22.35" customHeight="1" s="45">
      <c r="A153" s="63" t="inlineStr">
        <is>
          <t>Q-5.4</t>
        </is>
      </c>
      <c r="B153" s="68" t="inlineStr">
        <is>
          <t>II Engineering quality</t>
        </is>
      </c>
      <c r="C153" s="68" t="inlineStr">
        <is>
          <t>8.5 Error handling and failure idiom</t>
        </is>
      </c>
      <c r="D153" s="68" t="inlineStr">
        <is>
          <t>Connections, files and locks are released; no unbounded queue or cache</t>
        </is>
      </c>
      <c r="E153" s="68" t="inlineStr">
        <is>
          <t>Standards 8.5; Appendix G</t>
        </is>
      </c>
      <c r="F153" s="68" t="inlineStr">
        <is>
          <t>Reading + soak</t>
        </is>
      </c>
      <c r="G153" s="68" t="inlineStr">
        <is>
          <t>A leak under sustained load</t>
        </is>
      </c>
      <c r="H153" s="68" t="n"/>
      <c r="I153" s="68" t="n"/>
      <c r="J153" s="67" t="n"/>
      <c r="K153" s="67" t="n"/>
      <c r="L153" s="67" t="n"/>
      <c r="M153" s="67" t="n"/>
      <c r="N153" s="67" t="n"/>
      <c r="O153" s="67" t="n"/>
    </row>
    <row r="154" ht="22.35" customHeight="1" s="45">
      <c r="A154" s="63" t="inlineStr">
        <is>
          <t>Q-5.5</t>
        </is>
      </c>
      <c r="B154" s="68" t="inlineStr">
        <is>
          <t>II Engineering quality</t>
        </is>
      </c>
      <c r="C154" s="68" t="inlineStr">
        <is>
          <t>8.5 Error handling and failure idiom</t>
        </is>
      </c>
      <c r="D154" s="68" t="inlineStr">
        <is>
          <t>Errors returned to callers carry no internals; no stack trace reaches a surface</t>
        </is>
      </c>
      <c r="E154" s="68" t="inlineStr">
        <is>
          <t>Standards 8.5; Appendix G</t>
        </is>
      </c>
      <c r="F154" s="68" t="inlineStr">
        <is>
          <t>Re-performance</t>
        </is>
      </c>
      <c r="G154" s="68" t="inlineStr">
        <is>
          <t>A traceback in a response body</t>
        </is>
      </c>
      <c r="H154" s="68" t="n"/>
      <c r="I154" s="68" t="n"/>
      <c r="J154" s="67" t="n"/>
      <c r="K154" s="67" t="n"/>
      <c r="L154" s="67" t="n"/>
      <c r="M154" s="67" t="n"/>
      <c r="N154" s="67" t="n"/>
      <c r="O154" s="67" t="n"/>
    </row>
    <row r="155" ht="32.8" customHeight="1" s="45">
      <c r="A155" s="63" t="inlineStr">
        <is>
          <t>Q-5.6</t>
        </is>
      </c>
      <c r="B155" s="68" t="inlineStr">
        <is>
          <t>II Engineering quality</t>
        </is>
      </c>
      <c r="C155" s="68" t="inlineStr">
        <is>
          <t>8.5 Error handling and failure idiom</t>
        </is>
      </c>
      <c r="D155" s="68" t="inlineStr">
        <is>
          <t>Concurrency: the single Ledger writer under concurrent callers; allowance recomputation under concurrent debits; retries are idempotent</t>
        </is>
      </c>
      <c r="E155" s="68" t="inlineStr">
        <is>
          <t>Standards 8.5; Appendix G</t>
        </is>
      </c>
      <c r="F155" s="68" t="inlineStr">
        <is>
          <t>Concurrent test, isolated</t>
        </is>
      </c>
      <c r="G155" s="68" t="inlineStr">
        <is>
          <t>A lost or duplicated row; a double debit</t>
        </is>
      </c>
      <c r="H155" s="68" t="n"/>
      <c r="I155" s="68" t="n"/>
      <c r="J155" s="67" t="n"/>
      <c r="K155" s="67" t="n"/>
      <c r="L155" s="67" t="n"/>
      <c r="M155" s="67" t="n"/>
      <c r="N155" s="67" t="n"/>
      <c r="O155" s="67" t="n"/>
    </row>
    <row r="156" ht="22.35" customHeight="1" s="45">
      <c r="A156" s="63" t="inlineStr">
        <is>
          <t>Q-6.1</t>
        </is>
      </c>
      <c r="B156" s="68" t="inlineStr">
        <is>
          <t>II Engineering quality</t>
        </is>
      </c>
      <c r="C156" s="68" t="inlineStr">
        <is>
          <t>8.6 Security hygiene</t>
        </is>
      </c>
      <c r="D156" s="68" t="inlineStr">
        <is>
          <t>Secrets scan across the full history of both branches</t>
        </is>
      </c>
      <c r="E156" s="68" t="inlineStr">
        <is>
          <t>Standards 8.6; Appendix G</t>
        </is>
      </c>
      <c r="F156" s="68" t="inlineStr">
        <is>
          <t>Tool run</t>
        </is>
      </c>
      <c r="G156" s="68" t="inlineStr">
        <is>
          <t>A live credential in any commit</t>
        </is>
      </c>
      <c r="H156" s="68" t="n"/>
      <c r="I156" s="68" t="n"/>
      <c r="J156" s="67" t="n"/>
      <c r="K156" s="67" t="n"/>
      <c r="L156" s="67" t="n"/>
      <c r="M156" s="67" t="n"/>
      <c r="N156" s="67" t="n"/>
      <c r="O156" s="67" t="n"/>
    </row>
    <row r="157" ht="22.35" customHeight="1" s="45">
      <c r="A157" s="63" t="inlineStr">
        <is>
          <t>Q-6.2</t>
        </is>
      </c>
      <c r="B157" s="68" t="inlineStr">
        <is>
          <t>II Engineering quality</t>
        </is>
      </c>
      <c r="C157" s="68" t="inlineStr">
        <is>
          <t>8.6 Security hygiene</t>
        </is>
      </c>
      <c r="D157" s="68" t="inlineStr">
        <is>
          <t>Dependency vulnerabilities and licences at the audit target</t>
        </is>
      </c>
      <c r="E157" s="68" t="inlineStr">
        <is>
          <t>Standards 8.6; Appendix G</t>
        </is>
      </c>
      <c r="F157" s="68" t="inlineStr">
        <is>
          <t>SCA run</t>
        </is>
      </c>
      <c r="G157" s="68" t="inlineStr">
        <is>
          <t>A known-exploitable dependency; a licence the owner has not accepted</t>
        </is>
      </c>
      <c r="H157" s="68" t="n"/>
      <c r="I157" s="68" t="n"/>
      <c r="J157" s="67" t="n"/>
      <c r="K157" s="67" t="n"/>
      <c r="L157" s="67" t="n"/>
      <c r="M157" s="67" t="n"/>
      <c r="N157" s="67" t="n"/>
      <c r="O157" s="67" t="n"/>
    </row>
    <row r="158" ht="22.35" customHeight="1" s="45">
      <c r="A158" s="63" t="inlineStr">
        <is>
          <t>Q-6.3</t>
        </is>
      </c>
      <c r="B158" s="68" t="inlineStr">
        <is>
          <t>II Engineering quality</t>
        </is>
      </c>
      <c r="C158" s="68" t="inlineStr">
        <is>
          <t>8.6 Security hygiene</t>
        </is>
      </c>
      <c r="D158" s="68" t="inlineStr">
        <is>
          <t>Static security analysis, with injection, deserialisation, path traversal and SSRF read by hand around the chokepoint</t>
        </is>
      </c>
      <c r="E158" s="68" t="inlineStr">
        <is>
          <t>Standards 8.6; Appendix G</t>
        </is>
      </c>
      <c r="F158" s="68" t="inlineStr">
        <is>
          <t>SAST + reading</t>
        </is>
      </c>
      <c r="G158" s="68" t="inlineStr">
        <is>
          <t>A tainted input reaching a sink</t>
        </is>
      </c>
      <c r="H158" s="68" t="n"/>
      <c r="I158" s="68" t="n"/>
      <c r="J158" s="67" t="n"/>
      <c r="K158" s="67" t="n"/>
      <c r="L158" s="67" t="n"/>
      <c r="M158" s="67" t="n"/>
      <c r="N158" s="67" t="n"/>
      <c r="O158" s="67" t="n"/>
    </row>
    <row r="159" ht="22.35" customHeight="1" s="45">
      <c r="A159" s="63" t="inlineStr">
        <is>
          <t>Q-6.4</t>
        </is>
      </c>
      <c r="B159" s="68" t="inlineStr">
        <is>
          <t>II Engineering quality</t>
        </is>
      </c>
      <c r="C159" s="68" t="inlineStr">
        <is>
          <t>8.6 Security hygiene</t>
        </is>
      </c>
      <c r="D159" s="68" t="inlineStr">
        <is>
          <t>An inventory of every route with its authentication and authorisation</t>
        </is>
      </c>
      <c r="E159" s="68" t="inlineStr">
        <is>
          <t>Standards 8.6; Appendix G</t>
        </is>
      </c>
      <c r="F159" s="68" t="inlineStr">
        <is>
          <t>Route enumeration</t>
        </is>
      </c>
      <c r="G159" s="68" t="inlineStr">
        <is>
          <t>An unauthenticated route nobody listed</t>
        </is>
      </c>
      <c r="H159" s="68" t="n"/>
      <c r="I159" s="68" t="n"/>
      <c r="J159" s="67" t="n"/>
      <c r="K159" s="67" t="n"/>
      <c r="L159" s="67" t="n"/>
      <c r="M159" s="67" t="n"/>
      <c r="N159" s="67" t="n"/>
      <c r="O159" s="67" t="n"/>
    </row>
    <row r="160" ht="22.35" customHeight="1" s="45">
      <c r="A160" s="63" t="inlineStr">
        <is>
          <t>Q-6.5</t>
        </is>
      </c>
      <c r="B160" s="68" t="inlineStr">
        <is>
          <t>II Engineering quality</t>
        </is>
      </c>
      <c r="C160" s="68" t="inlineStr">
        <is>
          <t>8.6 Security hygiene</t>
        </is>
      </c>
      <c r="D160" s="68" t="inlineStr">
        <is>
          <t>Input is validated against the contract schema at every trust boundary</t>
        </is>
      </c>
      <c r="E160" s="68" t="inlineStr">
        <is>
          <t>Standards 8.6; Appendix G</t>
        </is>
      </c>
      <c r="F160" s="68" t="inlineStr">
        <is>
          <t>Reading + fuzz</t>
        </is>
      </c>
      <c r="G160" s="68" t="inlineStr">
        <is>
          <t>A boundary that trusts its caller</t>
        </is>
      </c>
      <c r="H160" s="68" t="n"/>
      <c r="I160" s="68" t="n"/>
      <c r="J160" s="67" t="n"/>
      <c r="K160" s="67" t="n"/>
      <c r="L160" s="67" t="n"/>
      <c r="M160" s="67" t="n"/>
      <c r="N160" s="67" t="n"/>
      <c r="O160" s="67" t="n"/>
    </row>
    <row r="161" ht="22.35" customHeight="1" s="45">
      <c r="A161" s="63" t="inlineStr">
        <is>
          <t>Q-6.6</t>
        </is>
      </c>
      <c r="B161" s="68" t="inlineStr">
        <is>
          <t>II Engineering quality</t>
        </is>
      </c>
      <c r="C161" s="68" t="inlineStr">
        <is>
          <t>8.6 Security hygiene</t>
        </is>
      </c>
      <c r="D161" s="68" t="inlineStr">
        <is>
          <t>Who can push to the audited branches, the protection rules, CI token scopes, whether CI can be skipped</t>
        </is>
      </c>
      <c r="E161" s="68" t="inlineStr">
        <is>
          <t>Standards 8.6; Appendix G</t>
        </is>
      </c>
      <c r="F161" s="68" t="inlineStr">
        <is>
          <t>Settings inspection</t>
        </is>
      </c>
      <c r="G161" s="68" t="inlineStr">
        <is>
          <t>A seal discipline any committer can bypass</t>
        </is>
      </c>
      <c r="H161" s="68" t="n"/>
      <c r="I161" s="68" t="n"/>
      <c r="J161" s="67" t="n"/>
      <c r="K161" s="67" t="n"/>
      <c r="L161" s="67" t="n"/>
      <c r="M161" s="67" t="n"/>
      <c r="N161" s="67" t="n"/>
      <c r="O161" s="67" t="n"/>
    </row>
    <row r="162" ht="22.35" customHeight="1" s="45">
      <c r="A162" s="63" t="inlineStr">
        <is>
          <t>Q-6.7</t>
        </is>
      </c>
      <c r="B162" s="68" t="inlineStr">
        <is>
          <t>II Engineering quality</t>
        </is>
      </c>
      <c r="C162" s="68" t="inlineStr">
        <is>
          <t>8.6 Security hygiene</t>
        </is>
      </c>
      <c r="D162" s="68" t="inlineStr">
        <is>
          <t>Images pinned by digest and run as non-root</t>
        </is>
      </c>
      <c r="E162" s="68" t="inlineStr">
        <is>
          <t>Standards 8.6; Appendix G</t>
        </is>
      </c>
      <c r="F162" s="68" t="inlineStr">
        <is>
          <t>Manifest inspection</t>
        </is>
      </c>
      <c r="G162" s="68" t="inlineStr">
        <is>
          <t>A floating tag; a root container</t>
        </is>
      </c>
      <c r="H162" s="68" t="n"/>
      <c r="I162" s="68" t="n"/>
      <c r="J162" s="67" t="n"/>
      <c r="K162" s="67" t="n"/>
      <c r="L162" s="67" t="n"/>
      <c r="M162" s="67" t="n"/>
      <c r="N162" s="67" t="n"/>
      <c r="O162" s="67" t="n"/>
    </row>
    <row r="163" ht="22.35" customHeight="1" s="45">
      <c r="A163" s="63" t="inlineStr">
        <is>
          <t>Q-6.8</t>
        </is>
      </c>
      <c r="B163" s="68" t="inlineStr">
        <is>
          <t>II Engineering quality</t>
        </is>
      </c>
      <c r="C163" s="68" t="inlineStr">
        <is>
          <t>8.6 Security hygiene</t>
        </is>
      </c>
      <c r="D163" s="68" t="inlineStr">
        <is>
          <t>Sensitive data in logs</t>
        </is>
      </c>
      <c r="E163" s="68" t="inlineStr">
        <is>
          <t>Standards 8.6; Appendix G</t>
        </is>
      </c>
      <c r="F163" s="68" t="inlineStr">
        <is>
          <t>Scan + run</t>
        </is>
      </c>
      <c r="G163" s="68" t="inlineStr">
        <is>
          <t>A credential, token or unmasked entity in a log line</t>
        </is>
      </c>
      <c r="H163" s="68" t="n"/>
      <c r="I163" s="68" t="n"/>
      <c r="J163" s="67" t="n"/>
      <c r="K163" s="67" t="n"/>
      <c r="L163" s="67" t="n"/>
      <c r="M163" s="67" t="n"/>
      <c r="N163" s="67" t="n"/>
      <c r="O163" s="67" t="n"/>
    </row>
    <row r="164" ht="22.35" customHeight="1" s="45">
      <c r="A164" s="63" t="inlineStr">
        <is>
          <t>Q-7.1</t>
        </is>
      </c>
      <c r="B164" s="68" t="inlineStr">
        <is>
          <t>II Engineering quality</t>
        </is>
      </c>
      <c r="C164" s="68" t="inlineStr">
        <is>
          <t>8.7 Data and migrations</t>
        </is>
      </c>
      <c r="D164" s="68" t="inlineStr">
        <is>
          <t>Migrations apply from empty and from the prior release; each has a rollback or a stated irreversibility</t>
        </is>
      </c>
      <c r="E164" s="68" t="inlineStr">
        <is>
          <t>Standards 8.7; Appendix G</t>
        </is>
      </c>
      <c r="F164" s="68" t="inlineStr">
        <is>
          <t>Re-performance</t>
        </is>
      </c>
      <c r="G164" s="68" t="inlineStr">
        <is>
          <t>A migration that fails from empty</t>
        </is>
      </c>
      <c r="H164" s="68" t="n"/>
      <c r="I164" s="68" t="n"/>
      <c r="J164" s="67" t="n"/>
      <c r="K164" s="67" t="n"/>
      <c r="L164" s="67" t="n"/>
      <c r="M164" s="67" t="n"/>
      <c r="N164" s="67" t="n"/>
      <c r="O164" s="67" t="n"/>
    </row>
    <row r="165" ht="22.35" customHeight="1" s="45">
      <c r="A165" s="63" t="inlineStr">
        <is>
          <t>Q-7.2</t>
        </is>
      </c>
      <c r="B165" s="68" t="inlineStr">
        <is>
          <t>II Engineering quality</t>
        </is>
      </c>
      <c r="C165" s="68" t="inlineStr">
        <is>
          <t>8.7 Data and migrations</t>
        </is>
      </c>
      <c r="D165" s="68" t="inlineStr">
        <is>
          <t>A backup and restore drill record exists; a restored Ledger verifies its chain</t>
        </is>
      </c>
      <c r="E165" s="68" t="inlineStr">
        <is>
          <t>Standards 8.7; Appendix G</t>
        </is>
      </c>
      <c r="F165" s="68" t="inlineStr">
        <is>
          <t>Record + re-performance</t>
        </is>
      </c>
      <c r="G165" s="68" t="inlineStr">
        <is>
          <t>No drill; a restore that breaks the chain</t>
        </is>
      </c>
      <c r="H165" s="68" t="n"/>
      <c r="I165" s="68" t="n"/>
      <c r="J165" s="67" t="n"/>
      <c r="K165" s="67" t="n"/>
      <c r="L165" s="67" t="n"/>
      <c r="M165" s="67" t="n"/>
      <c r="N165" s="67" t="n"/>
      <c r="O165" s="67" t="n"/>
    </row>
    <row r="166" ht="32.8" customHeight="1" s="45">
      <c r="A166" s="63" t="inlineStr">
        <is>
          <t>Q-7.3</t>
        </is>
      </c>
      <c r="B166" s="68" t="inlineStr">
        <is>
          <t>II Engineering quality</t>
        </is>
      </c>
      <c r="C166" s="68" t="inlineStr">
        <is>
          <t>8.7 Data and migrations</t>
        </is>
      </c>
      <c r="D166" s="68" t="inlineStr">
        <is>
          <t>Invariants are enforced by schema constraint where the store allows — tenant not null, foreign keys — not by application code alone</t>
        </is>
      </c>
      <c r="E166" s="68" t="inlineStr">
        <is>
          <t>Standards 8.7; Appendix G</t>
        </is>
      </c>
      <c r="F166" s="68" t="inlineStr">
        <is>
          <t>Schema inspection</t>
        </is>
      </c>
      <c r="G166" s="68" t="inlineStr">
        <is>
          <t>An invariant one buggy caller can break</t>
        </is>
      </c>
      <c r="H166" s="68" t="n"/>
      <c r="I166" s="68" t="n"/>
      <c r="J166" s="67" t="n"/>
      <c r="K166" s="67" t="n"/>
      <c r="L166" s="67" t="n"/>
      <c r="M166" s="67" t="n"/>
      <c r="N166" s="67" t="n"/>
      <c r="O166" s="67" t="n"/>
    </row>
    <row r="167" ht="22.35" customHeight="1" s="45">
      <c r="A167" s="63" t="inlineStr">
        <is>
          <t>Q-8.1</t>
        </is>
      </c>
      <c r="B167" s="68" t="inlineStr">
        <is>
          <t>II Engineering quality</t>
        </is>
      </c>
      <c r="C167" s="68" t="inlineStr">
        <is>
          <t>8.8 Operability</t>
        </is>
      </c>
      <c r="D167" s="68" t="inlineStr">
        <is>
          <t>Health and readiness endpoints reflect dependency state</t>
        </is>
      </c>
      <c r="E167" s="68" t="inlineStr">
        <is>
          <t>Standards 8.8; Appendix G</t>
        </is>
      </c>
      <c r="F167" s="68" t="inlineStr">
        <is>
          <t>Injection</t>
        </is>
      </c>
      <c r="G167" s="68" t="inlineStr">
        <is>
          <t>Healthy reported with a dependency down</t>
        </is>
      </c>
      <c r="H167" s="68" t="n"/>
      <c r="I167" s="68" t="n"/>
      <c r="J167" s="67" t="n"/>
      <c r="K167" s="67" t="n"/>
      <c r="L167" s="67" t="n"/>
      <c r="M167" s="67" t="n"/>
      <c r="N167" s="67" t="n"/>
      <c r="O167" s="67" t="n"/>
    </row>
    <row r="168" ht="22.35" customHeight="1" s="45">
      <c r="A168" s="63" t="inlineStr">
        <is>
          <t>Q-8.2</t>
        </is>
      </c>
      <c r="B168" s="68" t="inlineStr">
        <is>
          <t>II Engineering quality</t>
        </is>
      </c>
      <c r="C168" s="68" t="inlineStr">
        <is>
          <t>8.8 Operability</t>
        </is>
      </c>
      <c r="D168" s="68" t="inlineStr">
        <is>
          <t>Structured logs carry a correlation identifier end to end; the chokepoint, Ledger writer and verifier emit metrics</t>
        </is>
      </c>
      <c r="E168" s="68" t="inlineStr">
        <is>
          <t>Standards 8.8; Appendix G</t>
        </is>
      </c>
      <c r="F168" s="68" t="inlineStr">
        <is>
          <t>Run + inspection</t>
        </is>
      </c>
      <c r="G168" s="68" t="inlineStr">
        <is>
          <t>A request that cannot be followed across services</t>
        </is>
      </c>
      <c r="H168" s="68" t="n"/>
      <c r="I168" s="68" t="n"/>
      <c r="J168" s="67" t="n"/>
      <c r="K168" s="67" t="n"/>
      <c r="L168" s="67" t="n"/>
      <c r="M168" s="67" t="n"/>
      <c r="N168" s="67" t="n"/>
      <c r="O168" s="67" t="n"/>
    </row>
    <row r="169" ht="22.35" customHeight="1" s="45">
      <c r="A169" s="63" t="inlineStr">
        <is>
          <t>Q-8.3</t>
        </is>
      </c>
      <c r="B169" s="68" t="inlineStr">
        <is>
          <t>II Engineering quality</t>
        </is>
      </c>
      <c r="C169" s="68" t="inlineStr">
        <is>
          <t>8.8 Operability</t>
        </is>
      </c>
      <c r="D169" s="68" t="inlineStr">
        <is>
          <t>Runbooks exist for a chain break, a verifier outage and a provider outage; alerts route to a named human</t>
        </is>
      </c>
      <c r="E169" s="68" t="inlineStr">
        <is>
          <t>Standards 8.8; Appendix G</t>
        </is>
      </c>
      <c r="F169" s="68" t="inlineStr">
        <is>
          <t>Document inspection</t>
        </is>
      </c>
      <c r="G169" s="68" t="inlineStr">
        <is>
          <t>A SEV-1 with no runbook</t>
        </is>
      </c>
      <c r="H169" s="68" t="n"/>
      <c r="I169" s="68" t="n"/>
      <c r="J169" s="67" t="n"/>
      <c r="K169" s="67" t="n"/>
      <c r="L169" s="67" t="n"/>
      <c r="M169" s="67" t="n"/>
      <c r="N169" s="67" t="n"/>
      <c r="O169" s="67" t="n"/>
    </row>
    <row r="170" ht="22.35" customHeight="1" s="45">
      <c r="A170" s="63" t="inlineStr">
        <is>
          <t>Q-8.4</t>
        </is>
      </c>
      <c r="B170" s="68" t="inlineStr">
        <is>
          <t>II Engineering quality</t>
        </is>
      </c>
      <c r="C170" s="68" t="inlineStr">
        <is>
          <t>8.8 Operability</t>
        </is>
      </c>
      <c r="D170" s="68" t="inlineStr">
        <is>
          <t>Deploy and rollback are reproducible from the repository</t>
        </is>
      </c>
      <c r="E170" s="68" t="inlineStr">
        <is>
          <t>Standards 8.8; Appendix G</t>
        </is>
      </c>
      <c r="F170" s="68" t="inlineStr">
        <is>
          <t>Re-performance</t>
        </is>
      </c>
      <c r="G170" s="68" t="inlineStr">
        <is>
          <t>A deploy that needs unwritten knowledge</t>
        </is>
      </c>
      <c r="H170" s="68" t="n"/>
      <c r="I170" s="68" t="n"/>
      <c r="J170" s="67" t="n"/>
      <c r="K170" s="67" t="n"/>
      <c r="L170" s="67" t="n"/>
      <c r="M170" s="67" t="n"/>
      <c r="N170" s="67" t="n"/>
      <c r="O170" s="67" t="n"/>
    </row>
    <row r="171" ht="22.35" customHeight="1" s="45">
      <c r="A171" s="63" t="inlineStr">
        <is>
          <t>Q-9.1</t>
        </is>
      </c>
      <c r="B171" s="68" t="inlineStr">
        <is>
          <t>II Engineering quality</t>
        </is>
      </c>
      <c r="C171" s="68" t="inlineStr">
        <is>
          <t>8.9 Performance and capacity</t>
        </is>
      </c>
      <c r="D171" s="68" t="inlineStr">
        <is>
          <t>Latency and throughput measured for the chokepoint path, Ledger append and entitlement resolution under a stated load</t>
        </is>
      </c>
      <c r="E171" s="68" t="inlineStr">
        <is>
          <t>Standards 8.9; Appendix G</t>
        </is>
      </c>
      <c r="F171" s="68" t="inlineStr">
        <is>
          <t>Load test, isolated</t>
        </is>
      </c>
      <c r="G171" s="68" t="inlineStr">
        <is>
          <t>A figure outside a canon bound. Where canon gives no bound: measurement reported, NO THRESHOLD RULED</t>
        </is>
      </c>
      <c r="H171" s="68" t="n"/>
      <c r="I171" s="68" t="n"/>
      <c r="J171" s="67" t="n"/>
      <c r="K171" s="67" t="n"/>
      <c r="L171" s="67" t="n"/>
      <c r="M171" s="67" t="n"/>
      <c r="N171" s="67" t="n"/>
      <c r="O171" s="67" t="n"/>
    </row>
    <row r="172" ht="22.35" customHeight="1" s="45">
      <c r="A172" s="63" t="inlineStr">
        <is>
          <t>Q-9.2</t>
        </is>
      </c>
      <c r="B172" s="68" t="inlineStr">
        <is>
          <t>II Engineering quality</t>
        </is>
      </c>
      <c r="C172" s="68" t="inlineStr">
        <is>
          <t>8.9 Performance and capacity</t>
        </is>
      </c>
      <c r="D172" s="68" t="inlineStr">
        <is>
          <t>Memory and handles over a sustained run</t>
        </is>
      </c>
      <c r="E172" s="68" t="inlineStr">
        <is>
          <t>Standards 8.9; Appendix G</t>
        </is>
      </c>
      <c r="F172" s="68" t="inlineStr">
        <is>
          <t>Soak test</t>
        </is>
      </c>
      <c r="G172" s="68" t="inlineStr">
        <is>
          <t>Monotonic growth</t>
        </is>
      </c>
      <c r="H172" s="68" t="n"/>
      <c r="I172" s="68" t="n"/>
      <c r="J172" s="67" t="n"/>
      <c r="K172" s="67" t="n"/>
      <c r="L172" s="67" t="n"/>
      <c r="M172" s="67" t="n"/>
      <c r="N172" s="67" t="n"/>
      <c r="O172" s="67" t="n"/>
    </row>
    <row r="173" ht="22.35" customHeight="1" s="45">
      <c r="A173" s="63" t="inlineStr">
        <is>
          <t>Q-9.3</t>
        </is>
      </c>
      <c r="B173" s="68" t="inlineStr">
        <is>
          <t>II Engineering quality</t>
        </is>
      </c>
      <c r="C173" s="68" t="inlineStr">
        <is>
          <t>8.9 Performance and capacity</t>
        </is>
      </c>
      <c r="D173" s="68" t="inlineStr">
        <is>
          <t>Behaviour on a fixture at the estate scale promises #16 and #19 name</t>
        </is>
      </c>
      <c r="E173" s="68" t="inlineStr">
        <is>
          <t>Standards 8.9; Appendix G</t>
        </is>
      </c>
      <c r="F173" s="68" t="inlineStr">
        <is>
          <t>Scale test</t>
        </is>
      </c>
      <c r="G173" s="68" t="inlineStr">
        <is>
          <t>Failure or silent truncation at scale</t>
        </is>
      </c>
      <c r="H173" s="68" t="n"/>
      <c r="I173" s="68" t="n"/>
      <c r="J173" s="67" t="n"/>
      <c r="K173" s="67" t="n"/>
      <c r="L173" s="67" t="n"/>
      <c r="M173" s="67" t="n"/>
      <c r="N173" s="67" t="n"/>
      <c r="O173" s="67" t="n"/>
    </row>
    <row r="174" ht="22.35" customHeight="1" s="45">
      <c r="A174" s="63" t="inlineStr">
        <is>
          <t>Q-10.1</t>
        </is>
      </c>
      <c r="B174" s="68" t="inlineStr">
        <is>
          <t>II Engineering quality</t>
        </is>
      </c>
      <c r="C174" s="68" t="inlineStr">
        <is>
          <t>8.10 Frontend quality</t>
        </is>
      </c>
      <c r="D174" s="68" t="inlineStr">
        <is>
          <t>A full walkthrough produces no console error, unhandled rejection or failed request</t>
        </is>
      </c>
      <c r="E174" s="68" t="inlineStr">
        <is>
          <t>Standards 8.10; Appendix G</t>
        </is>
      </c>
      <c r="F174" s="68" t="inlineStr">
        <is>
          <t>Playwright run</t>
        </is>
      </c>
      <c r="G174" s="68" t="inlineStr">
        <is>
          <t>Any of these</t>
        </is>
      </c>
      <c r="H174" s="68" t="n"/>
      <c r="I174" s="68" t="n"/>
      <c r="J174" s="67" t="n"/>
      <c r="K174" s="67" t="n"/>
      <c r="L174" s="67" t="n"/>
      <c r="M174" s="67" t="n"/>
      <c r="N174" s="67" t="n"/>
      <c r="O174" s="67" t="n"/>
    </row>
    <row r="175" ht="22.35" customHeight="1" s="45">
      <c r="A175" s="63" t="inlineStr">
        <is>
          <t>Q-10.2</t>
        </is>
      </c>
      <c r="B175" s="68" t="inlineStr">
        <is>
          <t>II Engineering quality</t>
        </is>
      </c>
      <c r="C175" s="68" t="inlineStr">
        <is>
          <t>8.10 Frontend quality</t>
        </is>
      </c>
      <c r="D175" s="68" t="inlineStr">
        <is>
          <t>Every asynchronous surface has loading, empty, error and blocked states</t>
        </is>
      </c>
      <c r="E175" s="68" t="inlineStr">
        <is>
          <t>Standards 8.10; Appendix G</t>
        </is>
      </c>
      <c r="F175" s="68" t="inlineStr">
        <is>
          <t>Walkthrough</t>
        </is>
      </c>
      <c r="G175" s="68" t="inlineStr">
        <is>
          <t>A spinner that never resolves</t>
        </is>
      </c>
      <c r="H175" s="68" t="n"/>
      <c r="I175" s="68" t="n"/>
      <c r="J175" s="67" t="n"/>
      <c r="K175" s="67" t="n"/>
      <c r="L175" s="67" t="n"/>
      <c r="M175" s="67" t="n"/>
      <c r="N175" s="67" t="n"/>
      <c r="O175" s="67" t="n"/>
    </row>
    <row r="176" ht="22.35" customHeight="1" s="45">
      <c r="A176" s="63" t="inlineStr">
        <is>
          <t>Q-10.3</t>
        </is>
      </c>
      <c r="B176" s="68" t="inlineStr">
        <is>
          <t>II Engineering quality</t>
        </is>
      </c>
      <c r="C176" s="68" t="inlineStr">
        <is>
          <t>8.10 Frontend quality</t>
        </is>
      </c>
      <c r="D176" s="68" t="inlineStr">
        <is>
          <t>Keyboard path, labels and contrast to WCAG 2.1 AA (default, Appendix G)</t>
        </is>
      </c>
      <c r="E176" s="68" t="inlineStr">
        <is>
          <t>Standards 8.10; Appendix G</t>
        </is>
      </c>
      <c r="F176" s="68" t="inlineStr">
        <is>
          <t>Tool run + walkthrough</t>
        </is>
      </c>
      <c r="G176" s="68" t="inlineStr">
        <is>
          <t>A control unreachable by keyboard</t>
        </is>
      </c>
      <c r="H176" s="68" t="n"/>
      <c r="I176" s="68" t="n"/>
      <c r="J176" s="67" t="n"/>
      <c r="K176" s="67" t="n"/>
      <c r="L176" s="67" t="n"/>
      <c r="M176" s="67" t="n"/>
      <c r="N176" s="67" t="n"/>
      <c r="O176" s="67" t="n"/>
    </row>
    <row r="177" ht="22.35" customHeight="1" s="45">
      <c r="A177" s="63" t="inlineStr">
        <is>
          <t>Q-10.4</t>
        </is>
      </c>
      <c r="B177" s="68" t="inlineStr">
        <is>
          <t>II Engineering quality</t>
        </is>
      </c>
      <c r="C177" s="68" t="inlineStr">
        <is>
          <t>8.10 Frontend quality</t>
        </is>
      </c>
      <c r="D177" s="68" t="inlineStr">
        <is>
          <t>The client computes no gate, scope or entitlement decision (with §6.13)</t>
        </is>
      </c>
      <c r="E177" s="68" t="inlineStr">
        <is>
          <t>Standards 8.10; Appendix G</t>
        </is>
      </c>
      <c r="F177" s="68" t="inlineStr">
        <is>
          <t>Bundle reading</t>
        </is>
      </c>
      <c r="G177" s="68" t="inlineStr">
        <is>
          <t>Authority logic in the client</t>
        </is>
      </c>
      <c r="H177" s="68" t="n"/>
      <c r="I177" s="68" t="n"/>
      <c r="J177" s="67" t="n"/>
      <c r="K177" s="67" t="n"/>
      <c r="L177" s="67" t="n"/>
      <c r="M177" s="67" t="n"/>
      <c r="N177" s="67" t="n"/>
      <c r="O177" s="67" t="n"/>
    </row>
    <row r="178" ht="22.35" customHeight="1" s="45">
      <c r="A178" s="63" t="inlineStr">
        <is>
          <t>Q-10.5</t>
        </is>
      </c>
      <c r="B178" s="68" t="inlineStr">
        <is>
          <t>II Engineering quality</t>
        </is>
      </c>
      <c r="C178" s="68" t="inlineStr">
        <is>
          <t>8.10 Frontend quality</t>
        </is>
      </c>
      <c r="D178" s="68" t="inlineStr">
        <is>
          <t>The production bundle carries no secret and no source map that exposes internals</t>
        </is>
      </c>
      <c r="E178" s="68" t="inlineStr">
        <is>
          <t>Standards 8.10; Appendix G</t>
        </is>
      </c>
      <c r="F178" s="68" t="inlineStr">
        <is>
          <t>Bundle inspection</t>
        </is>
      </c>
      <c r="G178" s="68" t="inlineStr">
        <is>
          <t>A key in the bundle</t>
        </is>
      </c>
      <c r="H178" s="68" t="n"/>
      <c r="I178" s="68" t="n"/>
      <c r="J178" s="67" t="n"/>
      <c r="K178" s="67" t="n"/>
      <c r="L178" s="67" t="n"/>
      <c r="M178" s="67" t="n"/>
      <c r="N178" s="67" t="n"/>
      <c r="O178" s="67" t="n"/>
    </row>
    <row r="179" ht="32.8" customHeight="1" s="45">
      <c r="A179" s="63" t="inlineStr">
        <is>
          <t>Q-11.1</t>
        </is>
      </c>
      <c r="B179" s="68" t="inlineStr">
        <is>
          <t>II Engineering quality</t>
        </is>
      </c>
      <c r="C179" s="68" t="inlineStr">
        <is>
          <t>8.11 Documentation truth</t>
        </is>
      </c>
      <c r="D179" s="68" t="inlineStr">
        <is>
          <t>Every capability claimed in Build Status, README, ORCH_BOOT and the SER is traced to code and a passing test at the audit target</t>
        </is>
      </c>
      <c r="E179" s="68" t="inlineStr">
        <is>
          <t>Standards 8.11; Appendix G</t>
        </is>
      </c>
      <c r="F179" s="68" t="inlineStr">
        <is>
          <t>Trace</t>
        </is>
      </c>
      <c r="G179" s="68" t="inlineStr">
        <is>
          <t>A claim with neither</t>
        </is>
      </c>
      <c r="H179" s="68" t="n"/>
      <c r="I179" s="68" t="n"/>
      <c r="J179" s="67" t="n"/>
      <c r="K179" s="67" t="n"/>
      <c r="L179" s="67" t="n"/>
      <c r="M179" s="67" t="n"/>
      <c r="N179" s="67" t="n"/>
      <c r="O179" s="67" t="n"/>
    </row>
    <row r="180" ht="22.35" customHeight="1" s="45">
      <c r="A180" s="63" t="inlineStr">
        <is>
          <t>Q-11.2</t>
        </is>
      </c>
      <c r="B180" s="68" t="inlineStr">
        <is>
          <t>II Engineering quality</t>
        </is>
      </c>
      <c r="C180" s="68" t="inlineStr">
        <is>
          <t>8.11 Documentation truth</t>
        </is>
      </c>
      <c r="D180" s="68" t="inlineStr">
        <is>
          <t>API documentation, frozen contracts and implementation agree</t>
        </is>
      </c>
      <c r="E180" s="68" t="inlineStr">
        <is>
          <t>Standards 8.11; Appendix G</t>
        </is>
      </c>
      <c r="F180" s="68" t="inlineStr">
        <is>
          <t>Three-way diff</t>
        </is>
      </c>
      <c r="G180" s="68" t="inlineStr">
        <is>
          <t>Documentation that describes another system</t>
        </is>
      </c>
      <c r="H180" s="68" t="n"/>
      <c r="I180" s="68" t="n"/>
      <c r="J180" s="67" t="n"/>
      <c r="K180" s="67" t="n"/>
      <c r="L180" s="67" t="n"/>
      <c r="M180" s="67" t="n"/>
      <c r="N180" s="67" t="n"/>
      <c r="O180" s="67" t="n"/>
    </row>
    <row r="181" ht="22.35" customHeight="1" s="45">
      <c r="A181" s="63" t="inlineStr">
        <is>
          <t>Q-11.3</t>
        </is>
      </c>
      <c r="B181" s="68" t="inlineStr">
        <is>
          <t>II Engineering quality</t>
        </is>
      </c>
      <c r="C181" s="68" t="inlineStr">
        <is>
          <t>8.11 Documentation truth</t>
        </is>
      </c>
      <c r="D181" s="68" t="inlineStr">
        <is>
          <t>A new engineer can go from clone to green by the written path</t>
        </is>
      </c>
      <c r="E181" s="68" t="inlineStr">
        <is>
          <t>Standards 8.11; Appendix G</t>
        </is>
      </c>
      <c r="F181" s="68" t="inlineStr">
        <is>
          <t>Re-performance</t>
        </is>
      </c>
      <c r="G181" s="68" t="inlineStr">
        <is>
          <t>A path that fails at a step</t>
        </is>
      </c>
      <c r="H181" s="68" t="n"/>
      <c r="I181" s="68" t="n"/>
      <c r="J181" s="67" t="n"/>
      <c r="K181" s="67" t="n"/>
      <c r="L181" s="67" t="n"/>
      <c r="M181" s="67" t="n"/>
      <c r="N181" s="67" t="n"/>
      <c r="O181" s="67" t="n"/>
    </row>
  </sheetData>
  <autoFilter ref="A1:O181"/>
  <dataValidations count="2">
    <dataValidation sqref="J2:J181" showDropDown="0" showInputMessage="0" showErrorMessage="1" allowBlank="1" error="Use the vocabulary in the Standards." type="list" errorStyle="stop" operator="between">
      <formula1>"PASS,FAIL,NOT BUILT,NOT VERIFIABLE,SOUND,DEFECT,NOT ASSESSABLE"</formula1>
      <formula2>0</formula2>
    </dataValidation>
    <dataValidation sqref="M2:M181" showDropDown="0" showInputMessage="0" showErrorMessage="1" allowBlank="1" error="Use the vocabulary in the Standards." type="list" errorStyle="stop" operator="between">
      <formula1>"S1,S2,S3,S4,Critical,Major,Moderate,Minor"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8" customWidth="1" style="44" min="1" max="1"/>
    <col width="30" customWidth="1" style="44" min="2" max="2"/>
    <col width="60" customWidth="1" style="44" min="3" max="3"/>
    <col width="36" customWidth="1" style="44" min="4" max="4"/>
    <col width="50" customWidth="1" style="44" min="5" max="6"/>
    <col width="10" customWidth="1" style="44" min="7" max="7"/>
  </cols>
  <sheetData>
    <row r="1" ht="15" customHeight="1" s="45">
      <c r="A1" s="62" t="inlineStr">
        <is>
          <t>Ref</t>
        </is>
      </c>
      <c r="B1" s="62" t="inlineStr">
        <is>
          <t>Artefact</t>
        </is>
      </c>
      <c r="C1" s="62" t="inlineStr">
        <is>
          <t>Defect observed at issue of v2</t>
        </is>
      </c>
      <c r="D1" s="62" t="inlineStr">
        <is>
          <t>Measure</t>
        </is>
      </c>
      <c r="E1" s="62" t="inlineStr">
        <is>
          <t>Effect on the audit if left</t>
        </is>
      </c>
      <c r="F1" s="62" t="inlineStr">
        <is>
          <t>Owner action</t>
        </is>
      </c>
      <c r="G1" s="62" t="inlineStr">
        <is>
          <t>State</t>
        </is>
      </c>
    </row>
    <row r="2" ht="43.25" customHeight="1" s="45">
      <c r="A2" s="63" t="inlineStr">
        <is>
          <t>RD-01</t>
        </is>
      </c>
      <c r="B2" s="68" t="inlineStr">
        <is>
          <t>Master Registry · Status</t>
        </is>
      </c>
      <c r="C2" s="68" t="inlineStr">
        <is>
          <t>349 of 602 rules are PROPOSED or DEFAULT, including every rule prefixed DAP, ENT, CON, PRIN, MEM, AC, RBM, BR, SEC, SFP, FP, TD, DET and I. Of the 89 registry rules Standards v1 §6 names, 2 are CANON or RULED (Doc 1 A5.1, Doc 1 A5.7).</t>
        </is>
      </c>
      <c r="D2" s="68" t="inlineStr">
        <is>
          <t>CANON 142 · RULED 16 · PROPOSED/DEFAULT 349 · OPEN 25 · outside vocabulary 70</t>
        </is>
      </c>
      <c r="E2" s="68" t="inlineStr">
        <is>
          <t>Under v1 the domain passes §6.2 and §6.5–§6.14 could return only NOT YET RATIFIED. Either the Status column is stale or the newest work is unratified; the registry cannot say which.</t>
        </is>
      </c>
      <c r="F2" s="68" t="inlineStr">
        <is>
          <t>Confirm the Status column against DECISIONS.md before the audit target is tagged. v2 removes the dependency: every rule is examined and given a verdict whatever its status; status sets weight only.</t>
        </is>
      </c>
      <c r="G2" s="67" t="inlineStr">
        <is>
          <t>OPEN</t>
        </is>
      </c>
    </row>
    <row r="3" ht="32.8" customHeight="1" s="45">
      <c r="A3" s="63" t="inlineStr">
        <is>
          <t>RD-02</t>
        </is>
      </c>
      <c r="B3" s="68" t="inlineStr">
        <is>
          <t>Master Registry · Status</t>
        </is>
      </c>
      <c r="C3" s="68" t="inlineStr">
        <is>
          <t>70 rows carry a status outside the vocabulary: “—” 27 (14 of them Doc 3, the Watch), “See xlsx” 25, “OWNER-DIRECTED → CANON” 14, “— (see heading)” 3, “DETERMINED” 1.</t>
        </is>
      </c>
      <c r="D3" s="68" t="inlineStr">
        <is>
          <t>70 rows</t>
        </is>
      </c>
      <c r="E3" s="68" t="inlineStr">
        <is>
          <t>Weight cannot be set. Promise #6 rests on 14 such rows and nothing else.</t>
        </is>
      </c>
      <c r="F3" s="68" t="inlineStr">
        <is>
          <t>Rule each in the Status Map sheet, columns B and C.</t>
        </is>
      </c>
      <c r="G3" s="67" t="inlineStr">
        <is>
          <t>OPEN</t>
        </is>
      </c>
    </row>
    <row r="4" ht="43.25" customHeight="1" s="45">
      <c r="A4" s="63" t="inlineStr">
        <is>
          <t>RD-03</t>
        </is>
      </c>
      <c r="B4" s="68" t="inlineStr">
        <is>
          <t>Master Registry · Statement and class</t>
        </is>
      </c>
      <c r="C4" s="68" t="inlineStr">
        <is>
          <t>For all 232 rows from Docs 1–20 the Statement column holds the rule’s heading (Legend sheet says so). The v1 verification class was derived from that heading. All 158 CANON and RULED rules are heading-only; 139 of them fell to V7, document inspection.</t>
        </is>
      </c>
      <c r="D4" s="68" t="inlineStr">
        <is>
          <t>232 heading-only · 158 COUNTS · 139 of those V7</t>
        </is>
      </c>
      <c r="E4" s="68" t="inlineStr">
        <is>
          <t>The ratified core would be audited by reading documents. “The single chokepoint” is V7 in the sheet and V2 in Standards §6.3.</t>
        </is>
      </c>
      <c r="F4" s="68" t="inlineStr">
        <is>
          <t>Transcribe full rule text into the registry, or accept Standards 2.4: the auditor reads the text at Source file:line and re-derives the class. Column Q marks every provisional class.</t>
        </is>
      </c>
      <c r="G4" s="67" t="inlineStr">
        <is>
          <t>OPEN</t>
        </is>
      </c>
    </row>
    <row r="5" ht="22.35" customHeight="1" s="45">
      <c r="A5" s="63" t="inlineStr">
        <is>
          <t>RD-04</t>
        </is>
      </c>
      <c r="B5" s="68" t="inlineStr">
        <is>
          <t>Master Registry vs Standards §6</t>
        </is>
      </c>
      <c r="C5" s="68" t="inlineStr">
        <is>
          <t>Of 89 rules named in §6, 48 carry a sheet class that is not among the classes §6 requires for them.</t>
        </is>
      </c>
      <c r="D5" s="68" t="inlineStr">
        <is>
          <t>48 of 89</t>
        </is>
      </c>
      <c r="E5" s="68" t="inlineStr">
        <is>
          <t>The auditor is told two different evidence standards for the same rule.</t>
        </is>
      </c>
      <c r="F5" s="68" t="inlineStr">
        <is>
          <t>Closed in v2: column O carries the §6 class and governs (class precedence, QA Legend).</t>
        </is>
      </c>
      <c r="G5" s="67" t="inlineStr">
        <is>
          <t>CLOSED</t>
        </is>
      </c>
    </row>
    <row r="6" ht="22.35" customHeight="1" s="45">
      <c r="A6" s="63" t="inlineStr">
        <is>
          <t>RD-05</t>
        </is>
      </c>
      <c r="B6" s="68" t="inlineStr">
        <is>
          <t>Standards v1 §6 · citations</t>
        </is>
      </c>
      <c r="C6" s="68" t="inlineStr">
        <is>
          <t>Standards cited as governing do not resolve to a registry row: Doc 0 BA-1.1, Doc 3 A2, Doc 3 A3, Doc 3 C3, B.4, B.8, D-14, LIM-3, DAP-31+, DAP-32+.</t>
        </is>
      </c>
      <c r="D6" s="68" t="inlineStr">
        <is>
          <t>10 identifiers</t>
        </is>
      </c>
      <c r="E6" s="68" t="inlineStr">
        <is>
          <t>A check with no locatable rule cannot be verified against canon.</t>
        </is>
      </c>
      <c r="F6" s="68" t="inlineStr">
        <is>
          <t>Register the rules, or correct the citations. Check Register column I lists them per check.</t>
        </is>
      </c>
      <c r="G6" s="67" t="inlineStr">
        <is>
          <t>OPEN</t>
        </is>
      </c>
    </row>
    <row r="7" ht="32.8" customHeight="1" s="45">
      <c r="A7" s="63" t="inlineStr">
        <is>
          <t>RD-06</t>
        </is>
      </c>
      <c r="B7" s="68" t="inlineStr">
        <is>
          <t>Standards v1 §6.2 · citation</t>
        </is>
      </c>
      <c r="C7" s="68" t="inlineStr">
        <is>
          <t>The golden-input check cites DET-1 and DET-2. In the registry DET-1 is an OPEN item on a CIF halt mechanism and DET-2 concerns a Mtafiti classification step.</t>
        </is>
      </c>
      <c r="D7" s="68" t="inlineStr">
        <is>
          <t>2 identifiers</t>
        </is>
      </c>
      <c r="E7" s="68" t="inlineStr">
        <is>
          <t>The TCB determinism check points at rules that say something else.</t>
        </is>
      </c>
      <c r="F7" s="68" t="inlineStr">
        <is>
          <t>Supply the correct identifiers. Until then C-6.2.2 is verified against tcb_enumeration_v1 and the determinism inventory text.</t>
        </is>
      </c>
      <c r="G7" s="67" t="inlineStr">
        <is>
          <t>OPEN</t>
        </is>
      </c>
    </row>
    <row r="8" ht="32.8" customHeight="1" s="45">
      <c r="A8" s="63" t="inlineStr">
        <is>
          <t>RD-07</t>
        </is>
      </c>
      <c r="B8" s="68" t="inlineStr">
        <is>
          <t>Promise Registry · security promises</t>
        </is>
      </c>
      <c r="C8" s="68" t="inlineStr">
        <is>
          <t>The 33 security assurance promises have no fulfilling-rule column. The text of S-1 to S-25 sits in Security_Assurance_Promise_Set.xlsx, which was not issued with the registries.</t>
        </is>
      </c>
      <c r="D8" s="68" t="inlineStr">
        <is>
          <t>33 promises · 25 without text</t>
        </is>
      </c>
      <c r="E8" s="68" t="inlineStr">
        <is>
          <t>Promise roll-up cannot be computed for any security promise.</t>
        </is>
      </c>
      <c r="F8" s="68" t="inlineStr">
        <is>
          <t>Issue the workbook (Standards 9.1) and confirm the mapping proposed in Promise Registry v2, sheet Promise–Rule Map, which is drawn only from identifiers the promise rows themselves name.</t>
        </is>
      </c>
      <c r="G8" s="67" t="inlineStr">
        <is>
          <t>OPEN</t>
        </is>
      </c>
    </row>
    <row r="9" ht="32.8" customHeight="1" s="45">
      <c r="A9" s="63" t="inlineStr">
        <is>
          <t>RD-08</t>
        </is>
      </c>
      <c r="B9" s="68" t="inlineStr">
        <is>
          <t>Promise Registry · canon promises</t>
        </is>
      </c>
      <c r="C9" s="68" t="inlineStr">
        <is>
          <t>Promises #6, #25 and #26 have no CANON or RULED fulfilling rule. Promises #5, #28 and #29 have no rule at all (the Objectives sheet explains #5 and #29 as composite theorems of Doc 16; #28 is unexplained).</t>
        </is>
      </c>
      <c r="D9" s="68" t="inlineStr">
        <is>
          <t>6 of 32</t>
        </is>
      </c>
      <c r="E9" s="68" t="inlineStr">
        <is>
          <t>Under v1 these were vacuously HELD or undefined.</t>
        </is>
      </c>
      <c r="F9" s="68" t="inlineStr">
        <is>
          <t>v2 verdicts NO COUNTABLE RULES and ABSENT. Owner to explain #28.</t>
        </is>
      </c>
      <c r="G9" s="67" t="inlineStr">
        <is>
          <t>OPEN</t>
        </is>
      </c>
    </row>
    <row r="10" ht="22.35" customHeight="1" s="45">
      <c r="A10" s="63" t="inlineStr">
        <is>
          <t>RD-09</t>
        </is>
      </c>
      <c r="B10" s="68" t="inlineStr">
        <is>
          <t>Master Registry · sampling tier</t>
        </is>
      </c>
      <c r="C10" s="68" t="inlineStr">
        <is>
          <t>110 of the 158 CANON and RULED rules were Tier B, sampled at 30%, while a promise is HELD only if every one passes.</t>
        </is>
      </c>
      <c r="D10" s="68" t="inlineStr">
        <is>
          <t>110 of 158</t>
        </is>
      </c>
      <c r="E10" s="68" t="inlineStr">
        <is>
          <t>A promise could be declared HELD on a third of its rules.</t>
        </is>
      </c>
      <c r="F10" s="68" t="inlineStr">
        <is>
          <t>Closed in v2: column R places every COUNTS rule in Tier A.</t>
        </is>
      </c>
      <c r="G10" s="67" t="inlineStr">
        <is>
          <t>CLOSED</t>
        </is>
      </c>
    </row>
    <row r="11" ht="32.8" customHeight="1" s="45">
      <c r="A11" s="63" t="inlineStr">
        <is>
          <t>RD-10</t>
        </is>
      </c>
      <c r="B11" s="68" t="inlineStr">
        <is>
          <t>Counts across artefacts</t>
        </is>
      </c>
      <c r="C11" s="68" t="inlineStr">
        <is>
          <t>Standards v1 states 595 rules and 299 Tier A; the registry holds 602 and 306; Build Status totals 589; the Legend sheet says 286 and says the S-series and RBM rules are not included, though both are.</t>
        </is>
      </c>
      <c r="D11" s="68" t="inlineStr">
        <is>
          <t>595 / 602 / 589 / 286</t>
        </is>
      </c>
      <c r="E11" s="68" t="inlineStr">
        <is>
          <t>The auditor cannot confirm it holds the version the Standards describe.</t>
        </is>
      </c>
      <c r="F11" s="68" t="inlineStr">
        <is>
          <t>Refresh Build Status and Legend. v2 pins the registry by hash in the Audit Order.</t>
        </is>
      </c>
      <c r="G11" s="67" t="inlineStr">
        <is>
          <t>OPEN</t>
        </is>
      </c>
    </row>
    <row r="12" ht="32.8" customHeight="1" s="45">
      <c r="A12" s="63" t="inlineStr">
        <is>
          <t>RD-11</t>
        </is>
      </c>
      <c r="B12" s="68" t="inlineStr">
        <is>
          <t>Master Registry · Build Status</t>
        </is>
      </c>
      <c r="C12" s="68" t="inlineStr">
        <is>
          <t>Sections 2–4 list as missing documents the registry carries rows from: security_architecture_v1, determinism_inventory_v1, failure_posture_v1, trust_domains_v1, handoff_registry_v1, business_continuity_v1.</t>
        </is>
      </c>
      <c r="D12" s="68" t="inlineStr">
        <is>
          <t>6 documents</t>
        </is>
      </c>
      <c r="E12" s="68" t="inlineStr">
        <is>
          <t>The builder’s own status sheet contradicts the registry it ships in.</t>
        </is>
      </c>
      <c r="F12" s="68" t="inlineStr">
        <is>
          <t>Refresh Build Status, or mark it superseded.</t>
        </is>
      </c>
      <c r="G12" s="67" t="inlineStr">
        <is>
          <t>OPEN</t>
        </is>
      </c>
    </row>
    <row r="13" ht="32.8" customHeight="1" s="45">
      <c r="A13" s="63" t="inlineStr">
        <is>
          <t>RD-12</t>
        </is>
      </c>
      <c r="B13" s="68" t="inlineStr">
        <is>
          <t>Master Registry · Builder Status</t>
        </is>
      </c>
      <c r="C13" s="68" t="inlineStr">
        <is>
          <t>The Builder Status and Enforcement Class columns are blank on all 602 rows.</t>
        </is>
      </c>
      <c r="D13" s="68" t="inlineStr">
        <is>
          <t>602 of 602</t>
        </is>
      </c>
      <c r="E13" s="68" t="inlineStr">
        <is>
          <t>No per-rule completion claim exists, so NOT BUILT cannot be told from built-and-claimed at rule level, and the completion-claim test (Standards 3.5) has nothing to bite on below the wave level.</t>
        </is>
      </c>
      <c r="F13" s="68" t="inlineStr">
        <is>
          <t>Builder enters BUILT, PARTIAL or NOT BUILT with a commit for every rule before the audit target is tagged.</t>
        </is>
      </c>
      <c r="G13" s="67" t="inlineStr">
        <is>
          <t>OPEN</t>
        </is>
      </c>
    </row>
    <row r="14" ht="32.8" customHeight="1" s="45">
      <c r="A14" s="63" t="inlineStr">
        <is>
          <t>RD-13</t>
        </is>
      </c>
      <c r="B14" s="68" t="inlineStr">
        <is>
          <t>Standards v1 · clause identifiers</t>
        </is>
      </c>
      <c r="C14" s="68" t="inlineStr">
        <is>
          <t>Clause series A-, S-, I-, R-, V-, E- and LIM- collide with canon series of the same letters (positional A, security promises S, Rules Service invariants I, rulings R, serving-integrity V-1 to V-4, document-scoped LIM).</t>
        </is>
      </c>
      <c r="D14" s="68" t="inlineStr">
        <is>
          <t>7 series</t>
        </is>
      </c>
      <c r="E14" s="68" t="inlineStr">
        <is>
          <t>A finding citing “S-3” or “V-1” is ambiguous.</t>
        </is>
      </c>
      <c r="F14" s="68" t="inlineStr">
        <is>
          <t>Closed in v2: clauses are cited by section number.</t>
        </is>
      </c>
      <c r="G14" s="67" t="inlineStr">
        <is>
          <t>CLOSED</t>
        </is>
      </c>
    </row>
    <row r="15" ht="22.35" customHeight="1" s="45">
      <c r="A15" s="63" t="inlineStr">
        <is>
          <t>RD-14</t>
        </is>
      </c>
      <c r="B15" s="68" t="inlineStr">
        <is>
          <t>Promise Registry · rule identifiers</t>
        </is>
      </c>
      <c r="C15" s="68" t="inlineStr">
        <is>
          <t>Fulfilling rules were listed by bare positional identifier (A5.1, B5.2), which the registry repeats 131 times across documents.</t>
        </is>
      </c>
      <c r="D15" s="68" t="inlineStr">
        <is>
          <t>131 duplicate bare IDs</t>
        </is>
      </c>
      <c r="E15" s="68" t="inlineStr">
        <is>
          <t>Contrary to the Standards’ own rule that a positional identifier is cited with its document.</t>
        </is>
      </c>
      <c r="F15" s="68" t="inlineStr">
        <is>
          <t>Closed in v2: identifiers are document-qualified.</t>
        </is>
      </c>
      <c r="G15" s="67" t="inlineStr">
        <is>
          <t>CLOSED</t>
        </is>
      </c>
    </row>
    <row r="16" ht="32.8" customHeight="1" s="45">
      <c r="A16" s="63" t="inlineStr">
        <is>
          <t>RD-15</t>
        </is>
      </c>
      <c r="B16" s="68" t="inlineStr">
        <is>
          <t>Standards v1 §6 · findings with no home</t>
        </is>
      </c>
      <c r="C16" s="68" t="inlineStr">
        <is>
          <t>25 of the 98 checks cite only standards outside the registry (Standing Orders, R-18, rulings, the FE and UI briefs, the Kenya DPA). v1 gave nowhere to record their verdicts.</t>
        </is>
      </c>
      <c r="D16" s="68" t="inlineStr">
        <is>
          <t>25 of 98</t>
        </is>
      </c>
      <c r="E16" s="68" t="inlineStr">
        <is>
          <t>Findings on build discipline could not be entered in the working record.</t>
        </is>
      </c>
      <c r="F16" s="68" t="inlineStr">
        <is>
          <t>Closed in v2: Check Register sheet.</t>
        </is>
      </c>
      <c r="G16" s="67" t="inlineStr">
        <is>
          <t>CLOSED</t>
        </is>
      </c>
    </row>
    <row r="17" ht="15" customHeight="1" s="45">
      <c r="A17" s="63" t="inlineStr">
        <is>
          <t>RD-16</t>
        </is>
      </c>
      <c r="B17" s="68" t="inlineStr">
        <is>
          <t>Master Registry · extraction damage</t>
        </is>
      </c>
      <c r="C17" s="68" t="inlineStr">
        <is>
          <t>Two Deck Engine statements are fragments: DR-R10 “–R11)” and DR-R13 “)”.</t>
        </is>
      </c>
      <c r="D17" s="68" t="inlineStr">
        <is>
          <t>2 rows</t>
        </is>
      </c>
      <c r="E17" s="68" t="inlineStr">
        <is>
          <t>The rules cannot be read.</t>
        </is>
      </c>
      <c r="F17" s="68" t="inlineStr">
        <is>
          <t>Re-extract.</t>
        </is>
      </c>
      <c r="G17" s="67" t="inlineStr">
        <is>
          <t>OPEN</t>
        </is>
      </c>
    </row>
  </sheetData>
  <dataValidations count="1">
    <dataValidation sqref="G2:G17" showDropDown="0" showInputMessage="0" showErrorMessage="1" allowBlank="1" error="Use the vocabulary in the Standards." type="list" errorStyle="stop" operator="between">
      <formula1>"OPEN,CLOSED,ACCEPTED"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1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44" min="1" max="1"/>
    <col width="26" customWidth="1" style="44" min="2" max="2"/>
    <col width="70" customWidth="1" style="44" min="3" max="3"/>
    <col width="60" customWidth="1" style="44" min="4" max="4"/>
  </cols>
  <sheetData>
    <row r="1" ht="30" customHeight="1" s="45">
      <c r="A1" s="70" t="inlineStr">
        <is>
          <t>Class</t>
        </is>
      </c>
      <c r="B1" s="70" t="inlineStr">
        <is>
          <t>Name</t>
        </is>
      </c>
      <c r="C1" s="70" t="inlineStr">
        <is>
          <t>Evidence standard</t>
        </is>
      </c>
      <c r="D1" s="70" t="inlineStr">
        <is>
          <t>Derivation pattern (first match, in this order)</t>
        </is>
      </c>
    </row>
    <row r="2" ht="22.35" customHeight="1" s="45">
      <c r="A2" s="65" t="inlineStr">
        <is>
          <t>V1</t>
        </is>
      </c>
      <c r="B2" s="66" t="inlineStr">
        <is>
          <t>Test evidence</t>
        </is>
      </c>
      <c r="C2" s="66" t="inlineStr">
        <is>
          <t>Golden-input, byte-identical output; RED-first test ID; ratchet manifest entry</t>
        </is>
      </c>
      <c r="D2" s="66" t="inlineStr">
        <is>
          <t>determinist|byte-identical|golden|hash|signature|signed|reproduc|same output|token-exact|seed</t>
        </is>
      </c>
    </row>
    <row r="3" ht="22.35" customHeight="1" s="45">
      <c r="A3" s="65" t="inlineStr">
        <is>
          <t>V2</t>
        </is>
      </c>
      <c r="B3" s="66" t="inlineStr">
        <is>
          <t>Structural evidence</t>
        </is>
      </c>
      <c r="C3" s="66" t="inlineStr">
        <is>
          <t>Negative-scan or AST rule present, named, and green in CI; scan surface stated</t>
        </is>
      </c>
      <c r="D3" s="66" t="inlineStr">
        <is>
          <t>MUST NOT|must not|no code path|exactly one|only .* may|never (be|is|are)? ?(invoked|called|written|read|reach)|negative[- ]scan|sole importer|no path</t>
        </is>
      </c>
    </row>
    <row r="4" ht="22.35" customHeight="1" s="45">
      <c r="A4" s="65" t="inlineStr">
        <is>
          <t>V5</t>
        </is>
      </c>
      <c r="B4" s="66" t="inlineStr">
        <is>
          <t>Failure-injection demonstration</t>
        </is>
      </c>
      <c r="C4" s="66" t="inlineStr">
        <is>
          <t>Dependency made unreachable or check made to error; observed refusal; no result returned; stale marker where degradation is the ruled posture</t>
        </is>
      </c>
      <c r="D4" s="66" t="inlineStr">
        <is>
          <t>fail[- ]closed|refuse|refusal|unreachable|cannot complete|errors|does not proceed|not permitted to have occurred</t>
        </is>
      </c>
    </row>
    <row r="5" ht="22.35" customHeight="1" s="45">
      <c r="A5" s="65" t="inlineStr">
        <is>
          <t>V3</t>
        </is>
      </c>
      <c r="B5" s="66" t="inlineStr">
        <is>
          <t>Record evidence</t>
        </is>
      </c>
      <c r="C5" s="66" t="inlineStr">
        <is>
          <t>Ledger rows inspected; hash-chain verifier receipt; refused operations present on identical terms</t>
        </is>
      </c>
      <c r="D5" s="66" t="inlineStr">
        <is>
          <t>receipt|[Ll]edger|recorded|metered event|written before|append-only|hash-chain</t>
        </is>
      </c>
    </row>
    <row r="6" ht="22.35" customHeight="1" s="45">
      <c r="A6" s="65" t="inlineStr">
        <is>
          <t>V4</t>
        </is>
      </c>
      <c r="B6" s="66" t="inlineStr">
        <is>
          <t>Governance-record evidence</t>
        </is>
      </c>
      <c r="C6" s="66" t="inlineStr">
        <is>
          <t>DECISIONS.md entry; ceremony record with tier, countersign, countdown, apply, re-verify; canon_ref present</t>
        </is>
      </c>
      <c r="D6" s="66" t="inlineStr">
        <is>
          <t>ceremony|countersign|ratif|ruling|witness|DECISIONS|canon_ref|ratchet</t>
        </is>
      </c>
    </row>
    <row r="7" ht="22.35" customHeight="1" s="45">
      <c r="A7" s="65" t="inlineStr">
        <is>
          <t>V6</t>
        </is>
      </c>
      <c r="B7" s="66" t="inlineStr">
        <is>
          <t>Surface inspection</t>
        </is>
      </c>
      <c r="C7" s="66" t="inlineStr">
        <is>
          <t>DOM-bound substitution rule or harness receipt; fixed string verbatim; honest-gap variant rendered on null</t>
        </is>
      </c>
      <c r="D7" s="66" t="inlineStr">
        <is>
          <t>surface|render|display|string|badge|card|picker|toast|notification</t>
        </is>
      </c>
    </row>
    <row r="8" ht="22.35" customHeight="1" s="45">
      <c r="A8" s="65" t="inlineStr">
        <is>
          <t>V7</t>
        </is>
      </c>
      <c r="B8" s="66" t="inlineStr">
        <is>
          <t>Document &amp; design inspection</t>
        </is>
      </c>
      <c r="C8" s="66" t="inlineStr">
        <is>
          <t>Specification text against implementation description; provenance sections; objective card lines. Floor only: insufficient wherever a stronger class could apply.</t>
        </is>
      </c>
      <c r="D8" s="66" t="inlineStr">
        <is>
          <t>— (no pattern matched)</t>
        </is>
      </c>
    </row>
    <row r="10" ht="53.7" customHeight="1" s="45">
      <c r="A10" s="65" t="inlineStr">
        <is>
          <t>Tier A</t>
        </is>
      </c>
      <c r="B10" s="66" t="inlineStr">
        <is>
          <t>100% examined</t>
        </is>
      </c>
      <c r="C10" s="66" t="inlineStr">
        <is>
          <t>Any rule with primary or effective class V1, V2 or V5; any rule with prefix AC, BR, DET, FP, G, I, PRIN, RBM, ROC, S, SEC, SFP, TD; any rule in Docs 1, 3, 4, 5; and — new at v2 — every rule whose weight is COUNTS (CANON or RULED), because a promise cannot be rolled up over rules that were not examined. Column R 'Effective tier' computes this; column G is the v1 tier, kept for reference.</t>
        </is>
      </c>
      <c r="D10" s="66" t="n"/>
    </row>
    <row r="11" ht="22.35" customHeight="1" s="45">
      <c r="A11" s="65" t="inlineStr">
        <is>
          <t>Tier B</t>
        </is>
      </c>
      <c r="B11" s="66" t="inlineStr">
        <is>
          <t>Sample ≥ 30%</t>
        </is>
      </c>
      <c r="C11" s="66" t="inlineStr">
        <is>
          <t>All other rules. Sample drawn per source document by the seeded method in Standards 5.2. Any FAIL in a sample escalates that rule's document to 100%.</t>
        </is>
      </c>
      <c r="D11" s="66" t="n"/>
    </row>
    <row r="12" ht="32.8" customHeight="1" s="45">
      <c r="A12" s="63" t="inlineStr">
        <is>
          <t>V8</t>
        </is>
      </c>
      <c r="B12" s="68" t="inlineStr">
        <is>
          <t>Functional demonstration</t>
        </is>
      </c>
      <c r="C12" s="68" t="inlineStr">
        <is>
          <t>An end-to-end scenario the auditor runs on a system stood up from the audit target: stated input, behaviour the rule text requires, observed output. Required in addition to the primary class for every COUNTS rule in the product domains (Standards 6.16).</t>
        </is>
      </c>
      <c r="D12" s="68" t="inlineStr">
        <is>
          <t>— (assigned by Standards 6.16, not by pattern)</t>
        </is>
      </c>
    </row>
    <row r="13" ht="43.25" customHeight="1" s="45">
      <c r="A13" s="63" t="inlineStr">
        <is>
          <t>Class precedence</t>
        </is>
      </c>
      <c r="B13" s="68" t="inlineStr">
        <is>
          <t>Which class applies</t>
        </is>
      </c>
      <c r="C13" s="68" t="inlineStr">
        <is>
          <t>1. The class stated for the rule in Standards §6 (column O). 2. The class derived from the rule’s full text at its source file:line. 3. The class in column D, which for HEADING ONLY rows was derived from a heading and is provisional. The auditor may raise a class with a written reason and never lowers one.</t>
        </is>
      </c>
      <c r="D13" s="68" t="n"/>
    </row>
    <row r="14" ht="43.25" customHeight="1" s="45">
      <c r="A14" s="63" t="inlineStr">
        <is>
          <t>Rule verdict</t>
        </is>
      </c>
      <c r="B14" s="68" t="inlineStr">
        <is>
          <t>Five, status-independent</t>
        </is>
      </c>
      <c r="C14" s="68" t="inlineStr">
        <is>
          <t>PASS · FAIL · NOT BUILT · NOT VERIFIABLE · NOT EXAMINED. NOT EXAMINED is permitted only for weight OPEN or a Tier B rule not drawn, and carries its reason in column W. NOT YET RATIFIED is withdrawn as a verdict: ratification sets weight (column L), it does not replace the finding.</t>
        </is>
      </c>
      <c r="D14" s="68" t="n"/>
    </row>
    <row r="15" ht="22.35" customHeight="1" s="45">
      <c r="A15" s="63" t="inlineStr">
        <is>
          <t>Weight</t>
        </is>
      </c>
      <c r="B15" s="68" t="inlineStr">
        <is>
          <t>Set by status, not by the auditor</t>
        </is>
      </c>
      <c r="C15" s="68" t="inlineStr">
        <is>
          <t>COUNTS (CANON, RULED) · UNRATIFIED (PROPOSED, DEFAULT) · OPEN · UNDEFINED (status outside the vocabulary — owner action in Status Map).</t>
        </is>
      </c>
      <c r="D15" s="68" t="n"/>
    </row>
    <row r="16" ht="22.35" customHeight="1" s="45">
      <c r="A16" s="63" t="inlineStr">
        <is>
          <t>Cell colours</t>
        </is>
      </c>
      <c r="B16" s="68" t="n"/>
      <c r="C16" s="68" t="inlineStr">
        <is>
          <t>Yellow = auditor or owner input. Grey = formula; do not overwrite.</t>
        </is>
      </c>
      <c r="D16" s="68"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K60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44" min="1" max="1"/>
    <col width="58" customWidth="1" style="44" min="2" max="2"/>
    <col width="28" customWidth="1" style="44" min="3" max="3"/>
    <col width="46" customWidth="1" style="44" min="4" max="4"/>
    <col width="12" customWidth="1" style="44" min="5" max="5"/>
    <col width="22" customWidth="1" style="44" min="6" max="6"/>
    <col width="18" customWidth="1" style="44" min="7" max="7"/>
    <col width="30" customWidth="1" style="44" min="8" max="8"/>
    <col width="34" customWidth="1" style="44" min="9" max="9"/>
    <col width="20" customWidth="1" style="44" min="10" max="11"/>
  </cols>
  <sheetData>
    <row r="1" ht="27.75" customHeight="1" s="45">
      <c r="A1" s="71" t="inlineStr">
        <is>
          <t>Rule ID</t>
        </is>
      </c>
      <c r="B1" s="71" t="inlineStr">
        <is>
          <t>Statement</t>
        </is>
      </c>
      <c r="C1" s="71" t="inlineStr">
        <is>
          <t>Objective</t>
        </is>
      </c>
      <c r="D1" s="71" t="inlineStr">
        <is>
          <t>Promise / Source Document</t>
        </is>
      </c>
      <c r="E1" s="71" t="inlineStr">
        <is>
          <t>Doc</t>
        </is>
      </c>
      <c r="F1" s="71" t="inlineStr">
        <is>
          <t>Status</t>
        </is>
      </c>
      <c r="G1" s="71" t="inlineStr">
        <is>
          <t>Enforcement Class</t>
        </is>
      </c>
      <c r="H1" s="71" t="inlineStr">
        <is>
          <t>Domain</t>
        </is>
      </c>
      <c r="I1" s="71" t="inlineStr">
        <is>
          <t>Source (file:line)</t>
        </is>
      </c>
      <c r="J1" s="72" t="inlineStr">
        <is>
          <t>Relationship</t>
        </is>
      </c>
      <c r="K1" s="72" t="inlineStr">
        <is>
          <t>Builder Status</t>
        </is>
      </c>
    </row>
    <row r="2" ht="30" customHeight="1" s="45">
      <c r="A2" s="65" t="inlineStr">
        <is>
          <t>A5.1</t>
        </is>
      </c>
      <c r="B2" s="66" t="inlineStr">
        <is>
          <t>The single chokepoint</t>
        </is>
      </c>
      <c r="C2" s="66" t="inlineStr">
        <is>
          <t>O1 Custody &amp; Confidentiality</t>
        </is>
      </c>
      <c r="D2" s="66" t="inlineStr">
        <is>
          <t>#1 — NO LEAKAGE OF CONFIDENTIAL INFORMATION</t>
        </is>
      </c>
      <c r="E2" s="66" t="inlineStr">
        <is>
          <t>Doc 1</t>
        </is>
      </c>
      <c r="F2" s="73" t="inlineStr">
        <is>
          <t>CANON</t>
        </is>
      </c>
      <c r="G2" s="66" t="n"/>
      <c r="H2" s="66" t="inlineStr">
        <is>
          <t>SyniSense</t>
        </is>
      </c>
      <c r="I2" s="66" t="inlineStr">
        <is>
          <t>01_Custody_and_the_Crossing_Part_1_The_Chokepoint.md:67</t>
        </is>
      </c>
      <c r="J2" s="74" t="inlineStr">
        <is>
          <t>Base canon</t>
        </is>
      </c>
      <c r="K2" s="75" t="n"/>
    </row>
    <row r="3" ht="30" customHeight="1" s="45">
      <c r="A3" s="65" t="inlineStr">
        <is>
          <t>A5.2</t>
        </is>
      </c>
      <c r="B3" s="66" t="inlineStr">
        <is>
          <t>The custody sequence</t>
        </is>
      </c>
      <c r="C3" s="66" t="inlineStr">
        <is>
          <t>O1 Custody &amp; Confidentiality</t>
        </is>
      </c>
      <c r="D3" s="66" t="inlineStr">
        <is>
          <t>#1 — NO LEAKAGE OF CONFIDENTIAL INFORMATION</t>
        </is>
      </c>
      <c r="E3" s="66" t="inlineStr">
        <is>
          <t>Doc 1</t>
        </is>
      </c>
      <c r="F3" s="73" t="inlineStr">
        <is>
          <t>CANON</t>
        </is>
      </c>
      <c r="G3" s="66" t="n"/>
      <c r="H3" s="66" t="inlineStr">
        <is>
          <t>SyniSense</t>
        </is>
      </c>
      <c r="I3" s="66" t="inlineStr">
        <is>
          <t>01_Custody_and_the_Crossing_Part_1_The_Chokepoint.md:69</t>
        </is>
      </c>
      <c r="J3" s="74" t="inlineStr">
        <is>
          <t>Base canon</t>
        </is>
      </c>
      <c r="K3" s="75" t="n"/>
    </row>
    <row r="4" ht="30" customHeight="1" s="45">
      <c r="A4" s="65" t="inlineStr">
        <is>
          <t>A5.3</t>
        </is>
      </c>
      <c r="B4" s="66" t="inlineStr">
        <is>
          <t>The per-request envelope does not outlive the call</t>
        </is>
      </c>
      <c r="C4" s="66" t="inlineStr">
        <is>
          <t>O1 Custody &amp; Confidentiality</t>
        </is>
      </c>
      <c r="D4" s="66" t="inlineStr">
        <is>
          <t>#1 — NO LEAKAGE OF CONFIDENTIAL INFORMATION</t>
        </is>
      </c>
      <c r="E4" s="66" t="inlineStr">
        <is>
          <t>Doc 1</t>
        </is>
      </c>
      <c r="F4" s="73" t="inlineStr">
        <is>
          <t>CANON</t>
        </is>
      </c>
      <c r="G4" s="66" t="n"/>
      <c r="H4" s="66" t="inlineStr">
        <is>
          <t>SyniSense</t>
        </is>
      </c>
      <c r="I4" s="66" t="inlineStr">
        <is>
          <t>01_Custody_and_the_Crossing_Part_1_The_Chokepoint.md:77</t>
        </is>
      </c>
      <c r="J4" s="74" t="inlineStr">
        <is>
          <t>Base canon</t>
        </is>
      </c>
      <c r="K4" s="75" t="n"/>
    </row>
    <row r="5" ht="30" customHeight="1" s="45">
      <c r="A5" s="65" t="inlineStr">
        <is>
          <t>A5.4</t>
        </is>
      </c>
      <c r="B5" s="66" t="inlineStr">
        <is>
          <t>Tenant-scoped entity resolution</t>
        </is>
      </c>
      <c r="C5" s="66" t="inlineStr">
        <is>
          <t>O1 Custody &amp; Confidentiality</t>
        </is>
      </c>
      <c r="D5" s="66" t="inlineStr">
        <is>
          <t>#1 — NO LEAKAGE OF CONFIDENTIAL INFORMATION</t>
        </is>
      </c>
      <c r="E5" s="66" t="inlineStr">
        <is>
          <t>Doc 1</t>
        </is>
      </c>
      <c r="F5" s="73" t="inlineStr">
        <is>
          <t>CANON</t>
        </is>
      </c>
      <c r="G5" s="66" t="n"/>
      <c r="H5" s="66" t="inlineStr">
        <is>
          <t>SyniSense</t>
        </is>
      </c>
      <c r="I5" s="66" t="inlineStr">
        <is>
          <t>01_Custody_and_the_Crossing_Part_1_The_Chokepoint.md:81</t>
        </is>
      </c>
      <c r="J5" s="74" t="inlineStr">
        <is>
          <t>Base canon</t>
        </is>
      </c>
      <c r="K5" s="75" t="n"/>
    </row>
    <row r="6" ht="30" customHeight="1" s="45">
      <c r="A6" s="65" t="inlineStr">
        <is>
          <t>A5.5</t>
        </is>
      </c>
      <c r="B6" s="66" t="inlineStr">
        <is>
          <t>The outbound network is closed except at the crossing</t>
        </is>
      </c>
      <c r="C6" s="66" t="inlineStr">
        <is>
          <t>O1 Custody &amp; Confidentiality</t>
        </is>
      </c>
      <c r="D6" s="66" t="inlineStr">
        <is>
          <t>#1 — NO LEAKAGE OF CONFIDENTIAL INFORMATION</t>
        </is>
      </c>
      <c r="E6" s="66" t="inlineStr">
        <is>
          <t>Doc 1</t>
        </is>
      </c>
      <c r="F6" s="73" t="inlineStr">
        <is>
          <t>CANON</t>
        </is>
      </c>
      <c r="G6" s="66" t="n"/>
      <c r="H6" s="66" t="inlineStr">
        <is>
          <t>SyniSense</t>
        </is>
      </c>
      <c r="I6" s="66" t="inlineStr">
        <is>
          <t>01_Custody_and_the_Crossing_Part_1_The_Chokepoint.md:83</t>
        </is>
      </c>
      <c r="J6" s="74" t="inlineStr">
        <is>
          <t>Base canon</t>
        </is>
      </c>
      <c r="K6" s="75" t="n"/>
    </row>
    <row r="7" ht="30" customHeight="1" s="45">
      <c r="A7" s="65" t="inlineStr">
        <is>
          <t>A5.6</t>
        </is>
      </c>
      <c r="B7" s="66" t="inlineStr">
        <is>
          <t>Structural impossibility, not policed prohibition</t>
        </is>
      </c>
      <c r="C7" s="66" t="inlineStr">
        <is>
          <t>O1 Custody &amp; Confidentiality</t>
        </is>
      </c>
      <c r="D7" s="66" t="inlineStr">
        <is>
          <t>#1 — NO LEAKAGE OF CONFIDENTIAL INFORMATION</t>
        </is>
      </c>
      <c r="E7" s="66" t="inlineStr">
        <is>
          <t>Doc 1</t>
        </is>
      </c>
      <c r="F7" s="73" t="inlineStr">
        <is>
          <t>CANON</t>
        </is>
      </c>
      <c r="G7" s="66" t="n"/>
      <c r="H7" s="66" t="inlineStr">
        <is>
          <t>SyniSense</t>
        </is>
      </c>
      <c r="I7" s="66" t="inlineStr">
        <is>
          <t>01_Custody_and_the_Crossing_Part_1_The_Chokepoint.md:89</t>
        </is>
      </c>
      <c r="J7" s="74" t="inlineStr">
        <is>
          <t>Base canon</t>
        </is>
      </c>
      <c r="K7" s="75" t="n"/>
    </row>
    <row r="8" ht="30" customHeight="1" s="45">
      <c r="A8" s="65" t="inlineStr">
        <is>
          <t>A5.7</t>
        </is>
      </c>
      <c r="B8" s="66" t="inlineStr">
        <is>
          <t>The trust receipt</t>
        </is>
      </c>
      <c r="C8" s="66" t="inlineStr">
        <is>
          <t>O1 Custody &amp; Confidentiality</t>
        </is>
      </c>
      <c r="D8" s="66" t="inlineStr">
        <is>
          <t>#1 — NO LEAKAGE OF CONFIDENTIAL INFORMATION</t>
        </is>
      </c>
      <c r="E8" s="66" t="inlineStr">
        <is>
          <t>Doc 1</t>
        </is>
      </c>
      <c r="F8" s="73" t="inlineStr">
        <is>
          <t>CANON</t>
        </is>
      </c>
      <c r="G8" s="66" t="n"/>
      <c r="H8" s="66" t="inlineStr">
        <is>
          <t>SyniSense</t>
        </is>
      </c>
      <c r="I8" s="66" t="inlineStr">
        <is>
          <t>01_Custody_and_the_Crossing_Part_1_The_Chokepoint.md:91</t>
        </is>
      </c>
      <c r="J8" s="74" t="inlineStr">
        <is>
          <t>Base canon</t>
        </is>
      </c>
      <c r="K8" s="75" t="n"/>
    </row>
    <row r="9" ht="30" customHeight="1" s="45">
      <c r="A9" s="65" t="inlineStr">
        <is>
          <t>A5.8</t>
        </is>
      </c>
      <c r="B9" s="66" t="inlineStr">
        <is>
          <t>Two custody pathways, both receipted, neither bypassing the other</t>
        </is>
      </c>
      <c r="C9" s="66" t="inlineStr">
        <is>
          <t>O1 Custody &amp; Confidentiality</t>
        </is>
      </c>
      <c r="D9" s="66" t="inlineStr">
        <is>
          <t>#1 — NO LEAKAGE OF CONFIDENTIAL INFORMATION</t>
        </is>
      </c>
      <c r="E9" s="66" t="inlineStr">
        <is>
          <t>Doc 1</t>
        </is>
      </c>
      <c r="F9" s="73" t="inlineStr">
        <is>
          <t>CANON</t>
        </is>
      </c>
      <c r="G9" s="66" t="n"/>
      <c r="H9" s="66" t="inlineStr">
        <is>
          <t>SyniSense</t>
        </is>
      </c>
      <c r="I9" s="66" t="inlineStr">
        <is>
          <t>01_Custody_and_the_Crossing_Part_1_The_Chokepoint.md:101</t>
        </is>
      </c>
      <c r="J9" s="74" t="inlineStr">
        <is>
          <t>Base canon</t>
        </is>
      </c>
      <c r="K9" s="75" t="n"/>
    </row>
    <row r="10" ht="30" customHeight="1" s="45">
      <c r="A10" s="65" t="inlineStr">
        <is>
          <t>A5.9</t>
        </is>
      </c>
      <c r="B10" s="66" t="inlineStr">
        <is>
          <t>Grounding failure is a refusal, not a degraded answer</t>
        </is>
      </c>
      <c r="C10" s="66" t="inlineStr">
        <is>
          <t>O1 Custody &amp; Confidentiality</t>
        </is>
      </c>
      <c r="D10" s="66" t="inlineStr">
        <is>
          <t>#1 — NO LEAKAGE OF CONFIDENTIAL INFORMATION</t>
        </is>
      </c>
      <c r="E10" s="66" t="inlineStr">
        <is>
          <t>Doc 1</t>
        </is>
      </c>
      <c r="F10" s="73" t="inlineStr">
        <is>
          <t>CANON</t>
        </is>
      </c>
      <c r="G10" s="66" t="n"/>
      <c r="H10" s="66" t="inlineStr">
        <is>
          <t>SyniSense</t>
        </is>
      </c>
      <c r="I10" s="66" t="inlineStr">
        <is>
          <t>01_Custody_and_the_Crossing_Part_1_The_Chokepoint.md:103</t>
        </is>
      </c>
      <c r="J10" s="74" t="inlineStr">
        <is>
          <t>Base canon</t>
        </is>
      </c>
      <c r="K10" s="75" t="n"/>
    </row>
    <row r="11" ht="30" customHeight="1" s="45">
      <c r="A11" s="65" t="inlineStr">
        <is>
          <t>A5.1</t>
        </is>
      </c>
      <c r="B11" s="66" t="inlineStr">
        <is>
          <t>The list extends the tenant entity set consumed at the crossing</t>
        </is>
      </c>
      <c r="C11" s="66" t="inlineStr">
        <is>
          <t>O1 Custody &amp; Confidentiality</t>
        </is>
      </c>
      <c r="D11" s="66" t="inlineStr">
        <is>
          <t>#2 — THE USER-EDITABLE CONFIDENTIALITY LIST</t>
        </is>
      </c>
      <c r="E11" s="66" t="inlineStr">
        <is>
          <t>Doc 2</t>
        </is>
      </c>
      <c r="F11" s="73" t="inlineStr">
        <is>
          <t>CANON</t>
        </is>
      </c>
      <c r="G11" s="66" t="n"/>
      <c r="H11" s="66" t="inlineStr">
        <is>
          <t>SyniSense</t>
        </is>
      </c>
      <c r="I11" s="66" t="inlineStr">
        <is>
          <t>02_Custody_and_the_Crossing_Part_2_Confidentiality_and_Dual_File.md:65</t>
        </is>
      </c>
      <c r="J11" s="74" t="inlineStr">
        <is>
          <t>Base canon</t>
        </is>
      </c>
      <c r="K11" s="75" t="n"/>
    </row>
    <row r="12" ht="30" customHeight="1" s="45">
      <c r="A12" s="65" t="inlineStr">
        <is>
          <t>A5.2</t>
        </is>
      </c>
      <c r="B12" s="66" t="inlineStr">
        <is>
          <t>The objective-shaping loop produces a testable declaration</t>
        </is>
      </c>
      <c r="C12" s="66" t="inlineStr">
        <is>
          <t>O1 Custody &amp; Confidentiality</t>
        </is>
      </c>
      <c r="D12" s="66" t="inlineStr">
        <is>
          <t>#2 — THE USER-EDITABLE CONFIDENTIALITY LIST</t>
        </is>
      </c>
      <c r="E12" s="66" t="inlineStr">
        <is>
          <t>Doc 2</t>
        </is>
      </c>
      <c r="F12" s="76" t="inlineStr">
        <is>
          <t>PROPOSED</t>
        </is>
      </c>
      <c r="G12" s="66" t="n"/>
      <c r="H12" s="66" t="inlineStr">
        <is>
          <t>SyniSense</t>
        </is>
      </c>
      <c r="I12" s="66" t="inlineStr">
        <is>
          <t>02_Custody_and_the_Crossing_Part_2_Confidentiality_and_Dual_File.md:67</t>
        </is>
      </c>
      <c r="J12" s="74" t="inlineStr">
        <is>
          <t>Base canon</t>
        </is>
      </c>
      <c r="K12" s="75" t="n"/>
    </row>
    <row r="13" ht="30" customHeight="1" s="45">
      <c r="A13" s="65" t="inlineStr">
        <is>
          <t>A5.3</t>
        </is>
      </c>
      <c r="B13" s="66" t="inlineStr">
        <is>
          <t>Review shows reach against measured material only [CANON-adjacent]</t>
        </is>
      </c>
      <c r="C13" s="66" t="inlineStr">
        <is>
          <t>O1 Custody &amp; Confidentiality</t>
        </is>
      </c>
      <c r="D13" s="66" t="inlineStr">
        <is>
          <t>#2 — THE USER-EDITABLE CONFIDENTIALITY LIST</t>
        </is>
      </c>
      <c r="E13" s="66" t="inlineStr">
        <is>
          <t>Doc 2</t>
        </is>
      </c>
      <c r="F13" s="66" t="inlineStr">
        <is>
          <t>—</t>
        </is>
      </c>
      <c r="G13" s="66" t="n"/>
      <c r="H13" s="66" t="inlineStr">
        <is>
          <t>SyniSense</t>
        </is>
      </c>
      <c r="I13" s="66" t="inlineStr">
        <is>
          <t>02_Custody_and_the_Crossing_Part_2_Confidentiality_and_Dual_File.md:69</t>
        </is>
      </c>
      <c r="J13" s="74" t="inlineStr">
        <is>
          <t>Base canon</t>
        </is>
      </c>
      <c r="K13" s="75" t="n"/>
    </row>
    <row r="14" ht="30" customHeight="1" s="45">
      <c r="A14" s="65" t="inlineStr">
        <is>
          <t>A5.4</t>
        </is>
      </c>
      <c r="B14" s="66" t="inlineStr">
        <is>
          <t>Adding and removing are asymmetric, by governed ceremony</t>
        </is>
      </c>
      <c r="C14" s="66" t="inlineStr">
        <is>
          <t>O1 Custody &amp; Confidentiality</t>
        </is>
      </c>
      <c r="D14" s="66" t="inlineStr">
        <is>
          <t>#2 — THE USER-EDITABLE CONFIDENTIALITY LIST</t>
        </is>
      </c>
      <c r="E14" s="66" t="inlineStr">
        <is>
          <t>Doc 2</t>
        </is>
      </c>
      <c r="F14" s="73" t="inlineStr">
        <is>
          <t>CANON</t>
        </is>
      </c>
      <c r="G14" s="66" t="n"/>
      <c r="H14" s="66" t="inlineStr">
        <is>
          <t>SyniSense</t>
        </is>
      </c>
      <c r="I14" s="66" t="inlineStr">
        <is>
          <t>02_Custody_and_the_Crossing_Part_2_Confidentiality_and_Dual_File.md:71</t>
        </is>
      </c>
      <c r="J14" s="74" t="inlineStr">
        <is>
          <t>Base canon</t>
        </is>
      </c>
      <c r="K14" s="75" t="n"/>
    </row>
    <row r="15" ht="30" customHeight="1" s="45">
      <c r="A15" s="65" t="inlineStr">
        <is>
          <t>A5.5</t>
        </is>
      </c>
      <c r="B15" s="66" t="inlineStr">
        <is>
          <t>The whole list is itself a governed record</t>
        </is>
      </c>
      <c r="C15" s="66" t="inlineStr">
        <is>
          <t>O1 Custody &amp; Confidentiality</t>
        </is>
      </c>
      <c r="D15" s="66" t="inlineStr">
        <is>
          <t>#2 — THE USER-EDITABLE CONFIDENTIALITY LIST</t>
        </is>
      </c>
      <c r="E15" s="66" t="inlineStr">
        <is>
          <t>Doc 2</t>
        </is>
      </c>
      <c r="F15" s="73" t="inlineStr">
        <is>
          <t>CANON</t>
        </is>
      </c>
      <c r="G15" s="66" t="n"/>
      <c r="H15" s="66" t="inlineStr">
        <is>
          <t>SyniSense</t>
        </is>
      </c>
      <c r="I15" s="66" t="inlineStr">
        <is>
          <t>02_Custody_and_the_Crossing_Part_2_Confidentiality_and_Dual_File.md:77</t>
        </is>
      </c>
      <c r="J15" s="74" t="inlineStr">
        <is>
          <t>Base canon</t>
        </is>
      </c>
      <c r="K15" s="75" t="n"/>
    </row>
    <row r="16" ht="30" customHeight="1" s="45">
      <c r="A16" s="65" t="inlineStr">
        <is>
          <t>B5.1</t>
        </is>
      </c>
      <c r="B16" s="66" t="inlineStr">
        <is>
          <t>Extraction precedes de-identification in the fixed sequence</t>
        </is>
      </c>
      <c r="C16" s="66" t="inlineStr">
        <is>
          <t>O1 Custody &amp; Confidentiality</t>
        </is>
      </c>
      <c r="D16" s="66" t="inlineStr">
        <is>
          <t>#3 — INTENT, MEANING &amp; QUESTION OBJECTIVE EXTRACTED BEFORE REDACTION</t>
        </is>
      </c>
      <c r="E16" s="66" t="inlineStr">
        <is>
          <t>Doc 1</t>
        </is>
      </c>
      <c r="F16" s="77" t="inlineStr">
        <is>
          <t>RULED</t>
        </is>
      </c>
      <c r="G16" s="66" t="n"/>
      <c r="H16" s="66" t="inlineStr">
        <is>
          <t>SyniSense</t>
        </is>
      </c>
      <c r="I16" s="66" t="inlineStr">
        <is>
          <t>01_Custody_and_the_Crossing_Part_1_The_Chokepoint.md:159</t>
        </is>
      </c>
      <c r="J16" s="74" t="inlineStr">
        <is>
          <t>Base canon</t>
        </is>
      </c>
      <c r="K16" s="75" t="n"/>
    </row>
    <row r="17" ht="30" customHeight="1" s="45">
      <c r="A17" s="65" t="inlineStr">
        <is>
          <t>B5.2</t>
        </is>
      </c>
      <c r="B17" s="66" t="inlineStr">
        <is>
          <t>The extraction reads meaning, not just surface tokens [CANON-adjacent]</t>
        </is>
      </c>
      <c r="C17" s="66" t="inlineStr">
        <is>
          <t>O1 Custody &amp; Confidentiality</t>
        </is>
      </c>
      <c r="D17" s="66" t="inlineStr">
        <is>
          <t>#3 — INTENT, MEANING &amp; QUESTION OBJECTIVE EXTRACTED BEFORE REDACTION</t>
        </is>
      </c>
      <c r="E17" s="66" t="inlineStr">
        <is>
          <t>Doc 1</t>
        </is>
      </c>
      <c r="F17" s="66" t="inlineStr">
        <is>
          <t>—</t>
        </is>
      </c>
      <c r="G17" s="66" t="n"/>
      <c r="H17" s="66" t="inlineStr">
        <is>
          <t>SyniSense</t>
        </is>
      </c>
      <c r="I17" s="66" t="inlineStr">
        <is>
          <t>01_Custody_and_the_Crossing_Part_1_The_Chokepoint.md:161</t>
        </is>
      </c>
      <c r="J17" s="74" t="inlineStr">
        <is>
          <t>Base canon</t>
        </is>
      </c>
      <c r="K17" s="75" t="n"/>
    </row>
    <row r="18" ht="30" customHeight="1" s="45">
      <c r="A18" s="65" t="inlineStr">
        <is>
          <t>B5.3</t>
        </is>
      </c>
      <c r="B18" s="66" t="inlineStr">
        <is>
          <t>The captured objective is frozen, not editable</t>
        </is>
      </c>
      <c r="C18" s="66" t="inlineStr">
        <is>
          <t>O1 Custody &amp; Confidentiality</t>
        </is>
      </c>
      <c r="D18" s="66" t="inlineStr">
        <is>
          <t>#3 — INTENT, MEANING &amp; QUESTION OBJECTIVE EXTRACTED BEFORE REDACTION</t>
        </is>
      </c>
      <c r="E18" s="66" t="inlineStr">
        <is>
          <t>Doc 1</t>
        </is>
      </c>
      <c r="F18" s="73" t="inlineStr">
        <is>
          <t>CANON</t>
        </is>
      </c>
      <c r="G18" s="66" t="n"/>
      <c r="H18" s="66" t="inlineStr">
        <is>
          <t>SyniSense</t>
        </is>
      </c>
      <c r="I18" s="66" t="inlineStr">
        <is>
          <t>01_Custody_and_the_Crossing_Part_1_The_Chokepoint.md:163</t>
        </is>
      </c>
      <c r="J18" s="74" t="inlineStr">
        <is>
          <t>Base canon</t>
        </is>
      </c>
      <c r="K18" s="75" t="n"/>
    </row>
    <row r="19" ht="30" customHeight="1" s="45">
      <c r="A19" s="65" t="inlineStr">
        <is>
          <t>B5.4</t>
        </is>
      </c>
      <c r="B19" s="66" t="inlineStr">
        <is>
          <t>Declared and demonstrated intent are both recorded</t>
        </is>
      </c>
      <c r="C19" s="66" t="inlineStr">
        <is>
          <t>O1 Custody &amp; Confidentiality</t>
        </is>
      </c>
      <c r="D19" s="66" t="inlineStr">
        <is>
          <t>#3 — INTENT, MEANING &amp; QUESTION OBJECTIVE EXTRACTED BEFORE REDACTION</t>
        </is>
      </c>
      <c r="E19" s="66" t="inlineStr">
        <is>
          <t>Doc 1</t>
        </is>
      </c>
      <c r="F19" s="73" t="inlineStr">
        <is>
          <t>CANON</t>
        </is>
      </c>
      <c r="G19" s="66" t="n"/>
      <c r="H19" s="66" t="inlineStr">
        <is>
          <t>SyniSense</t>
        </is>
      </c>
      <c r="I19" s="66" t="inlineStr">
        <is>
          <t>01_Custody_and_the_Crossing_Part_1_The_Chokepoint.md:165</t>
        </is>
      </c>
      <c r="J19" s="74" t="inlineStr">
        <is>
          <t>Base canon</t>
        </is>
      </c>
      <c r="K19" s="75" t="n"/>
    </row>
    <row r="20" ht="30" customHeight="1" s="45">
      <c r="A20" s="65" t="inlineStr">
        <is>
          <t>B5.5</t>
        </is>
      </c>
      <c r="B20" s="66" t="inlineStr">
        <is>
          <t>Extraction failure is handled explicitly</t>
        </is>
      </c>
      <c r="C20" s="66" t="inlineStr">
        <is>
          <t>O1 Custody &amp; Confidentiality</t>
        </is>
      </c>
      <c r="D20" s="66" t="inlineStr">
        <is>
          <t>#3 — INTENT, MEANING &amp; QUESTION OBJECTIVE EXTRACTED BEFORE REDACTION</t>
        </is>
      </c>
      <c r="E20" s="66" t="inlineStr">
        <is>
          <t>Doc 1</t>
        </is>
      </c>
      <c r="F20" s="77" t="inlineStr">
        <is>
          <t>RULED</t>
        </is>
      </c>
      <c r="G20" s="66" t="n"/>
      <c r="H20" s="66" t="inlineStr">
        <is>
          <t>SyniSense</t>
        </is>
      </c>
      <c r="I20" s="66" t="inlineStr">
        <is>
          <t>01_Custody_and_the_Crossing_Part_1_The_Chokepoint.md:167</t>
        </is>
      </c>
      <c r="J20" s="74" t="inlineStr">
        <is>
          <t>Base canon</t>
        </is>
      </c>
      <c r="K20" s="75" t="n"/>
    </row>
    <row r="21" ht="30" customHeight="1" s="45">
      <c r="A21" s="65" t="inlineStr">
        <is>
          <t>B5.1</t>
        </is>
      </c>
      <c r="B21" s="66" t="inlineStr">
        <is>
          <t>Two items, split before assessment</t>
        </is>
      </c>
      <c r="C21" s="66" t="inlineStr">
        <is>
          <t>O1 Custody &amp; Confidentiality</t>
        </is>
      </c>
      <c r="D21" s="66" t="inlineStr">
        <is>
          <t>#4 — THE DUAL-FILE RECORD</t>
        </is>
      </c>
      <c r="E21" s="66" t="inlineStr">
        <is>
          <t>Doc 2</t>
        </is>
      </c>
      <c r="F21" s="77" t="inlineStr">
        <is>
          <t>RULED</t>
        </is>
      </c>
      <c r="G21" s="66" t="n"/>
      <c r="H21" s="66" t="inlineStr">
        <is>
          <t>SyniSense</t>
        </is>
      </c>
      <c r="I21" s="66" t="inlineStr">
        <is>
          <t>02_Custody_and_the_Crossing_Part_2_Confidentiality_and_Dual_File.md:125</t>
        </is>
      </c>
      <c r="J21" s="74" t="inlineStr">
        <is>
          <t>Base canon</t>
        </is>
      </c>
      <c r="K21" s="75" t="n"/>
    </row>
    <row r="22" ht="30" customHeight="1" s="45">
      <c r="A22" s="65" t="inlineStr">
        <is>
          <t>B5.2</t>
        </is>
      </c>
      <c r="B22" s="66" t="inlineStr">
        <is>
          <t>Independent assessment, no cross-consultation</t>
        </is>
      </c>
      <c r="C22" s="66" t="inlineStr">
        <is>
          <t>O1 Custody &amp; Confidentiality</t>
        </is>
      </c>
      <c r="D22" s="66" t="inlineStr">
        <is>
          <t>#4 — THE DUAL-FILE RECORD</t>
        </is>
      </c>
      <c r="E22" s="66" t="inlineStr">
        <is>
          <t>Doc 2</t>
        </is>
      </c>
      <c r="F22" s="77" t="inlineStr">
        <is>
          <t>RULED</t>
        </is>
      </c>
      <c r="G22" s="66" t="n"/>
      <c r="H22" s="66" t="inlineStr">
        <is>
          <t>SyniSense</t>
        </is>
      </c>
      <c r="I22" s="66" t="inlineStr">
        <is>
          <t>02_Custody_and_the_Crossing_Part_2_Confidentiality_and_Dual_File.md:127</t>
        </is>
      </c>
      <c r="J22" s="74" t="inlineStr">
        <is>
          <t>Base canon</t>
        </is>
      </c>
      <c r="K22" s="75" t="n"/>
    </row>
    <row r="23" ht="30" customHeight="1" s="45">
      <c r="A23" s="65" t="inlineStr">
        <is>
          <t>B5.3</t>
        </is>
      </c>
      <c r="B23" s="66" t="inlineStr">
        <is>
          <t>Re-association is a defined, guarded seam [PROPOSED, per Document 16 §7 discipline]</t>
        </is>
      </c>
      <c r="C23" s="66" t="inlineStr">
        <is>
          <t>O1 Custody &amp; Confidentiality</t>
        </is>
      </c>
      <c r="D23" s="66" t="inlineStr">
        <is>
          <t>#4 — THE DUAL-FILE RECORD</t>
        </is>
      </c>
      <c r="E23" s="66" t="inlineStr">
        <is>
          <t>Doc 2</t>
        </is>
      </c>
      <c r="F23" s="66" t="inlineStr">
        <is>
          <t>—</t>
        </is>
      </c>
      <c r="G23" s="66" t="n"/>
      <c r="H23" s="66" t="inlineStr">
        <is>
          <t>SyniSense</t>
        </is>
      </c>
      <c r="I23" s="66" t="inlineStr">
        <is>
          <t>02_Custody_and_the_Crossing_Part_2_Confidentiality_and_Dual_File.md:129</t>
        </is>
      </c>
      <c r="J23" s="74" t="inlineStr">
        <is>
          <t>Base canon</t>
        </is>
      </c>
      <c r="K23" s="75" t="n"/>
    </row>
    <row r="24" ht="30" customHeight="1" s="45">
      <c r="A24" s="65" t="inlineStr">
        <is>
          <t>B5.4</t>
        </is>
      </c>
      <c r="B24" s="66" t="inlineStr">
        <is>
          <t>The two files</t>
        </is>
      </c>
      <c r="C24" s="66" t="inlineStr">
        <is>
          <t>O1 Custody &amp; Confidentiality</t>
        </is>
      </c>
      <c r="D24" s="66" t="inlineStr">
        <is>
          <t>#4 — THE DUAL-FILE RECORD</t>
        </is>
      </c>
      <c r="E24" s="66" t="inlineStr">
        <is>
          <t>Doc 2</t>
        </is>
      </c>
      <c r="F24" s="66" t="inlineStr">
        <is>
          <t>—</t>
        </is>
      </c>
      <c r="G24" s="66" t="n"/>
      <c r="H24" s="66" t="inlineStr">
        <is>
          <t>SyniSense</t>
        </is>
      </c>
      <c r="I24" s="66" t="inlineStr">
        <is>
          <t>02_Custody_and_the_Crossing_Part_2_Confidentiality_and_Dual_File.md:131</t>
        </is>
      </c>
      <c r="J24" s="74" t="inlineStr">
        <is>
          <t>Base canon</t>
        </is>
      </c>
      <c r="K24" s="75" t="n"/>
    </row>
    <row r="25" ht="30" customHeight="1" s="45">
      <c r="A25" s="65" t="inlineStr">
        <is>
          <t>B5.5</t>
        </is>
      </c>
      <c r="B25" s="66" t="inlineStr">
        <is>
          <t>The single-query guarantee</t>
        </is>
      </c>
      <c r="C25" s="66" t="inlineStr">
        <is>
          <t>O1 Custody &amp; Confidentiality</t>
        </is>
      </c>
      <c r="D25" s="66" t="inlineStr">
        <is>
          <t>#4 — THE DUAL-FILE RECORD</t>
        </is>
      </c>
      <c r="E25" s="66" t="inlineStr">
        <is>
          <t>Doc 2</t>
        </is>
      </c>
      <c r="F25" s="77" t="inlineStr">
        <is>
          <t>RULED</t>
        </is>
      </c>
      <c r="G25" s="66" t="n"/>
      <c r="H25" s="66" t="inlineStr">
        <is>
          <t>SyniSense</t>
        </is>
      </c>
      <c r="I25" s="66" t="inlineStr">
        <is>
          <t>02_Custody_and_the_Crossing_Part_2_Confidentiality_and_Dual_File.md:139</t>
        </is>
      </c>
      <c r="J25" s="74" t="inlineStr">
        <is>
          <t>Base canon</t>
        </is>
      </c>
      <c r="K25" s="75" t="n"/>
    </row>
    <row r="26" ht="30" customHeight="1" s="45">
      <c r="A26" s="65" t="inlineStr">
        <is>
          <t>B5.6</t>
        </is>
      </c>
      <c r="B26" s="66" t="inlineStr">
        <is>
          <t>Cumulative disclosure across the two items</t>
        </is>
      </c>
      <c r="C26" s="66" t="inlineStr">
        <is>
          <t>O1 Custody &amp; Confidentiality</t>
        </is>
      </c>
      <c r="D26" s="66" t="inlineStr">
        <is>
          <t>#4 — THE DUAL-FILE RECORD</t>
        </is>
      </c>
      <c r="E26" s="66" t="inlineStr">
        <is>
          <t>Doc 2</t>
        </is>
      </c>
      <c r="F26" s="77" t="inlineStr">
        <is>
          <t>RULED</t>
        </is>
      </c>
      <c r="G26" s="66" t="n"/>
      <c r="H26" s="66" t="inlineStr">
        <is>
          <t>SyniSense</t>
        </is>
      </c>
      <c r="I26" s="66" t="inlineStr">
        <is>
          <t>02_Custody_and_the_Crossing_Part_2_Confidentiality_and_Dual_File.md:141</t>
        </is>
      </c>
      <c r="J26" s="74" t="inlineStr">
        <is>
          <t>Base canon</t>
        </is>
      </c>
      <c r="K26" s="75" t="n"/>
    </row>
    <row r="27" ht="30" customHeight="1" s="45">
      <c r="A27" s="65" t="inlineStr">
        <is>
          <t>A5.1</t>
        </is>
      </c>
      <c r="B27" s="66" t="inlineStr">
        <is>
          <t>The determination, stated</t>
        </is>
      </c>
      <c r="C27" s="66" t="inlineStr">
        <is>
          <t>O2 Security &amp; Intent</t>
        </is>
      </c>
      <c r="D27" s="66" t="inlineStr">
        <is>
          <t>#26 — UNIVERSAL CONTAINMENT, AND THE ONE EXCEPTION</t>
        </is>
      </c>
      <c r="E27" s="66" t="inlineStr">
        <is>
          <t>Doc 15</t>
        </is>
      </c>
      <c r="F27" s="66" t="inlineStr">
        <is>
          <t>—</t>
        </is>
      </c>
      <c r="G27" s="66" t="n"/>
      <c r="H27" s="66" t="inlineStr">
        <is>
          <t>Mkondo / Northena / Rules Service</t>
        </is>
      </c>
      <c r="I27" s="66" t="inlineStr">
        <is>
          <t>15_Platform_Orchestration_and_Governance_Ceremony.md:55</t>
        </is>
      </c>
      <c r="J27" s="74" t="inlineStr">
        <is>
          <t>Base canon</t>
        </is>
      </c>
      <c r="K27" s="75" t="n"/>
    </row>
    <row r="28" ht="30" customHeight="1" s="45">
      <c r="A28" s="65" t="inlineStr">
        <is>
          <t>A5.2</t>
        </is>
      </c>
      <c r="B28" s="66" t="inlineStr">
        <is>
          <t>Why this is sufficient, and why it is not a contradiction</t>
        </is>
      </c>
      <c r="C28" s="66" t="inlineStr">
        <is>
          <t>O2 Security &amp; Intent</t>
        </is>
      </c>
      <c r="D28" s="66" t="inlineStr">
        <is>
          <t>#26 — UNIVERSAL CONTAINMENT, AND THE ONE EXCEPTION</t>
        </is>
      </c>
      <c r="E28" s="66" t="inlineStr">
        <is>
          <t>Doc 15</t>
        </is>
      </c>
      <c r="F28" s="66" t="inlineStr">
        <is>
          <t>—</t>
        </is>
      </c>
      <c r="G28" s="66" t="n"/>
      <c r="H28" s="66" t="inlineStr">
        <is>
          <t>Mkondo / Northena / Rules Service</t>
        </is>
      </c>
      <c r="I28" s="66" t="inlineStr">
        <is>
          <t>15_Platform_Orchestration_and_Governance_Ceremony.md:65</t>
        </is>
      </c>
      <c r="J28" s="74" t="inlineStr">
        <is>
          <t>Base canon</t>
        </is>
      </c>
      <c r="K28" s="75" t="n"/>
    </row>
    <row r="29" ht="30" customHeight="1" s="45">
      <c r="A29" s="65" t="inlineStr">
        <is>
          <t>A5.3</t>
        </is>
      </c>
      <c r="B29" s="66" t="inlineStr">
        <is>
          <t>What must remain true for the determination to hold</t>
        </is>
      </c>
      <c r="C29" s="66" t="inlineStr">
        <is>
          <t>O2 Security &amp; Intent</t>
        </is>
      </c>
      <c r="D29" s="66" t="inlineStr">
        <is>
          <t>#26 — UNIVERSAL CONTAINMENT, AND THE ONE EXCEPTION</t>
        </is>
      </c>
      <c r="E29" s="66" t="inlineStr">
        <is>
          <t>Doc 15</t>
        </is>
      </c>
      <c r="F29" s="66" t="inlineStr">
        <is>
          <t>DETERMINED</t>
        </is>
      </c>
      <c r="G29" s="66" t="n"/>
      <c r="H29" s="66" t="inlineStr">
        <is>
          <t>Mkondo / Northena / Rules Service</t>
        </is>
      </c>
      <c r="I29" s="66" t="inlineStr">
        <is>
          <t>15_Platform_Orchestration_and_Governance_Ceremony.md:67</t>
        </is>
      </c>
      <c r="J29" s="74" t="inlineStr">
        <is>
          <t>Base canon</t>
        </is>
      </c>
      <c r="K29" s="75" t="n"/>
    </row>
    <row r="30" ht="30" customHeight="1" s="45">
      <c r="A30" s="65" t="inlineStr">
        <is>
          <t>A5.1</t>
        </is>
      </c>
      <c r="B30" s="66" t="inlineStr">
        <is>
          <t>The eyes never act; the hand never judges</t>
        </is>
      </c>
      <c r="C30" s="66" t="inlineStr">
        <is>
          <t>O2 Security &amp; Intent</t>
        </is>
      </c>
      <c r="D30" s="66" t="inlineStr">
        <is>
          <t>#6 — THE ADAPTIVE, INTENT-MEASURING SECURITY AGENT</t>
        </is>
      </c>
      <c r="E30" s="66" t="inlineStr">
        <is>
          <t>Doc 3</t>
        </is>
      </c>
      <c r="F30" s="66" t="inlineStr">
        <is>
          <t>—</t>
        </is>
      </c>
      <c r="G30" s="66" t="n"/>
      <c r="H30" s="66" t="inlineStr">
        <is>
          <t>The Watch</t>
        </is>
      </c>
      <c r="I30" s="66" t="inlineStr">
        <is>
          <t>03_Intent_and_Security_Monitoring.md:75</t>
        </is>
      </c>
      <c r="J30" s="74" t="inlineStr">
        <is>
          <t>Base canon</t>
        </is>
      </c>
      <c r="K30" s="75" t="n"/>
    </row>
    <row r="31" ht="30" customHeight="1" s="45">
      <c r="A31" s="65" t="inlineStr">
        <is>
          <t>A5.10</t>
        </is>
      </c>
      <c r="B31" s="66" t="inlineStr">
        <is>
          <t>One task, one identity</t>
        </is>
      </c>
      <c r="C31" s="66" t="inlineStr">
        <is>
          <t>O2 Security &amp; Intent</t>
        </is>
      </c>
      <c r="D31" s="66" t="inlineStr">
        <is>
          <t>#6 — THE ADAPTIVE, INTENT-MEASURING SECURITY AGENT</t>
        </is>
      </c>
      <c r="E31" s="66" t="inlineStr">
        <is>
          <t>Doc 3</t>
        </is>
      </c>
      <c r="F31" s="66" t="inlineStr">
        <is>
          <t>—</t>
        </is>
      </c>
      <c r="G31" s="66" t="n"/>
      <c r="H31" s="66" t="inlineStr">
        <is>
          <t>The Watch</t>
        </is>
      </c>
      <c r="I31" s="66" t="inlineStr">
        <is>
          <t>03_Intent_and_Security_Monitoring.md:93</t>
        </is>
      </c>
      <c r="J31" s="74" t="inlineStr">
        <is>
          <t>Base canon</t>
        </is>
      </c>
      <c r="K31" s="75" t="n"/>
    </row>
    <row r="32" ht="30" customHeight="1" s="45">
      <c r="A32" s="65" t="inlineStr">
        <is>
          <t>A5.11</t>
        </is>
      </c>
      <c r="B32" s="66" t="inlineStr">
        <is>
          <t>Peer, not subordinate</t>
        </is>
      </c>
      <c r="C32" s="66" t="inlineStr">
        <is>
          <t>O2 Security &amp; Intent</t>
        </is>
      </c>
      <c r="D32" s="66" t="inlineStr">
        <is>
          <t>#6 — THE ADAPTIVE, INTENT-MEASURING SECURITY AGENT</t>
        </is>
      </c>
      <c r="E32" s="66" t="inlineStr">
        <is>
          <t>Doc 3</t>
        </is>
      </c>
      <c r="F32" s="66" t="inlineStr">
        <is>
          <t>—</t>
        </is>
      </c>
      <c r="G32" s="66" t="n"/>
      <c r="H32" s="66" t="inlineStr">
        <is>
          <t>The Watch</t>
        </is>
      </c>
      <c r="I32" s="66" t="inlineStr">
        <is>
          <t>03_Intent_and_Security_Monitoring.md:95</t>
        </is>
      </c>
      <c r="J32" s="74" t="inlineStr">
        <is>
          <t>Base canon</t>
        </is>
      </c>
      <c r="K32" s="75" t="n"/>
    </row>
    <row r="33" ht="30" customHeight="1" s="45">
      <c r="A33" s="65" t="inlineStr">
        <is>
          <t>A5.12</t>
        </is>
      </c>
      <c r="B33" s="66" t="inlineStr">
        <is>
          <t>The profile is armory, not inventory</t>
        </is>
      </c>
      <c r="C33" s="66" t="inlineStr">
        <is>
          <t>O2 Security &amp; Intent</t>
        </is>
      </c>
      <c r="D33" s="66" t="inlineStr">
        <is>
          <t>#6 — THE ADAPTIVE, INTENT-MEASURING SECURITY AGENT</t>
        </is>
      </c>
      <c r="E33" s="66" t="inlineStr">
        <is>
          <t>Doc 3</t>
        </is>
      </c>
      <c r="F33" s="66" t="inlineStr">
        <is>
          <t>—</t>
        </is>
      </c>
      <c r="G33" s="66" t="n"/>
      <c r="H33" s="66" t="inlineStr">
        <is>
          <t>The Watch</t>
        </is>
      </c>
      <c r="I33" s="66" t="inlineStr">
        <is>
          <t>03_Intent_and_Security_Monitoring.md:97</t>
        </is>
      </c>
      <c r="J33" s="74" t="inlineStr">
        <is>
          <t>Base canon</t>
        </is>
      </c>
      <c r="K33" s="75" t="n"/>
    </row>
    <row r="34" ht="30" customHeight="1" s="45">
      <c r="A34" s="65" t="inlineStr">
        <is>
          <t>A5.13</t>
        </is>
      </c>
      <c r="B34" s="66" t="inlineStr">
        <is>
          <t>Self-proving, or not in force</t>
        </is>
      </c>
      <c r="C34" s="66" t="inlineStr">
        <is>
          <t>O2 Security &amp; Intent</t>
        </is>
      </c>
      <c r="D34" s="66" t="inlineStr">
        <is>
          <t>#6 — THE ADAPTIVE, INTENT-MEASURING SECURITY AGENT</t>
        </is>
      </c>
      <c r="E34" s="66" t="inlineStr">
        <is>
          <t>Doc 3</t>
        </is>
      </c>
      <c r="F34" s="66" t="inlineStr">
        <is>
          <t>—</t>
        </is>
      </c>
      <c r="G34" s="66" t="n"/>
      <c r="H34" s="66" t="inlineStr">
        <is>
          <t>The Watch</t>
        </is>
      </c>
      <c r="I34" s="66" t="inlineStr">
        <is>
          <t>03_Intent_and_Security_Monitoring.md:99</t>
        </is>
      </c>
      <c r="J34" s="74" t="inlineStr">
        <is>
          <t>Base canon</t>
        </is>
      </c>
      <c r="K34" s="75" t="n"/>
    </row>
    <row r="35" ht="30" customHeight="1" s="45">
      <c r="A35" s="65" t="inlineStr">
        <is>
          <t>A5.14</t>
        </is>
      </c>
      <c r="B35" s="66" t="inlineStr">
        <is>
          <t>The action ladder and its two ceilings</t>
        </is>
      </c>
      <c r="C35" s="66" t="inlineStr">
        <is>
          <t>O2 Security &amp; Intent</t>
        </is>
      </c>
      <c r="D35" s="66" t="inlineStr">
        <is>
          <t>#6 — THE ADAPTIVE, INTENT-MEASURING SECURITY AGENT</t>
        </is>
      </c>
      <c r="E35" s="66" t="inlineStr">
        <is>
          <t>Doc 3</t>
        </is>
      </c>
      <c r="F35" s="66" t="inlineStr">
        <is>
          <t>—</t>
        </is>
      </c>
      <c r="G35" s="66" t="n"/>
      <c r="H35" s="66" t="inlineStr">
        <is>
          <t>The Watch</t>
        </is>
      </c>
      <c r="I35" s="66" t="inlineStr">
        <is>
          <t>03_Intent_and_Security_Monitoring.md:101</t>
        </is>
      </c>
      <c r="J35" s="74" t="inlineStr">
        <is>
          <t>Base canon</t>
        </is>
      </c>
      <c r="K35" s="75" t="n"/>
    </row>
    <row r="36" ht="30" customHeight="1" s="45">
      <c r="A36" s="65" t="inlineStr">
        <is>
          <t>A5.2</t>
        </is>
      </c>
      <c r="B36" s="66" t="inlineStr">
        <is>
          <t>Certainty never exceeds evidence</t>
        </is>
      </c>
      <c r="C36" s="66" t="inlineStr">
        <is>
          <t>O2 Security &amp; Intent</t>
        </is>
      </c>
      <c r="D36" s="66" t="inlineStr">
        <is>
          <t>#6 — THE ADAPTIVE, INTENT-MEASURING SECURITY AGENT</t>
        </is>
      </c>
      <c r="E36" s="66" t="inlineStr">
        <is>
          <t>Doc 3</t>
        </is>
      </c>
      <c r="F36" s="66" t="inlineStr">
        <is>
          <t>—</t>
        </is>
      </c>
      <c r="G36" s="66" t="n"/>
      <c r="H36" s="66" t="inlineStr">
        <is>
          <t>The Watch</t>
        </is>
      </c>
      <c r="I36" s="66" t="inlineStr">
        <is>
          <t>03_Intent_and_Security_Monitoring.md:77</t>
        </is>
      </c>
      <c r="J36" s="74" t="inlineStr">
        <is>
          <t>Base canon</t>
        </is>
      </c>
      <c r="K36" s="75" t="n"/>
    </row>
    <row r="37" ht="30" customHeight="1" s="45">
      <c r="A37" s="65" t="inlineStr">
        <is>
          <t>A5.3</t>
        </is>
      </c>
      <c r="B37" s="66" t="inlineStr">
        <is>
          <t>Every autonomous act is reversible, bounded, and witnessed</t>
        </is>
      </c>
      <c r="C37" s="66" t="inlineStr">
        <is>
          <t>O2 Security &amp; Intent</t>
        </is>
      </c>
      <c r="D37" s="66" t="inlineStr">
        <is>
          <t>#6 — THE ADAPTIVE, INTENT-MEASURING SECURITY AGENT</t>
        </is>
      </c>
      <c r="E37" s="66" t="inlineStr">
        <is>
          <t>Doc 3</t>
        </is>
      </c>
      <c r="F37" s="66" t="inlineStr">
        <is>
          <t>—</t>
        </is>
      </c>
      <c r="G37" s="66" t="n"/>
      <c r="H37" s="66" t="inlineStr">
        <is>
          <t>The Watch</t>
        </is>
      </c>
      <c r="I37" s="66" t="inlineStr">
        <is>
          <t>03_Intent_and_Security_Monitoring.md:79</t>
        </is>
      </c>
      <c r="J37" s="74" t="inlineStr">
        <is>
          <t>Base canon</t>
        </is>
      </c>
      <c r="K37" s="75" t="n"/>
    </row>
    <row r="38" ht="30" customHeight="1" s="45">
      <c r="A38" s="65" t="inlineStr">
        <is>
          <t>A5.4</t>
        </is>
      </c>
      <c r="B38" s="66" t="inlineStr">
        <is>
          <t>Deployed in force, never in shadow</t>
        </is>
      </c>
      <c r="C38" s="66" t="inlineStr">
        <is>
          <t>O2 Security &amp; Intent</t>
        </is>
      </c>
      <c r="D38" s="66" t="inlineStr">
        <is>
          <t>#6 — THE ADAPTIVE, INTENT-MEASURING SECURITY AGENT</t>
        </is>
      </c>
      <c r="E38" s="66" t="inlineStr">
        <is>
          <t>Doc 3</t>
        </is>
      </c>
      <c r="F38" s="66" t="inlineStr">
        <is>
          <t>—</t>
        </is>
      </c>
      <c r="G38" s="66" t="n"/>
      <c r="H38" s="66" t="inlineStr">
        <is>
          <t>The Watch</t>
        </is>
      </c>
      <c r="I38" s="66" t="inlineStr">
        <is>
          <t>03_Intent_and_Security_Monitoring.md:81</t>
        </is>
      </c>
      <c r="J38" s="74" t="inlineStr">
        <is>
          <t>Base canon</t>
        </is>
      </c>
      <c r="K38" s="75" t="n"/>
    </row>
    <row r="39" ht="30" customHeight="1" s="45">
      <c r="A39" s="65" t="inlineStr">
        <is>
          <t>A5.5</t>
        </is>
      </c>
      <c r="B39" s="66" t="inlineStr">
        <is>
          <t>One record, two readings</t>
        </is>
      </c>
      <c r="C39" s="66" t="inlineStr">
        <is>
          <t>O2 Security &amp; Intent</t>
        </is>
      </c>
      <c r="D39" s="66" t="inlineStr">
        <is>
          <t>#6 — THE ADAPTIVE, INTENT-MEASURING SECURITY AGENT</t>
        </is>
      </c>
      <c r="E39" s="66" t="inlineStr">
        <is>
          <t>Doc 3</t>
        </is>
      </c>
      <c r="F39" s="66" t="inlineStr">
        <is>
          <t>—</t>
        </is>
      </c>
      <c r="G39" s="66" t="n"/>
      <c r="H39" s="66" t="inlineStr">
        <is>
          <t>The Watch</t>
        </is>
      </c>
      <c r="I39" s="66" t="inlineStr">
        <is>
          <t>03_Intent_and_Security_Monitoring.md:83</t>
        </is>
      </c>
      <c r="J39" s="74" t="inlineStr">
        <is>
          <t>Base canon</t>
        </is>
      </c>
      <c r="K39" s="75" t="n"/>
    </row>
    <row r="40" ht="30" customHeight="1" s="45">
      <c r="A40" s="65" t="inlineStr">
        <is>
          <t>A5.6</t>
        </is>
      </c>
      <c r="B40" s="66" t="inlineStr">
        <is>
          <t>Suspicion is refined, not accumulated</t>
        </is>
      </c>
      <c r="C40" s="66" t="inlineStr">
        <is>
          <t>O2 Security &amp; Intent</t>
        </is>
      </c>
      <c r="D40" s="66" t="inlineStr">
        <is>
          <t>#6 — THE ADAPTIVE, INTENT-MEASURING SECURITY AGENT</t>
        </is>
      </c>
      <c r="E40" s="66" t="inlineStr">
        <is>
          <t>Doc 3</t>
        </is>
      </c>
      <c r="F40" s="66" t="inlineStr">
        <is>
          <t>—</t>
        </is>
      </c>
      <c r="G40" s="66" t="n"/>
      <c r="H40" s="66" t="inlineStr">
        <is>
          <t>The Watch</t>
        </is>
      </c>
      <c r="I40" s="66" t="inlineStr">
        <is>
          <t>03_Intent_and_Security_Monitoring.md:85</t>
        </is>
      </c>
      <c r="J40" s="74" t="inlineStr">
        <is>
          <t>Base canon</t>
        </is>
      </c>
      <c r="K40" s="75" t="n"/>
    </row>
    <row r="41" ht="30" customHeight="1" s="45">
      <c r="A41" s="65" t="inlineStr">
        <is>
          <t>A5.7</t>
        </is>
      </c>
      <c r="B41" s="66" t="inlineStr">
        <is>
          <t>Conformance grants trust; non-conformance never convicts</t>
        </is>
      </c>
      <c r="C41" s="66" t="inlineStr">
        <is>
          <t>O2 Security &amp; Intent</t>
        </is>
      </c>
      <c r="D41" s="66" t="inlineStr">
        <is>
          <t>#6 — THE ADAPTIVE, INTENT-MEASURING SECURITY AGENT</t>
        </is>
      </c>
      <c r="E41" s="66" t="inlineStr">
        <is>
          <t>Doc 3</t>
        </is>
      </c>
      <c r="F41" s="66" t="inlineStr">
        <is>
          <t>—</t>
        </is>
      </c>
      <c r="G41" s="66" t="n"/>
      <c r="H41" s="66" t="inlineStr">
        <is>
          <t>The Watch</t>
        </is>
      </c>
      <c r="I41" s="66" t="inlineStr">
        <is>
          <t>03_Intent_and_Security_Monitoring.md:87</t>
        </is>
      </c>
      <c r="J41" s="74" t="inlineStr">
        <is>
          <t>Base canon</t>
        </is>
      </c>
      <c r="K41" s="75" t="n"/>
    </row>
    <row r="42" ht="30" customHeight="1" s="45">
      <c r="A42" s="65" t="inlineStr">
        <is>
          <t>A5.8</t>
        </is>
      </c>
      <c r="B42" s="66" t="inlineStr">
        <is>
          <t>The floor never learns</t>
        </is>
      </c>
      <c r="C42" s="66" t="inlineStr">
        <is>
          <t>O2 Security &amp; Intent</t>
        </is>
      </c>
      <c r="D42" s="66" t="inlineStr">
        <is>
          <t>#6 — THE ADAPTIVE, INTENT-MEASURING SECURITY AGENT</t>
        </is>
      </c>
      <c r="E42" s="66" t="inlineStr">
        <is>
          <t>Doc 3</t>
        </is>
      </c>
      <c r="F42" s="66" t="inlineStr">
        <is>
          <t>—</t>
        </is>
      </c>
      <c r="G42" s="66" t="n"/>
      <c r="H42" s="66" t="inlineStr">
        <is>
          <t>The Watch</t>
        </is>
      </c>
      <c r="I42" s="66" t="inlineStr">
        <is>
          <t>03_Intent_and_Security_Monitoring.md:89</t>
        </is>
      </c>
      <c r="J42" s="74" t="inlineStr">
        <is>
          <t>Base canon</t>
        </is>
      </c>
      <c r="K42" s="75" t="n"/>
    </row>
    <row r="43" ht="30" customHeight="1" s="45">
      <c r="A43" s="65" t="inlineStr">
        <is>
          <t>A5.9</t>
        </is>
      </c>
      <c r="B43" s="66" t="inlineStr">
        <is>
          <t>The watcher is watched from outside</t>
        </is>
      </c>
      <c r="C43" s="66" t="inlineStr">
        <is>
          <t>O2 Security &amp; Intent</t>
        </is>
      </c>
      <c r="D43" s="66" t="inlineStr">
        <is>
          <t>#6 — THE ADAPTIVE, INTENT-MEASURING SECURITY AGENT</t>
        </is>
      </c>
      <c r="E43" s="66" t="inlineStr">
        <is>
          <t>Doc 3</t>
        </is>
      </c>
      <c r="F43" s="66" t="inlineStr">
        <is>
          <t>—</t>
        </is>
      </c>
      <c r="G43" s="66" t="n"/>
      <c r="H43" s="66" t="inlineStr">
        <is>
          <t>The Watch</t>
        </is>
      </c>
      <c r="I43" s="66" t="inlineStr">
        <is>
          <t>03_Intent_and_Security_Monitoring.md:91</t>
        </is>
      </c>
      <c r="J43" s="74" t="inlineStr">
        <is>
          <t>Base canon</t>
        </is>
      </c>
      <c r="K43" s="75" t="n"/>
    </row>
    <row r="44" ht="30" customHeight="1" s="45">
      <c r="A44" s="65" t="inlineStr">
        <is>
          <t>B5.1</t>
        </is>
      </c>
      <c r="B44" s="66" t="inlineStr">
        <is>
          <t>No actor enters undeclared</t>
        </is>
      </c>
      <c r="C44" s="66" t="inlineStr">
        <is>
          <t>O2 Security &amp; Intent</t>
        </is>
      </c>
      <c r="D44" s="66" t="inlineStr">
        <is>
          <t>#7 — INTENT MEASURED ACROSS LAYERS (Security Half)</t>
        </is>
      </c>
      <c r="E44" s="66" t="inlineStr">
        <is>
          <t>Doc 3</t>
        </is>
      </c>
      <c r="F44" s="73" t="inlineStr">
        <is>
          <t>CANON</t>
        </is>
      </c>
      <c r="G44" s="66" t="n"/>
      <c r="H44" s="66" t="inlineStr">
        <is>
          <t>The Watch</t>
        </is>
      </c>
      <c r="I44" s="66" t="inlineStr">
        <is>
          <t>03_Intent_and_Security_Monitoring.md:179</t>
        </is>
      </c>
      <c r="J44" s="74" t="inlineStr">
        <is>
          <t>Base canon</t>
        </is>
      </c>
      <c r="K44" s="75" t="n"/>
    </row>
    <row r="45" ht="30" customHeight="1" s="45">
      <c r="A45" s="65" t="inlineStr">
        <is>
          <t>B5.2</t>
        </is>
      </c>
      <c r="B45" s="66" t="inlineStr">
        <is>
          <t>The signature reads two ways from one model</t>
        </is>
      </c>
      <c r="C45" s="66" t="inlineStr">
        <is>
          <t>O2 Security &amp; Intent</t>
        </is>
      </c>
      <c r="D45" s="66" t="inlineStr">
        <is>
          <t>#7 — INTENT MEASURED ACROSS LAYERS (Security Half)</t>
        </is>
      </c>
      <c r="E45" s="66" t="inlineStr">
        <is>
          <t>Doc 3</t>
        </is>
      </c>
      <c r="F45" s="73" t="inlineStr">
        <is>
          <t>CANON</t>
        </is>
      </c>
      <c r="G45" s="66" t="n"/>
      <c r="H45" s="66" t="inlineStr">
        <is>
          <t>The Watch</t>
        </is>
      </c>
      <c r="I45" s="66" t="inlineStr">
        <is>
          <t>03_Intent_and_Security_Monitoring.md:181</t>
        </is>
      </c>
      <c r="J45" s="74" t="inlineStr">
        <is>
          <t>Base canon</t>
        </is>
      </c>
      <c r="K45" s="75" t="n"/>
    </row>
    <row r="46" ht="30" customHeight="1" s="45">
      <c r="A46" s="65" t="inlineStr">
        <is>
          <t>B5.3</t>
        </is>
      </c>
      <c r="B46" s="66" t="inlineStr">
        <is>
          <t>The mark is universal and structurally checked</t>
        </is>
      </c>
      <c r="C46" s="66" t="inlineStr">
        <is>
          <t>O2 Security &amp; Intent</t>
        </is>
      </c>
      <c r="D46" s="66" t="inlineStr">
        <is>
          <t>#7 — INTENT MEASURED ACROSS LAYERS (Security Half)</t>
        </is>
      </c>
      <c r="E46" s="66" t="inlineStr">
        <is>
          <t>Doc 3</t>
        </is>
      </c>
      <c r="F46" s="73" t="inlineStr">
        <is>
          <t>CANON</t>
        </is>
      </c>
      <c r="G46" s="66" t="n"/>
      <c r="H46" s="66" t="inlineStr">
        <is>
          <t>The Watch</t>
        </is>
      </c>
      <c r="I46" s="66" t="inlineStr">
        <is>
          <t>03_Intent_and_Security_Monitoring.md:183</t>
        </is>
      </c>
      <c r="J46" s="74" t="inlineStr">
        <is>
          <t>Base canon</t>
        </is>
      </c>
      <c r="K46" s="75" t="n"/>
    </row>
    <row r="47" ht="30" customHeight="1" s="45">
      <c r="A47" s="65" t="inlineStr">
        <is>
          <t>B5.4</t>
        </is>
      </c>
      <c r="B47" s="66" t="inlineStr">
        <is>
          <t>Declared and demonstrated intent are both recorded, divergence tracked</t>
        </is>
      </c>
      <c r="C47" s="66" t="inlineStr">
        <is>
          <t>O2 Security &amp; Intent</t>
        </is>
      </c>
      <c r="D47" s="66" t="inlineStr">
        <is>
          <t>#7 — INTENT MEASURED ACROSS LAYERS (Security Half)</t>
        </is>
      </c>
      <c r="E47" s="66" t="inlineStr">
        <is>
          <t>Doc 3</t>
        </is>
      </c>
      <c r="F47" s="73" t="inlineStr">
        <is>
          <t>CANON</t>
        </is>
      </c>
      <c r="G47" s="66" t="n"/>
      <c r="H47" s="66" t="inlineStr">
        <is>
          <t>The Watch</t>
        </is>
      </c>
      <c r="I47" s="66" t="inlineStr">
        <is>
          <t>03_Intent_and_Security_Monitoring.md:185</t>
        </is>
      </c>
      <c r="J47" s="74" t="inlineStr">
        <is>
          <t>Base canon</t>
        </is>
      </c>
      <c r="K47" s="75" t="n"/>
    </row>
    <row r="48" ht="30" customHeight="1" s="45">
      <c r="A48" s="65" t="inlineStr">
        <is>
          <t>B5.5</t>
        </is>
      </c>
      <c r="B48" s="66" t="inlineStr">
        <is>
          <t>Non-conformance never convicts alone</t>
        </is>
      </c>
      <c r="C48" s="66" t="inlineStr">
        <is>
          <t>O2 Security &amp; Intent</t>
        </is>
      </c>
      <c r="D48" s="66" t="inlineStr">
        <is>
          <t>#7 — INTENT MEASURED ACROSS LAYERS (Security Half)</t>
        </is>
      </c>
      <c r="E48" s="66" t="inlineStr">
        <is>
          <t>Doc 3</t>
        </is>
      </c>
      <c r="F48" s="73" t="inlineStr">
        <is>
          <t>CANON</t>
        </is>
      </c>
      <c r="G48" s="66" t="n"/>
      <c r="H48" s="66" t="inlineStr">
        <is>
          <t>The Watch</t>
        </is>
      </c>
      <c r="I48" s="66" t="inlineStr">
        <is>
          <t>03_Intent_and_Security_Monitoring.md:187</t>
        </is>
      </c>
      <c r="J48" s="74" t="inlineStr">
        <is>
          <t>Base canon</t>
        </is>
      </c>
      <c r="K48" s="75" t="n"/>
    </row>
    <row r="49" ht="30" customHeight="1" s="45">
      <c r="A49" s="65" t="inlineStr">
        <is>
          <t>B5.1</t>
        </is>
      </c>
      <c r="B49" s="66" t="inlineStr">
        <is>
          <t>The audit opens the session and is sustained, not one-shot</t>
        </is>
      </c>
      <c r="C49" s="66" t="inlineStr">
        <is>
          <t>O2 Security &amp; Intent</t>
        </is>
      </c>
      <c r="D49" s="66" t="inlineStr">
        <is>
          <t>#7 — INTENT MEASURED WITHIN A REASONING SESSION (Reasoning Half)</t>
        </is>
      </c>
      <c r="E49" s="66" t="inlineStr">
        <is>
          <t>Doc 4</t>
        </is>
      </c>
      <c r="F49" s="73" t="inlineStr">
        <is>
          <t>CANON</t>
        </is>
      </c>
      <c r="G49" s="66" t="n"/>
      <c r="H49" s="66" t="inlineStr">
        <is>
          <t>Solva</t>
        </is>
      </c>
      <c r="I49" s="66" t="inlineStr">
        <is>
          <t>04_Reasoning_Grounding_and_the_Solver.md:121</t>
        </is>
      </c>
      <c r="J49" s="74" t="inlineStr">
        <is>
          <t>Base canon</t>
        </is>
      </c>
      <c r="K49" s="75" t="n"/>
    </row>
    <row r="50" ht="30" customHeight="1" s="45">
      <c r="A50" s="65" t="inlineStr">
        <is>
          <t>B5.2</t>
        </is>
      </c>
      <c r="B50" s="66" t="inlineStr">
        <is>
          <t>Divergence is a second synthesis-gate trigger</t>
        </is>
      </c>
      <c r="C50" s="66" t="inlineStr">
        <is>
          <t>O2 Security &amp; Intent</t>
        </is>
      </c>
      <c r="D50" s="66" t="inlineStr">
        <is>
          <t>#7 — INTENT MEASURED WITHIN A REASONING SESSION (Reasoning Half)</t>
        </is>
      </c>
      <c r="E50" s="66" t="inlineStr">
        <is>
          <t>Doc 4</t>
        </is>
      </c>
      <c r="F50" s="73" t="inlineStr">
        <is>
          <t>CANON</t>
        </is>
      </c>
      <c r="G50" s="66" t="n"/>
      <c r="H50" s="66" t="inlineStr">
        <is>
          <t>Solva</t>
        </is>
      </c>
      <c r="I50" s="66" t="inlineStr">
        <is>
          <t>04_Reasoning_Grounding_and_the_Solver.md:123</t>
        </is>
      </c>
      <c r="J50" s="74" t="inlineStr">
        <is>
          <t>Base canon</t>
        </is>
      </c>
      <c r="K50" s="75" t="n"/>
    </row>
    <row r="51" ht="30" customHeight="1" s="45">
      <c r="A51" s="65" t="inlineStr">
        <is>
          <t>B5.3</t>
        </is>
      </c>
      <c r="B51" s="66" t="inlineStr">
        <is>
          <t>Solva reasons on divergence; the Watch enforces</t>
        </is>
      </c>
      <c r="C51" s="66" t="inlineStr">
        <is>
          <t>O2 Security &amp; Intent</t>
        </is>
      </c>
      <c r="D51" s="66" t="inlineStr">
        <is>
          <t>#7 — INTENT MEASURED WITHIN A REASONING SESSION (Reasoning Half)</t>
        </is>
      </c>
      <c r="E51" s="66" t="inlineStr">
        <is>
          <t>Doc 4</t>
        </is>
      </c>
      <c r="F51" s="73" t="inlineStr">
        <is>
          <t>CANON</t>
        </is>
      </c>
      <c r="G51" s="66" t="n"/>
      <c r="H51" s="66" t="inlineStr">
        <is>
          <t>Solva</t>
        </is>
      </c>
      <c r="I51" s="66" t="inlineStr">
        <is>
          <t>04_Reasoning_Grounding_and_the_Solver.md:125</t>
        </is>
      </c>
      <c r="J51" s="74" t="inlineStr">
        <is>
          <t>Base canon</t>
        </is>
      </c>
      <c r="K51" s="75" t="n"/>
    </row>
    <row r="52" ht="30" customHeight="1" s="45">
      <c r="A52" s="65" t="inlineStr">
        <is>
          <t>C5.1</t>
        </is>
      </c>
      <c r="B52" s="66" t="inlineStr">
        <is>
          <t>Two faculties, one-way seam, enforced by import assertion</t>
        </is>
      </c>
      <c r="C52" s="66" t="inlineStr">
        <is>
          <t>O3 Reasoning &amp; Grounding</t>
        </is>
      </c>
      <c r="D52" s="66" t="inlineStr">
        <is>
          <t>#31 — THE SOPHISTICATED REASONING TOOL (SOLVA ITSELF)</t>
        </is>
      </c>
      <c r="E52" s="66" t="inlineStr">
        <is>
          <t>Doc 4</t>
        </is>
      </c>
      <c r="F52" s="73" t="inlineStr">
        <is>
          <t>CANON</t>
        </is>
      </c>
      <c r="G52" s="66" t="n"/>
      <c r="H52" s="66" t="inlineStr">
        <is>
          <t>Solva</t>
        </is>
      </c>
      <c r="I52" s="66" t="inlineStr">
        <is>
          <t>04_Reasoning_Grounding_and_the_Solver.md:175</t>
        </is>
      </c>
      <c r="J52" s="74" t="inlineStr">
        <is>
          <t>Base canon</t>
        </is>
      </c>
      <c r="K52" s="75" t="n"/>
    </row>
    <row r="53" ht="30" customHeight="1" s="45">
      <c r="A53" s="65" t="inlineStr">
        <is>
          <t>C5.2</t>
        </is>
      </c>
      <c r="B53" s="66" t="inlineStr">
        <is>
          <t>Tension surfaces contested material, never averages it</t>
        </is>
      </c>
      <c r="C53" s="66" t="inlineStr">
        <is>
          <t>O3 Reasoning &amp; Grounding</t>
        </is>
      </c>
      <c r="D53" s="66" t="inlineStr">
        <is>
          <t>#31 — THE SOPHISTICATED REASONING TOOL (SOLVA ITSELF)</t>
        </is>
      </c>
      <c r="E53" s="66" t="inlineStr">
        <is>
          <t>Doc 4</t>
        </is>
      </c>
      <c r="F53" s="73" t="inlineStr">
        <is>
          <t>CANON</t>
        </is>
      </c>
      <c r="G53" s="66" t="n"/>
      <c r="H53" s="66" t="inlineStr">
        <is>
          <t>Solva</t>
        </is>
      </c>
      <c r="I53" s="66" t="inlineStr">
        <is>
          <t>04_Reasoning_Grounding_and_the_Solver.md:177</t>
        </is>
      </c>
      <c r="J53" s="74" t="inlineStr">
        <is>
          <t>Base canon</t>
        </is>
      </c>
      <c r="K53" s="75" t="n"/>
    </row>
    <row r="54" ht="30" customHeight="1" s="45">
      <c r="A54" s="65" t="inlineStr">
        <is>
          <t>C5.3</t>
        </is>
      </c>
      <c r="B54" s="66" t="inlineStr">
        <is>
          <t>Load-bearing identification returns unit references only</t>
        </is>
      </c>
      <c r="C54" s="66" t="inlineStr">
        <is>
          <t>O3 Reasoning &amp; Grounding</t>
        </is>
      </c>
      <c r="D54" s="66" t="inlineStr">
        <is>
          <t>#31 — THE SOPHISTICATED REASONING TOOL (SOLVA ITSELF)</t>
        </is>
      </c>
      <c r="E54" s="66" t="inlineStr">
        <is>
          <t>Doc 4</t>
        </is>
      </c>
      <c r="F54" s="73" t="inlineStr">
        <is>
          <t>CANON</t>
        </is>
      </c>
      <c r="G54" s="66" t="n"/>
      <c r="H54" s="66" t="inlineStr">
        <is>
          <t>Solva</t>
        </is>
      </c>
      <c r="I54" s="66" t="inlineStr">
        <is>
          <t>04_Reasoning_Grounding_and_the_Solver.md:179</t>
        </is>
      </c>
      <c r="J54" s="74" t="inlineStr">
        <is>
          <t>Base canon</t>
        </is>
      </c>
      <c r="K54" s="75" t="n"/>
    </row>
    <row r="55" ht="30" customHeight="1" s="45">
      <c r="A55" s="65" t="inlineStr">
        <is>
          <t>C5.4</t>
        </is>
      </c>
      <c r="B55" s="66" t="inlineStr">
        <is>
          <t>Construction order: the boundary is built first</t>
        </is>
      </c>
      <c r="C55" s="66" t="inlineStr">
        <is>
          <t>O3 Reasoning &amp; Grounding</t>
        </is>
      </c>
      <c r="D55" s="66" t="inlineStr">
        <is>
          <t>#31 — THE SOPHISTICATED REASONING TOOL (SOLVA ITSELF)</t>
        </is>
      </c>
      <c r="E55" s="66" t="inlineStr">
        <is>
          <t>Doc 4</t>
        </is>
      </c>
      <c r="F55" s="73" t="inlineStr">
        <is>
          <t>CANON</t>
        </is>
      </c>
      <c r="G55" s="66" t="n"/>
      <c r="H55" s="66" t="inlineStr">
        <is>
          <t>Solva</t>
        </is>
      </c>
      <c r="I55" s="66" t="inlineStr">
        <is>
          <t>04_Reasoning_Grounding_and_the_Solver.md:181</t>
        </is>
      </c>
      <c r="J55" s="74" t="inlineStr">
        <is>
          <t>Base canon</t>
        </is>
      </c>
      <c r="K55" s="75" t="n"/>
    </row>
    <row r="56" ht="30" customHeight="1" s="45">
      <c r="A56" s="65" t="inlineStr">
        <is>
          <t>C5.5</t>
        </is>
      </c>
      <c r="B56" s="66" t="inlineStr">
        <is>
          <t>The floor and class verdict are read-only to Solva</t>
        </is>
      </c>
      <c r="C56" s="66" t="inlineStr">
        <is>
          <t>O3 Reasoning &amp; Grounding</t>
        </is>
      </c>
      <c r="D56" s="66" t="inlineStr">
        <is>
          <t>#31 — THE SOPHISTICATED REASONING TOOL (SOLVA ITSELF)</t>
        </is>
      </c>
      <c r="E56" s="66" t="inlineStr">
        <is>
          <t>Doc 4</t>
        </is>
      </c>
      <c r="F56" s="73" t="inlineStr">
        <is>
          <t>CANON</t>
        </is>
      </c>
      <c r="G56" s="66" t="n"/>
      <c r="H56" s="66" t="inlineStr">
        <is>
          <t>Solva</t>
        </is>
      </c>
      <c r="I56" s="66" t="inlineStr">
        <is>
          <t>04_Reasoning_Grounding_and_the_Solver.md:183</t>
        </is>
      </c>
      <c r="J56" s="74" t="inlineStr">
        <is>
          <t>Base canon</t>
        </is>
      </c>
      <c r="K56" s="75" t="n"/>
    </row>
    <row r="57" ht="30" customHeight="1" s="45">
      <c r="A57" s="65" t="inlineStr">
        <is>
          <t>C5.6</t>
        </is>
      </c>
      <c r="B57" s="66" t="inlineStr">
        <is>
          <t>The trace exists from the first commit</t>
        </is>
      </c>
      <c r="C57" s="66" t="inlineStr">
        <is>
          <t>O3 Reasoning &amp; Grounding</t>
        </is>
      </c>
      <c r="D57" s="66" t="inlineStr">
        <is>
          <t>#31 — THE SOPHISTICATED REASONING TOOL (SOLVA ITSELF)</t>
        </is>
      </c>
      <c r="E57" s="66" t="inlineStr">
        <is>
          <t>Doc 4</t>
        </is>
      </c>
      <c r="F57" s="73" t="inlineStr">
        <is>
          <t>CANON</t>
        </is>
      </c>
      <c r="G57" s="66" t="n"/>
      <c r="H57" s="66" t="inlineStr">
        <is>
          <t>Solva</t>
        </is>
      </c>
      <c r="I57" s="66" t="inlineStr">
        <is>
          <t>04_Reasoning_Grounding_and_the_Solver.md:185</t>
        </is>
      </c>
      <c r="J57" s="74" t="inlineStr">
        <is>
          <t>Base canon</t>
        </is>
      </c>
      <c r="K57" s="75" t="n"/>
    </row>
    <row r="58" ht="30" customHeight="1" s="45">
      <c r="A58" s="65" t="inlineStr">
        <is>
          <t>C5.7</t>
        </is>
      </c>
      <c r="B58" s="66" t="inlineStr">
        <is>
          <t>Solva governs depth only</t>
        </is>
      </c>
      <c r="C58" s="66" t="inlineStr">
        <is>
          <t>O3 Reasoning &amp; Grounding</t>
        </is>
      </c>
      <c r="D58" s="66" t="inlineStr">
        <is>
          <t>#31 — THE SOPHISTICATED REASONING TOOL (SOLVA ITSELF)</t>
        </is>
      </c>
      <c r="E58" s="66" t="inlineStr">
        <is>
          <t>Doc 4</t>
        </is>
      </c>
      <c r="F58" s="73" t="inlineStr">
        <is>
          <t>CANON</t>
        </is>
      </c>
      <c r="G58" s="66" t="n"/>
      <c r="H58" s="66" t="inlineStr">
        <is>
          <t>Solva</t>
        </is>
      </c>
      <c r="I58" s="66" t="inlineStr">
        <is>
          <t>04_Reasoning_Grounding_and_the_Solver.md:187</t>
        </is>
      </c>
      <c r="J58" s="74" t="inlineStr">
        <is>
          <t>Base canon</t>
        </is>
      </c>
      <c r="K58" s="75" t="n"/>
    </row>
    <row r="59" ht="30" customHeight="1" s="45">
      <c r="A59" s="65" t="inlineStr">
        <is>
          <t>A5.1</t>
        </is>
      </c>
      <c r="B59" s="66" t="inlineStr">
        <is>
          <t>Grounding enforced per sentence</t>
        </is>
      </c>
      <c r="C59" s="66" t="inlineStr">
        <is>
          <t>O3 Reasoning &amp; Grounding</t>
        </is>
      </c>
      <c r="D59" s="66" t="inlineStr">
        <is>
          <t>#8 — GUARDS AGAINST HALLUCINATION</t>
        </is>
      </c>
      <c r="E59" s="66" t="inlineStr">
        <is>
          <t>Doc 4</t>
        </is>
      </c>
      <c r="F59" s="73" t="inlineStr">
        <is>
          <t>CANON</t>
        </is>
      </c>
      <c r="G59" s="66" t="n"/>
      <c r="H59" s="66" t="inlineStr">
        <is>
          <t>Solva</t>
        </is>
      </c>
      <c r="I59" s="66" t="inlineStr">
        <is>
          <t>04_Reasoning_Grounding_and_the_Solver.md:61</t>
        </is>
      </c>
      <c r="J59" s="74" t="inlineStr">
        <is>
          <t>Base canon</t>
        </is>
      </c>
      <c r="K59" s="75" t="n"/>
    </row>
    <row r="60" ht="30" customHeight="1" s="45">
      <c r="A60" s="65" t="inlineStr">
        <is>
          <t>A5.2</t>
        </is>
      </c>
      <c r="B60" s="66" t="inlineStr">
        <is>
          <t>The lower-rung fallback, preserved byte-identical</t>
        </is>
      </c>
      <c r="C60" s="66" t="inlineStr">
        <is>
          <t>O3 Reasoning &amp; Grounding</t>
        </is>
      </c>
      <c r="D60" s="66" t="inlineStr">
        <is>
          <t>#8 — GUARDS AGAINST HALLUCINATION</t>
        </is>
      </c>
      <c r="E60" s="66" t="inlineStr">
        <is>
          <t>Doc 4</t>
        </is>
      </c>
      <c r="F60" s="73" t="inlineStr">
        <is>
          <t>CANON</t>
        </is>
      </c>
      <c r="G60" s="66" t="n"/>
      <c r="H60" s="66" t="inlineStr">
        <is>
          <t>Solva</t>
        </is>
      </c>
      <c r="I60" s="66" t="inlineStr">
        <is>
          <t>04_Reasoning_Grounding_and_the_Solver.md:63</t>
        </is>
      </c>
      <c r="J60" s="74" t="inlineStr">
        <is>
          <t>Base canon</t>
        </is>
      </c>
      <c r="K60" s="75" t="n"/>
    </row>
    <row r="61" ht="30" customHeight="1" s="45">
      <c r="A61" s="65" t="inlineStr">
        <is>
          <t>A5.3</t>
        </is>
      </c>
      <c r="B61" s="66" t="inlineStr">
        <is>
          <t>The assertion boundary is parameterless</t>
        </is>
      </c>
      <c r="C61" s="66" t="inlineStr">
        <is>
          <t>O3 Reasoning &amp; Grounding</t>
        </is>
      </c>
      <c r="D61" s="66" t="inlineStr">
        <is>
          <t>#8 — GUARDS AGAINST HALLUCINATION</t>
        </is>
      </c>
      <c r="E61" s="66" t="inlineStr">
        <is>
          <t>Doc 4</t>
        </is>
      </c>
      <c r="F61" s="73" t="inlineStr">
        <is>
          <t>CANON</t>
        </is>
      </c>
      <c r="G61" s="66" t="n"/>
      <c r="H61" s="66" t="inlineStr">
        <is>
          <t>Solva</t>
        </is>
      </c>
      <c r="I61" s="66" t="inlineStr">
        <is>
          <t>04_Reasoning_Grounding_and_the_Solver.md:65</t>
        </is>
      </c>
      <c r="J61" s="74" t="inlineStr">
        <is>
          <t>Base canon</t>
        </is>
      </c>
      <c r="K61" s="75" t="n"/>
    </row>
    <row r="62" ht="30" customHeight="1" s="45">
      <c r="A62" s="65" t="inlineStr">
        <is>
          <t>A5.4</t>
        </is>
      </c>
      <c r="B62" s="66" t="inlineStr">
        <is>
          <t>Qualification is a partition, not a read-time filter</t>
        </is>
      </c>
      <c r="C62" s="66" t="inlineStr">
        <is>
          <t>O3 Reasoning &amp; Grounding</t>
        </is>
      </c>
      <c r="D62" s="66" t="inlineStr">
        <is>
          <t>#8 — GUARDS AGAINST HALLUCINATION</t>
        </is>
      </c>
      <c r="E62" s="66" t="inlineStr">
        <is>
          <t>Doc 4</t>
        </is>
      </c>
      <c r="F62" s="73" t="inlineStr">
        <is>
          <t>CANON</t>
        </is>
      </c>
      <c r="G62" s="66" t="n"/>
      <c r="H62" s="66" t="inlineStr">
        <is>
          <t>Solva</t>
        </is>
      </c>
      <c r="I62" s="66" t="inlineStr">
        <is>
          <t>04_Reasoning_Grounding_and_the_Solver.md:67</t>
        </is>
      </c>
      <c r="J62" s="74" t="inlineStr">
        <is>
          <t>Base canon</t>
        </is>
      </c>
      <c r="K62" s="75" t="n"/>
    </row>
    <row r="63" ht="30" customHeight="1" s="45">
      <c r="A63" s="65" t="inlineStr">
        <is>
          <t>A5.5</t>
        </is>
      </c>
      <c r="B63" s="66" t="inlineStr">
        <is>
          <t>Refusal is visible and actionable, never a silent downgrade</t>
        </is>
      </c>
      <c r="C63" s="66" t="inlineStr">
        <is>
          <t>O3 Reasoning &amp; Grounding</t>
        </is>
      </c>
      <c r="D63" s="66" t="inlineStr">
        <is>
          <t>#8 — GUARDS AGAINST HALLUCINATION</t>
        </is>
      </c>
      <c r="E63" s="66" t="inlineStr">
        <is>
          <t>Doc 4</t>
        </is>
      </c>
      <c r="F63" s="73" t="inlineStr">
        <is>
          <t>CANON</t>
        </is>
      </c>
      <c r="G63" s="66" t="n"/>
      <c r="H63" s="66" t="inlineStr">
        <is>
          <t>Solva</t>
        </is>
      </c>
      <c r="I63" s="66" t="inlineStr">
        <is>
          <t>04_Reasoning_Grounding_and_the_Solver.md:69</t>
        </is>
      </c>
      <c r="J63" s="74" t="inlineStr">
        <is>
          <t>Base canon</t>
        </is>
      </c>
      <c r="K63" s="75" t="n"/>
    </row>
    <row r="64" ht="30" customHeight="1" s="45">
      <c r="A64" s="65" t="inlineStr">
        <is>
          <t>A5.1</t>
        </is>
      </c>
      <c r="B64" s="66" t="inlineStr">
        <is>
          <t>Deterministic by construction, enforced structurally</t>
        </is>
      </c>
      <c r="C64" s="66" t="inlineStr">
        <is>
          <t>O4 Direction, Scope &amp; Focus</t>
        </is>
      </c>
      <c r="D64" s="66" t="inlineStr">
        <is>
          <t>#16 — FOCUS MAINTAINED UNDER MASSIVE CONTEXT</t>
        </is>
      </c>
      <c r="E64" s="66" t="inlineStr">
        <is>
          <t>Doc 5</t>
        </is>
      </c>
      <c r="F64" s="73" t="inlineStr">
        <is>
          <t>CANON</t>
        </is>
      </c>
      <c r="G64" s="66" t="n"/>
      <c r="H64" s="66" t="inlineStr">
        <is>
          <t>Northena</t>
        </is>
      </c>
      <c r="I64" s="66" t="inlineStr">
        <is>
          <t>05_Direction_Scope_and_Focus_Part_1_Northena.md:65</t>
        </is>
      </c>
      <c r="J64" s="74" t="inlineStr">
        <is>
          <t>Base canon</t>
        </is>
      </c>
      <c r="K64" s="75" t="n"/>
    </row>
    <row r="65" ht="30" customHeight="1" s="45">
      <c r="A65" s="65" t="inlineStr">
        <is>
          <t>A5.2</t>
        </is>
      </c>
      <c r="B65" s="66" t="inlineStr">
        <is>
          <t>The accountability standard</t>
        </is>
      </c>
      <c r="C65" s="66" t="inlineStr">
        <is>
          <t>O4 Direction, Scope &amp; Focus</t>
        </is>
      </c>
      <c r="D65" s="66" t="inlineStr">
        <is>
          <t>#16 — FOCUS MAINTAINED UNDER MASSIVE CONTEXT</t>
        </is>
      </c>
      <c r="E65" s="66" t="inlineStr">
        <is>
          <t>Doc 5</t>
        </is>
      </c>
      <c r="F65" s="73" t="inlineStr">
        <is>
          <t>CANON</t>
        </is>
      </c>
      <c r="G65" s="66" t="n"/>
      <c r="H65" s="66" t="inlineStr">
        <is>
          <t>Northena</t>
        </is>
      </c>
      <c r="I65" s="66" t="inlineStr">
        <is>
          <t>05_Direction_Scope_and_Focus_Part_1_Northena.md:67</t>
        </is>
      </c>
      <c r="J65" s="74" t="inlineStr">
        <is>
          <t>Base canon</t>
        </is>
      </c>
      <c r="K65" s="75" t="n"/>
    </row>
    <row r="66" ht="30" customHeight="1" s="45">
      <c r="A66" s="65" t="inlineStr">
        <is>
          <t>A5.3</t>
        </is>
      </c>
      <c r="B66" s="66" t="inlineStr">
        <is>
          <t>Admit freezes; judgement is borrowed, never performed</t>
        </is>
      </c>
      <c r="C66" s="66" t="inlineStr">
        <is>
          <t>O4 Direction, Scope &amp; Focus</t>
        </is>
      </c>
      <c r="D66" s="66" t="inlineStr">
        <is>
          <t>#16 — FOCUS MAINTAINED UNDER MASSIVE CONTEXT</t>
        </is>
      </c>
      <c r="E66" s="66" t="inlineStr">
        <is>
          <t>Doc 5</t>
        </is>
      </c>
      <c r="F66" s="73" t="inlineStr">
        <is>
          <t>CANON</t>
        </is>
      </c>
      <c r="G66" s="66" t="n"/>
      <c r="H66" s="66" t="inlineStr">
        <is>
          <t>Northena</t>
        </is>
      </c>
      <c r="I66" s="66" t="inlineStr">
        <is>
          <t>05_Direction_Scope_and_Focus_Part_1_Northena.md:69</t>
        </is>
      </c>
      <c r="J66" s="74" t="inlineStr">
        <is>
          <t>Base canon</t>
        </is>
      </c>
      <c r="K66" s="75" t="n"/>
    </row>
    <row r="67" ht="30" customHeight="1" s="45">
      <c r="A67" s="65" t="inlineStr">
        <is>
          <t>A5.4</t>
        </is>
      </c>
      <c r="B67" s="66" t="inlineStr">
        <is>
          <t>Gate is strict set-membership, with no inferential path</t>
        </is>
      </c>
      <c r="C67" s="66" t="inlineStr">
        <is>
          <t>O4 Direction, Scope &amp; Focus</t>
        </is>
      </c>
      <c r="D67" s="66" t="inlineStr">
        <is>
          <t>#16 — FOCUS MAINTAINED UNDER MASSIVE CONTEXT</t>
        </is>
      </c>
      <c r="E67" s="66" t="inlineStr">
        <is>
          <t>Doc 5</t>
        </is>
      </c>
      <c r="F67" s="73" t="inlineStr">
        <is>
          <t>CANON</t>
        </is>
      </c>
      <c r="G67" s="66" t="n"/>
      <c r="H67" s="66" t="inlineStr">
        <is>
          <t>Northena</t>
        </is>
      </c>
      <c r="I67" s="66" t="inlineStr">
        <is>
          <t>05_Direction_Scope_and_Focus_Part_1_Northena.md:71</t>
        </is>
      </c>
      <c r="J67" s="74" t="inlineStr">
        <is>
          <t>Base canon</t>
        </is>
      </c>
      <c r="K67" s="75" t="n"/>
    </row>
    <row r="68" ht="30" customHeight="1" s="45">
      <c r="A68" s="65" t="inlineStr">
        <is>
          <t>A5.5</t>
        </is>
      </c>
      <c r="B68" s="66" t="inlineStr">
        <is>
          <t>Converge owns the halt on fixed conditions</t>
        </is>
      </c>
      <c r="C68" s="66" t="inlineStr">
        <is>
          <t>O4 Direction, Scope &amp; Focus</t>
        </is>
      </c>
      <c r="D68" s="66" t="inlineStr">
        <is>
          <t>#16 — FOCUS MAINTAINED UNDER MASSIVE CONTEXT</t>
        </is>
      </c>
      <c r="E68" s="66" t="inlineStr">
        <is>
          <t>Doc 5</t>
        </is>
      </c>
      <c r="F68" s="73" t="inlineStr">
        <is>
          <t>CANON</t>
        </is>
      </c>
      <c r="G68" s="66" t="n"/>
      <c r="H68" s="66" t="inlineStr">
        <is>
          <t>Northena</t>
        </is>
      </c>
      <c r="I68" s="66" t="inlineStr">
        <is>
          <t>05_Direction_Scope_and_Focus_Part_1_Northena.md:73</t>
        </is>
      </c>
      <c r="J68" s="74" t="inlineStr">
        <is>
          <t>Base canon</t>
        </is>
      </c>
      <c r="K68" s="75" t="n"/>
    </row>
    <row r="69" ht="30" customHeight="1" s="45">
      <c r="A69" s="65" t="inlineStr">
        <is>
          <t>A5.6</t>
        </is>
      </c>
      <c r="B69" s="66" t="inlineStr">
        <is>
          <t>The budget is a hard stop</t>
        </is>
      </c>
      <c r="C69" s="66" t="inlineStr">
        <is>
          <t>O4 Direction, Scope &amp; Focus</t>
        </is>
      </c>
      <c r="D69" s="66" t="inlineStr">
        <is>
          <t>#16 — FOCUS MAINTAINED UNDER MASSIVE CONTEXT</t>
        </is>
      </c>
      <c r="E69" s="66" t="inlineStr">
        <is>
          <t>Doc 5</t>
        </is>
      </c>
      <c r="F69" s="73" t="inlineStr">
        <is>
          <t>CANON</t>
        </is>
      </c>
      <c r="G69" s="66" t="n"/>
      <c r="H69" s="66" t="inlineStr">
        <is>
          <t>Northena</t>
        </is>
      </c>
      <c r="I69" s="66" t="inlineStr">
        <is>
          <t>05_Direction_Scope_and_Focus_Part_1_Northena.md:75</t>
        </is>
      </c>
      <c r="J69" s="74" t="inlineStr">
        <is>
          <t>Base canon</t>
        </is>
      </c>
      <c r="K69" s="75" t="n"/>
    </row>
    <row r="70" ht="30" customHeight="1" s="45">
      <c r="A70" s="65" t="inlineStr">
        <is>
          <t>A5.1</t>
        </is>
      </c>
      <c r="B70" s="66" t="inlineStr">
        <is>
          <t>Minimal-sufficient assembly is the default for every consumer</t>
        </is>
      </c>
      <c r="C70" s="66" t="inlineStr">
        <is>
          <t>O4 Direction, Scope &amp; Focus</t>
        </is>
      </c>
      <c r="D70" s="66" t="inlineStr">
        <is>
          <t>#17 — PROGRESSIVE DISCLOSURE</t>
        </is>
      </c>
      <c r="E70" s="66" t="inlineStr">
        <is>
          <t>Doc 6</t>
        </is>
      </c>
      <c r="F70" s="76" t="inlineStr">
        <is>
          <t>PROPOSED</t>
        </is>
      </c>
      <c r="G70" s="66" t="n"/>
      <c r="H70" s="66" t="inlineStr">
        <is>
          <t>Northena</t>
        </is>
      </c>
      <c r="I70" s="66" t="inlineStr">
        <is>
          <t>06_Direction_Scope_and_Focus_Part_2_Progressive_Disclosure.md:65</t>
        </is>
      </c>
      <c r="J70" s="74" t="inlineStr">
        <is>
          <t>Base canon</t>
        </is>
      </c>
      <c r="K70" s="75" t="n"/>
    </row>
    <row r="71" ht="30" customHeight="1" s="45">
      <c r="A71" s="65" t="inlineStr">
        <is>
          <t>A5.2</t>
        </is>
      </c>
      <c r="B71" s="66" t="inlineStr">
        <is>
          <t>Expansion is an explicit, governed request</t>
        </is>
      </c>
      <c r="C71" s="66" t="inlineStr">
        <is>
          <t>O4 Direction, Scope &amp; Focus</t>
        </is>
      </c>
      <c r="D71" s="66" t="inlineStr">
        <is>
          <t>#17 — PROGRESSIVE DISCLOSURE</t>
        </is>
      </c>
      <c r="E71" s="66" t="inlineStr">
        <is>
          <t>Doc 6</t>
        </is>
      </c>
      <c r="F71" s="76" t="inlineStr">
        <is>
          <t>PROPOSED</t>
        </is>
      </c>
      <c r="G71" s="66" t="n"/>
      <c r="H71" s="66" t="inlineStr">
        <is>
          <t>Northena</t>
        </is>
      </c>
      <c r="I71" s="66" t="inlineStr">
        <is>
          <t>06_Direction_Scope_and_Focus_Part_2_Progressive_Disclosure.md:67</t>
        </is>
      </c>
      <c r="J71" s="74" t="inlineStr">
        <is>
          <t>Base canon</t>
        </is>
      </c>
      <c r="K71" s="75" t="n"/>
    </row>
    <row r="72" ht="30" customHeight="1" s="45">
      <c r="A72" s="65" t="inlineStr">
        <is>
          <t>A5.3</t>
        </is>
      </c>
      <c r="B72" s="66" t="inlineStr">
        <is>
          <t>The discipline is consumer-agnostic — no human-absent bypass</t>
        </is>
      </c>
      <c r="C72" s="66" t="inlineStr">
        <is>
          <t>O4 Direction, Scope &amp; Focus</t>
        </is>
      </c>
      <c r="D72" s="66" t="inlineStr">
        <is>
          <t>#17 — PROGRESSIVE DISCLOSURE</t>
        </is>
      </c>
      <c r="E72" s="66" t="inlineStr">
        <is>
          <t>Doc 6</t>
        </is>
      </c>
      <c r="F72" s="77" t="inlineStr">
        <is>
          <t>RULED</t>
        </is>
      </c>
      <c r="G72" s="66" t="n"/>
      <c r="H72" s="66" t="inlineStr">
        <is>
          <t>Northena</t>
        </is>
      </c>
      <c r="I72" s="66" t="inlineStr">
        <is>
          <t>06_Direction_Scope_and_Focus_Part_2_Progressive_Disclosure.md:69</t>
        </is>
      </c>
      <c r="J72" s="74" t="inlineStr">
        <is>
          <t>Base canon</t>
        </is>
      </c>
      <c r="K72" s="75" t="n"/>
    </row>
    <row r="73" ht="30" customHeight="1" s="45">
      <c r="A73" s="65" t="inlineStr">
        <is>
          <t>A5.4</t>
        </is>
      </c>
      <c r="B73" s="66" t="inlineStr">
        <is>
          <t>Disclosure breadth is recorded and attributable</t>
        </is>
      </c>
      <c r="C73" s="66" t="inlineStr">
        <is>
          <t>O4 Direction, Scope &amp; Focus</t>
        </is>
      </c>
      <c r="D73" s="66" t="inlineStr">
        <is>
          <t>#17 — PROGRESSIVE DISCLOSURE</t>
        </is>
      </c>
      <c r="E73" s="66" t="inlineStr">
        <is>
          <t>Doc 6</t>
        </is>
      </c>
      <c r="F73" s="76" t="inlineStr">
        <is>
          <t>PROPOSED</t>
        </is>
      </c>
      <c r="G73" s="66" t="n"/>
      <c r="H73" s="66" t="inlineStr">
        <is>
          <t>Northena</t>
        </is>
      </c>
      <c r="I73" s="66" t="inlineStr">
        <is>
          <t>06_Direction_Scope_and_Focus_Part_2_Progressive_Disclosure.md:71</t>
        </is>
      </c>
      <c r="J73" s="74" t="inlineStr">
        <is>
          <t>Base canon</t>
        </is>
      </c>
      <c r="K73" s="75" t="n"/>
    </row>
    <row r="74" ht="30" customHeight="1" s="45">
      <c r="A74" s="65" t="inlineStr">
        <is>
          <t>A5.5</t>
        </is>
      </c>
      <c r="B74" s="66" t="inlineStr">
        <is>
          <t>Minimal-sufficient is defined per task type, not guessed per call</t>
        </is>
      </c>
      <c r="C74" s="66" t="inlineStr">
        <is>
          <t>O4 Direction, Scope &amp; Focus</t>
        </is>
      </c>
      <c r="D74" s="66" t="inlineStr">
        <is>
          <t>#17 — PROGRESSIVE DISCLOSURE</t>
        </is>
      </c>
      <c r="E74" s="66" t="inlineStr">
        <is>
          <t>Doc 6</t>
        </is>
      </c>
      <c r="F74" s="77" t="inlineStr">
        <is>
          <t>RULED</t>
        </is>
      </c>
      <c r="G74" s="66" t="n"/>
      <c r="H74" s="66" t="inlineStr">
        <is>
          <t>Northena</t>
        </is>
      </c>
      <c r="I74" s="66" t="inlineStr">
        <is>
          <t>06_Direction_Scope_and_Focus_Part_2_Progressive_Disclosure.md:75</t>
        </is>
      </c>
      <c r="J74" s="74" t="inlineStr">
        <is>
          <t>Base canon</t>
        </is>
      </c>
      <c r="K74" s="75" t="n"/>
    </row>
    <row r="75" ht="30" customHeight="1" s="45">
      <c r="A75" s="65" t="inlineStr">
        <is>
          <t>B5.1</t>
        </is>
      </c>
      <c r="B75" s="66" t="inlineStr">
        <is>
          <t>The freeze is atomic; the artifact is immutable for the run</t>
        </is>
      </c>
      <c r="C75" s="66" t="inlineStr">
        <is>
          <t>O4 Direction, Scope &amp; Focus</t>
        </is>
      </c>
      <c r="D75" s="66" t="inlineStr">
        <is>
          <t>#18 — OBJECTIVE PRESERVATION (Direction Half)</t>
        </is>
      </c>
      <c r="E75" s="66" t="inlineStr">
        <is>
          <t>Doc 5</t>
        </is>
      </c>
      <c r="F75" s="73" t="inlineStr">
        <is>
          <t>CANON</t>
        </is>
      </c>
      <c r="G75" s="66" t="n"/>
      <c r="H75" s="66" t="inlineStr">
        <is>
          <t>Northena</t>
        </is>
      </c>
      <c r="I75" s="66" t="inlineStr">
        <is>
          <t>05_Direction_Scope_and_Focus_Part_1_Northena.md:123</t>
        </is>
      </c>
      <c r="J75" s="74" t="inlineStr">
        <is>
          <t>Base canon</t>
        </is>
      </c>
      <c r="K75" s="75" t="n"/>
    </row>
    <row r="76" ht="30" customHeight="1" s="45">
      <c r="A76" s="65" t="inlineStr">
        <is>
          <t>B5.2</t>
        </is>
      </c>
      <c r="B76" s="66" t="inlineStr">
        <is>
          <t>Lawful basis is enforced at Admit, before any extraction</t>
        </is>
      </c>
      <c r="C76" s="66" t="inlineStr">
        <is>
          <t>O4 Direction, Scope &amp; Focus</t>
        </is>
      </c>
      <c r="D76" s="66" t="inlineStr">
        <is>
          <t>#18 — OBJECTIVE PRESERVATION (Direction Half)</t>
        </is>
      </c>
      <c r="E76" s="66" t="inlineStr">
        <is>
          <t>Doc 5</t>
        </is>
      </c>
      <c r="F76" s="73" t="inlineStr">
        <is>
          <t>CANON</t>
        </is>
      </c>
      <c r="G76" s="66" t="n"/>
      <c r="H76" s="66" t="inlineStr">
        <is>
          <t>Northena</t>
        </is>
      </c>
      <c r="I76" s="66" t="inlineStr">
        <is>
          <t>05_Direction_Scope_and_Focus_Part_1_Northena.md:125</t>
        </is>
      </c>
      <c r="J76" s="74" t="inlineStr">
        <is>
          <t>Base canon</t>
        </is>
      </c>
      <c r="K76" s="75" t="n"/>
    </row>
    <row r="77" ht="30" customHeight="1" s="45">
      <c r="A77" s="65" t="inlineStr">
        <is>
          <t>B5.3</t>
        </is>
      </c>
      <c r="B77" s="66" t="inlineStr">
        <is>
          <t>Two admission paths, both freezing the same way</t>
        </is>
      </c>
      <c r="C77" s="66" t="inlineStr">
        <is>
          <t>O4 Direction, Scope &amp; Focus</t>
        </is>
      </c>
      <c r="D77" s="66" t="inlineStr">
        <is>
          <t>#18 — OBJECTIVE PRESERVATION (Direction Half)</t>
        </is>
      </c>
      <c r="E77" s="66" t="inlineStr">
        <is>
          <t>Doc 5</t>
        </is>
      </c>
      <c r="F77" s="73" t="inlineStr">
        <is>
          <t>CANON</t>
        </is>
      </c>
      <c r="G77" s="66" t="n"/>
      <c r="H77" s="66" t="inlineStr">
        <is>
          <t>Northena</t>
        </is>
      </c>
      <c r="I77" s="66" t="inlineStr">
        <is>
          <t>05_Direction_Scope_and_Focus_Part_1_Northena.md:127</t>
        </is>
      </c>
      <c r="J77" s="74" t="inlineStr">
        <is>
          <t>Base canon</t>
        </is>
      </c>
      <c r="K77" s="75" t="n"/>
    </row>
    <row r="78" ht="30" customHeight="1" s="45">
      <c r="A78" s="65" t="inlineStr">
        <is>
          <t>B5.4</t>
        </is>
      </c>
      <c r="B78" s="66" t="inlineStr">
        <is>
          <t>The Ledger writer exposes append only</t>
        </is>
      </c>
      <c r="C78" s="66" t="inlineStr">
        <is>
          <t>O4 Direction, Scope &amp; Focus</t>
        </is>
      </c>
      <c r="D78" s="66" t="inlineStr">
        <is>
          <t>#18 — OBJECTIVE PRESERVATION (Direction Half)</t>
        </is>
      </c>
      <c r="E78" s="66" t="inlineStr">
        <is>
          <t>Doc 5</t>
        </is>
      </c>
      <c r="F78" s="73" t="inlineStr">
        <is>
          <t>CANON</t>
        </is>
      </c>
      <c r="G78" s="66" t="n"/>
      <c r="H78" s="66" t="inlineStr">
        <is>
          <t>Northena</t>
        </is>
      </c>
      <c r="I78" s="66" t="inlineStr">
        <is>
          <t>05_Direction_Scope_and_Focus_Part_1_Northena.md:129</t>
        </is>
      </c>
      <c r="J78" s="74" t="inlineStr">
        <is>
          <t>Base canon</t>
        </is>
      </c>
      <c r="K78" s="75" t="n"/>
    </row>
    <row r="79" ht="30" customHeight="1" s="45">
      <c r="A79" s="65" t="inlineStr">
        <is>
          <t>B5.5</t>
        </is>
      </c>
      <c r="B79" s="66" t="inlineStr">
        <is>
          <t>The stamp-audit side-channel is deliberately permissive</t>
        </is>
      </c>
      <c r="C79" s="66" t="inlineStr">
        <is>
          <t>O4 Direction, Scope &amp; Focus</t>
        </is>
      </c>
      <c r="D79" s="66" t="inlineStr">
        <is>
          <t>#18 — OBJECTIVE PRESERVATION (Direction Half)</t>
        </is>
      </c>
      <c r="E79" s="66" t="inlineStr">
        <is>
          <t>Doc 5</t>
        </is>
      </c>
      <c r="F79" s="73" t="inlineStr">
        <is>
          <t>CANON</t>
        </is>
      </c>
      <c r="G79" s="66" t="n"/>
      <c r="H79" s="66" t="inlineStr">
        <is>
          <t>Northena</t>
        </is>
      </c>
      <c r="I79" s="66" t="inlineStr">
        <is>
          <t>05_Direction_Scope_and_Focus_Part_1_Northena.md:131</t>
        </is>
      </c>
      <c r="J79" s="74" t="inlineStr">
        <is>
          <t>Base canon</t>
        </is>
      </c>
      <c r="K79" s="75" t="n"/>
    </row>
    <row r="80" ht="30" customHeight="1" s="45">
      <c r="A80" s="65" t="inlineStr">
        <is>
          <t>A5.1</t>
        </is>
      </c>
      <c r="B80" s="66" t="inlineStr">
        <is>
          <t>The five-ring unit is a frozen contract</t>
        </is>
      </c>
      <c r="C80" s="66" t="inlineStr">
        <is>
          <t>O5 Context Preservation</t>
        </is>
      </c>
      <c r="D80" s="66" t="inlineStr">
        <is>
          <t>#19 — SHRINKAGE — CONTEXT PRESERVATION UNDER MASSIVE ESTATES</t>
        </is>
      </c>
      <c r="E80" s="66" t="inlineStr">
        <is>
          <t>Doc 7</t>
        </is>
      </c>
      <c r="F80" s="73" t="inlineStr">
        <is>
          <t>CANON</t>
        </is>
      </c>
      <c r="G80" s="66" t="n"/>
      <c r="H80" s="66" t="inlineStr">
        <is>
          <t>Solva (context layer)</t>
        </is>
      </c>
      <c r="I80" s="66" t="inlineStr">
        <is>
          <t>07_Context_Preservation_Part_1_Shrinkage.md:61</t>
        </is>
      </c>
      <c r="J80" s="74" t="inlineStr">
        <is>
          <t>Base canon</t>
        </is>
      </c>
      <c r="K80" s="75" t="n"/>
    </row>
    <row r="81" ht="30" customHeight="1" s="45">
      <c r="A81" s="65" t="inlineStr">
        <is>
          <t>A5.2</t>
        </is>
      </c>
      <c r="B81" s="66" t="inlineStr">
        <is>
          <t>Every unit carries a re-extraction handle</t>
        </is>
      </c>
      <c r="C81" s="66" t="inlineStr">
        <is>
          <t>O5 Context Preservation</t>
        </is>
      </c>
      <c r="D81" s="66" t="inlineStr">
        <is>
          <t>#19 — SHRINKAGE — CONTEXT PRESERVATION UNDER MASSIVE ESTATES</t>
        </is>
      </c>
      <c r="E81" s="66" t="inlineStr">
        <is>
          <t>Doc 7</t>
        </is>
      </c>
      <c r="F81" s="73" t="inlineStr">
        <is>
          <t>CANON</t>
        </is>
      </c>
      <c r="G81" s="66" t="n"/>
      <c r="H81" s="66" t="inlineStr">
        <is>
          <t>Solva (context layer)</t>
        </is>
      </c>
      <c r="I81" s="66" t="inlineStr">
        <is>
          <t>07_Context_Preservation_Part_1_Shrinkage.md:63</t>
        </is>
      </c>
      <c r="J81" s="74" t="inlineStr">
        <is>
          <t>Base canon</t>
        </is>
      </c>
      <c r="K81" s="75" t="n"/>
    </row>
    <row r="82" ht="30" customHeight="1" s="45">
      <c r="A82" s="65" t="inlineStr">
        <is>
          <t>A5.3</t>
        </is>
      </c>
      <c r="B82" s="66" t="inlineStr">
        <is>
          <t>Qualification partitions degraded material out</t>
        </is>
      </c>
      <c r="C82" s="66" t="inlineStr">
        <is>
          <t>O5 Context Preservation</t>
        </is>
      </c>
      <c r="D82" s="66" t="inlineStr">
        <is>
          <t>#19 — SHRINKAGE — CONTEXT PRESERVATION UNDER MASSIVE ESTATES</t>
        </is>
      </c>
      <c r="E82" s="66" t="inlineStr">
        <is>
          <t>Doc 7</t>
        </is>
      </c>
      <c r="F82" s="73" t="inlineStr">
        <is>
          <t>CANON</t>
        </is>
      </c>
      <c r="G82" s="66" t="n"/>
      <c r="H82" s="66" t="inlineStr">
        <is>
          <t>Solva (context layer)</t>
        </is>
      </c>
      <c r="I82" s="66" t="inlineStr">
        <is>
          <t>07_Context_Preservation_Part_1_Shrinkage.md:65</t>
        </is>
      </c>
      <c r="J82" s="74" t="inlineStr">
        <is>
          <t>Base canon</t>
        </is>
      </c>
      <c r="K82" s="75" t="n"/>
    </row>
    <row r="83" ht="30" customHeight="1" s="45">
      <c r="A83" s="65" t="inlineStr">
        <is>
          <t>A5.4</t>
        </is>
      </c>
      <c r="B83" s="66" t="inlineStr">
        <is>
          <t>The trace exists from the first commit and joins to the record</t>
        </is>
      </c>
      <c r="C83" s="66" t="inlineStr">
        <is>
          <t>O5 Context Preservation</t>
        </is>
      </c>
      <c r="D83" s="66" t="inlineStr">
        <is>
          <t>#19 — SHRINKAGE — CONTEXT PRESERVATION UNDER MASSIVE ESTATES</t>
        </is>
      </c>
      <c r="E83" s="66" t="inlineStr">
        <is>
          <t>Doc 7</t>
        </is>
      </c>
      <c r="F83" s="73" t="inlineStr">
        <is>
          <t>CANON</t>
        </is>
      </c>
      <c r="G83" s="66" t="n"/>
      <c r="H83" s="66" t="inlineStr">
        <is>
          <t>Solva (context layer)</t>
        </is>
      </c>
      <c r="I83" s="66" t="inlineStr">
        <is>
          <t>07_Context_Preservation_Part_1_Shrinkage.md:67</t>
        </is>
      </c>
      <c r="J83" s="74" t="inlineStr">
        <is>
          <t>Base canon</t>
        </is>
      </c>
      <c r="K83" s="75" t="n"/>
    </row>
    <row r="84" ht="30" customHeight="1" s="45">
      <c r="A84" s="65" t="inlineStr">
        <is>
          <t>A5.5</t>
        </is>
      </c>
      <c r="B84" s="66" t="inlineStr">
        <is>
          <t>The trace is the executed reasoning, never a post-hoc narrative</t>
        </is>
      </c>
      <c r="C84" s="66" t="inlineStr">
        <is>
          <t>O5 Context Preservation</t>
        </is>
      </c>
      <c r="D84" s="66" t="inlineStr">
        <is>
          <t>#19 — SHRINKAGE — CONTEXT PRESERVATION UNDER MASSIVE ESTATES</t>
        </is>
      </c>
      <c r="E84" s="66" t="inlineStr">
        <is>
          <t>Doc 7</t>
        </is>
      </c>
      <c r="F84" s="77" t="inlineStr">
        <is>
          <t>RULED</t>
        </is>
      </c>
      <c r="G84" s="66" t="n"/>
      <c r="H84" s="66" t="inlineStr">
        <is>
          <t>Solva (context layer)</t>
        </is>
      </c>
      <c r="I84" s="66" t="inlineStr">
        <is>
          <t>07_Context_Preservation_Part_1_Shrinkage.md:69</t>
        </is>
      </c>
      <c r="J84" s="74" t="inlineStr">
        <is>
          <t>Base canon</t>
        </is>
      </c>
      <c r="K84" s="75" t="n"/>
    </row>
    <row r="85" ht="30" customHeight="1" s="45">
      <c r="A85" s="65" t="inlineStr">
        <is>
          <t>A5.6</t>
        </is>
      </c>
      <c r="B85" s="66" t="inlineStr">
        <is>
          <t>The transform reads stored intelligence, never a running tail</t>
        </is>
      </c>
      <c r="C85" s="66" t="inlineStr">
        <is>
          <t>O5 Context Preservation</t>
        </is>
      </c>
      <c r="D85" s="66" t="inlineStr">
        <is>
          <t>#19 — SHRINKAGE — CONTEXT PRESERVATION UNDER MASSIVE ESTATES</t>
        </is>
      </c>
      <c r="E85" s="66" t="inlineStr">
        <is>
          <t>Doc 7</t>
        </is>
      </c>
      <c r="F85" s="73" t="inlineStr">
        <is>
          <t>CANON</t>
        </is>
      </c>
      <c r="G85" s="66" t="n"/>
      <c r="H85" s="66" t="inlineStr">
        <is>
          <t>Solva (context layer)</t>
        </is>
      </c>
      <c r="I85" s="66" t="inlineStr">
        <is>
          <t>07_Context_Preservation_Part_1_Shrinkage.md:73</t>
        </is>
      </c>
      <c r="J85" s="74" t="inlineStr">
        <is>
          <t>Base canon</t>
        </is>
      </c>
      <c r="K85" s="75" t="n"/>
    </row>
    <row r="86" ht="30" customHeight="1" s="45">
      <c r="A86" s="65" t="inlineStr">
        <is>
          <t>A5.1</t>
        </is>
      </c>
      <c r="B86" s="66" t="inlineStr">
        <is>
          <t>One path by which a unit comes to exist</t>
        </is>
      </c>
      <c r="C86" s="66" t="inlineStr">
        <is>
          <t>O5 Context Preservation</t>
        </is>
      </c>
      <c r="D86" s="66" t="inlineStr">
        <is>
          <t>#20 — THE SMALL MEMORY SERVICE THE MODEL READS FROM</t>
        </is>
      </c>
      <c r="E86" s="66" t="inlineStr">
        <is>
          <t>Doc 8</t>
        </is>
      </c>
      <c r="F86" s="73" t="inlineStr">
        <is>
          <t>CANON</t>
        </is>
      </c>
      <c r="G86" s="66" t="n"/>
      <c r="H86" s="66" t="inlineStr">
        <is>
          <t>Solva (context layer)</t>
        </is>
      </c>
      <c r="I86" s="66" t="inlineStr">
        <is>
          <t>08_Context_Preservation_Part_2_Memory_and_Retrieval.md:55</t>
        </is>
      </c>
      <c r="J86" s="74" t="inlineStr">
        <is>
          <t>Base canon</t>
        </is>
      </c>
      <c r="K86" s="75" t="n"/>
    </row>
    <row r="87" ht="30" customHeight="1" s="45">
      <c r="A87" s="65" t="inlineStr">
        <is>
          <t>A5.2</t>
        </is>
      </c>
      <c r="B87" s="66" t="inlineStr">
        <is>
          <t>The unit is the frozen seam between the two services</t>
        </is>
      </c>
      <c r="C87" s="66" t="inlineStr">
        <is>
          <t>O5 Context Preservation</t>
        </is>
      </c>
      <c r="D87" s="66" t="inlineStr">
        <is>
          <t>#20 — THE SMALL MEMORY SERVICE THE MODEL READS FROM</t>
        </is>
      </c>
      <c r="E87" s="66" t="inlineStr">
        <is>
          <t>Doc 8</t>
        </is>
      </c>
      <c r="F87" s="73" t="inlineStr">
        <is>
          <t>CANON</t>
        </is>
      </c>
      <c r="G87" s="66" t="n"/>
      <c r="H87" s="66" t="inlineStr">
        <is>
          <t>Solva (context layer)</t>
        </is>
      </c>
      <c r="I87" s="66" t="inlineStr">
        <is>
          <t>08_Context_Preservation_Part_2_Memory_and_Retrieval.md:57</t>
        </is>
      </c>
      <c r="J87" s="74" t="inlineStr">
        <is>
          <t>Base canon</t>
        </is>
      </c>
      <c r="K87" s="75" t="n"/>
    </row>
    <row r="88" ht="30" customHeight="1" s="45">
      <c r="A88" s="65" t="inlineStr">
        <is>
          <t>A5.3</t>
        </is>
      </c>
      <c r="B88" s="66" t="inlineStr">
        <is>
          <t>The transform reads stored intelligence, never a running tail</t>
        </is>
      </c>
      <c r="C88" s="66" t="inlineStr">
        <is>
          <t>O5 Context Preservation</t>
        </is>
      </c>
      <c r="D88" s="66" t="inlineStr">
        <is>
          <t>#20 — THE SMALL MEMORY SERVICE THE MODEL READS FROM</t>
        </is>
      </c>
      <c r="E88" s="66" t="inlineStr">
        <is>
          <t>Doc 8</t>
        </is>
      </c>
      <c r="F88" s="73" t="inlineStr">
        <is>
          <t>CANON</t>
        </is>
      </c>
      <c r="G88" s="66" t="n"/>
      <c r="H88" s="66" t="inlineStr">
        <is>
          <t>Solva (context layer)</t>
        </is>
      </c>
      <c r="I88" s="66" t="inlineStr">
        <is>
          <t>08_Context_Preservation_Part_2_Memory_and_Retrieval.md:59</t>
        </is>
      </c>
      <c r="J88" s="74" t="inlineStr">
        <is>
          <t>Base canon</t>
        </is>
      </c>
      <c r="K88" s="75" t="n"/>
    </row>
    <row r="89" ht="30" customHeight="1" s="45">
      <c r="A89" s="65" t="inlineStr">
        <is>
          <t>A5.4</t>
        </is>
      </c>
      <c r="B89" s="66" t="inlineStr">
        <is>
          <t>Each answered objective densifies the memory</t>
        </is>
      </c>
      <c r="C89" s="66" t="inlineStr">
        <is>
          <t>O5 Context Preservation</t>
        </is>
      </c>
      <c r="D89" s="66" t="inlineStr">
        <is>
          <t>#20 — THE SMALL MEMORY SERVICE THE MODEL READS FROM</t>
        </is>
      </c>
      <c r="E89" s="66" t="inlineStr">
        <is>
          <t>Doc 8</t>
        </is>
      </c>
      <c r="F89" s="73" t="inlineStr">
        <is>
          <t>CANON</t>
        </is>
      </c>
      <c r="G89" s="66" t="n"/>
      <c r="H89" s="66" t="inlineStr">
        <is>
          <t>Solva (context layer)</t>
        </is>
      </c>
      <c r="I89" s="66" t="inlineStr">
        <is>
          <t>08_Context_Preservation_Part_2_Memory_and_Retrieval.md:61</t>
        </is>
      </c>
      <c r="J89" s="74" t="inlineStr">
        <is>
          <t>Base canon</t>
        </is>
      </c>
      <c r="K89" s="75" t="n"/>
    </row>
    <row r="90" ht="30" customHeight="1" s="45">
      <c r="A90" s="65" t="inlineStr">
        <is>
          <t>B5.1</t>
        </is>
      </c>
      <c r="B90" s="66" t="inlineStr">
        <is>
          <t>The fork is made once, at the boundary, and never re-derived</t>
        </is>
      </c>
      <c r="C90" s="66" t="inlineStr">
        <is>
          <t>O5 Context Preservation</t>
        </is>
      </c>
      <c r="D90" s="66" t="inlineStr">
        <is>
          <t>#21 — THE TRAFFIC CONTROLLER — ON-DEMAND FETCH WITHOUT RE-RUNNING THE ESTATE</t>
        </is>
      </c>
      <c r="E90" s="66" t="inlineStr">
        <is>
          <t>Doc 8</t>
        </is>
      </c>
      <c r="F90" s="73" t="inlineStr">
        <is>
          <t>CANON</t>
        </is>
      </c>
      <c r="G90" s="66" t="n"/>
      <c r="H90" s="66" t="inlineStr">
        <is>
          <t>Solva (context layer)</t>
        </is>
      </c>
      <c r="I90" s="66" t="inlineStr">
        <is>
          <t>08_Context_Preservation_Part_2_Memory_and_Retrieval.md:111</t>
        </is>
      </c>
      <c r="J90" s="74" t="inlineStr">
        <is>
          <t>Base canon</t>
        </is>
      </c>
      <c r="K90" s="75" t="n"/>
    </row>
    <row r="91" ht="30" customHeight="1" s="45">
      <c r="A91" s="65" t="inlineStr">
        <is>
          <t>B5.2</t>
        </is>
      </c>
      <c r="B91" s="66" t="inlineStr">
        <is>
          <t>Fresh fetch calls the one build path for only the unconverged slice</t>
        </is>
      </c>
      <c r="C91" s="66" t="inlineStr">
        <is>
          <t>O5 Context Preservation</t>
        </is>
      </c>
      <c r="D91" s="66" t="inlineStr">
        <is>
          <t>#21 — THE TRAFFIC CONTROLLER — ON-DEMAND FETCH WITHOUT RE-RUNNING THE ESTATE</t>
        </is>
      </c>
      <c r="E91" s="66" t="inlineStr">
        <is>
          <t>Doc 8</t>
        </is>
      </c>
      <c r="F91" s="73" t="inlineStr">
        <is>
          <t>CANON</t>
        </is>
      </c>
      <c r="G91" s="66" t="n"/>
      <c r="H91" s="66" t="inlineStr">
        <is>
          <t>Solva (context layer)</t>
        </is>
      </c>
      <c r="I91" s="66" t="inlineStr">
        <is>
          <t>08_Context_Preservation_Part_2_Memory_and_Retrieval.md:113</t>
        </is>
      </c>
      <c r="J91" s="74" t="inlineStr">
        <is>
          <t>Base canon</t>
        </is>
      </c>
      <c r="K91" s="75" t="n"/>
    </row>
    <row r="92" ht="30" customHeight="1" s="45">
      <c r="A92" s="65" t="inlineStr">
        <is>
          <t>B5.3</t>
        </is>
      </c>
      <c r="B92" s="66" t="inlineStr">
        <is>
          <t>The async contract governs the fresh case</t>
        </is>
      </c>
      <c r="C92" s="66" t="inlineStr">
        <is>
          <t>O5 Context Preservation</t>
        </is>
      </c>
      <c r="D92" s="66" t="inlineStr">
        <is>
          <t>#21 — THE TRAFFIC CONTROLLER — ON-DEMAND FETCH WITHOUT RE-RUNNING THE ESTATE</t>
        </is>
      </c>
      <c r="E92" s="66" t="inlineStr">
        <is>
          <t>Doc 8</t>
        </is>
      </c>
      <c r="F92" s="73" t="inlineStr">
        <is>
          <t>CANON</t>
        </is>
      </c>
      <c r="G92" s="66" t="n"/>
      <c r="H92" s="66" t="inlineStr">
        <is>
          <t>Solva (context layer)</t>
        </is>
      </c>
      <c r="I92" s="66" t="inlineStr">
        <is>
          <t>08_Context_Preservation_Part_2_Memory_and_Retrieval.md:115</t>
        </is>
      </c>
      <c r="J92" s="74" t="inlineStr">
        <is>
          <t>Base canon</t>
        </is>
      </c>
      <c r="K92" s="75" t="n"/>
    </row>
    <row r="93" ht="30" customHeight="1" s="45">
      <c r="A93" s="65" t="inlineStr">
        <is>
          <t>B5.4</t>
        </is>
      </c>
      <c r="B93" s="66" t="inlineStr">
        <is>
          <t>The fetch is scope- and custody-governed</t>
        </is>
      </c>
      <c r="C93" s="66" t="inlineStr">
        <is>
          <t>O5 Context Preservation</t>
        </is>
      </c>
      <c r="D93" s="66" t="inlineStr">
        <is>
          <t>#21 — THE TRAFFIC CONTROLLER — ON-DEMAND FETCH WITHOUT RE-RUNNING THE ESTATE</t>
        </is>
      </c>
      <c r="E93" s="66" t="inlineStr">
        <is>
          <t>Doc 8</t>
        </is>
      </c>
      <c r="F93" s="73" t="inlineStr">
        <is>
          <t>CANON</t>
        </is>
      </c>
      <c r="G93" s="66" t="n"/>
      <c r="H93" s="66" t="inlineStr">
        <is>
          <t>Solva (context layer)</t>
        </is>
      </c>
      <c r="I93" s="66" t="inlineStr">
        <is>
          <t>08_Context_Preservation_Part_2_Memory_and_Retrieval.md:117</t>
        </is>
      </c>
      <c r="J93" s="74" t="inlineStr">
        <is>
          <t>Base canon</t>
        </is>
      </c>
      <c r="K93" s="75" t="n"/>
    </row>
    <row r="94" ht="30" customHeight="1" s="45">
      <c r="A94" s="65" t="inlineStr">
        <is>
          <t>B5.5</t>
        </is>
      </c>
      <c r="B94" s="66" t="inlineStr">
        <is>
          <t>Result delivery never becomes an ungoverned egress</t>
        </is>
      </c>
      <c r="C94" s="66" t="inlineStr">
        <is>
          <t>O5 Context Preservation</t>
        </is>
      </c>
      <c r="D94" s="66" t="inlineStr">
        <is>
          <t>#21 — THE TRAFFIC CONTROLLER — ON-DEMAND FETCH WITHOUT RE-RUNNING THE ESTATE</t>
        </is>
      </c>
      <c r="E94" s="66" t="inlineStr">
        <is>
          <t>Doc 8</t>
        </is>
      </c>
      <c r="F94" s="73" t="inlineStr">
        <is>
          <t>CANON</t>
        </is>
      </c>
      <c r="G94" s="66" t="n"/>
      <c r="H94" s="66" t="inlineStr">
        <is>
          <t>Solva (context layer)</t>
        </is>
      </c>
      <c r="I94" s="66" t="inlineStr">
        <is>
          <t>08_Context_Preservation_Part_2_Memory_and_Retrieval.md:119</t>
        </is>
      </c>
      <c r="J94" s="74" t="inlineStr">
        <is>
          <t>Base canon</t>
        </is>
      </c>
      <c r="K94" s="75" t="n"/>
    </row>
    <row r="95" ht="30" customHeight="1" s="45">
      <c r="A95" s="65" t="inlineStr">
        <is>
          <t>A5.1</t>
        </is>
      </c>
      <c r="B95" s="66" t="inlineStr">
        <is>
          <t>One intake contract, no second path</t>
        </is>
      </c>
      <c r="C95" s="66" t="inlineStr">
        <is>
          <t>O6 Estate Registry</t>
        </is>
      </c>
      <c r="D95" s="66" t="inlineStr">
        <is>
          <t>#12 — CONNECTS TO ALL DATABASE TYPES</t>
        </is>
      </c>
      <c r="E95" s="66" t="inlineStr">
        <is>
          <t>Doc 9</t>
        </is>
      </c>
      <c r="F95" s="73" t="inlineStr">
        <is>
          <t>CANON</t>
        </is>
      </c>
      <c r="G95" s="66" t="n"/>
      <c r="H95" s="66" t="inlineStr">
        <is>
          <t>Mtafiti</t>
        </is>
      </c>
      <c r="I95" s="66" t="inlineStr">
        <is>
          <t>09_Estate_Registry_Part_1_Connection_and_Census.md:55</t>
        </is>
      </c>
      <c r="J95" s="74" t="inlineStr">
        <is>
          <t>Base canon</t>
        </is>
      </c>
      <c r="K95" s="75" t="n"/>
    </row>
    <row r="96" ht="30" customHeight="1" s="45">
      <c r="A96" s="65" t="inlineStr">
        <is>
          <t>A5.2</t>
        </is>
      </c>
      <c r="B96" s="66" t="inlineStr">
        <is>
          <t>Connection is inside the perimeter</t>
        </is>
      </c>
      <c r="C96" s="66" t="inlineStr">
        <is>
          <t>O6 Estate Registry</t>
        </is>
      </c>
      <c r="D96" s="66" t="inlineStr">
        <is>
          <t>#12 — CONNECTS TO ALL DATABASE TYPES</t>
        </is>
      </c>
      <c r="E96" s="66" t="inlineStr">
        <is>
          <t>Doc 9</t>
        </is>
      </c>
      <c r="F96" s="73" t="inlineStr">
        <is>
          <t>CANON</t>
        </is>
      </c>
      <c r="G96" s="66" t="n"/>
      <c r="H96" s="66" t="inlineStr">
        <is>
          <t>Mtafiti</t>
        </is>
      </c>
      <c r="I96" s="66" t="inlineStr">
        <is>
          <t>09_Estate_Registry_Part_1_Connection_and_Census.md:57</t>
        </is>
      </c>
      <c r="J96" s="74" t="inlineStr">
        <is>
          <t>Base canon</t>
        </is>
      </c>
      <c r="K96" s="75" t="n"/>
    </row>
    <row r="97" ht="30" customHeight="1" s="45">
      <c r="A97" s="65" t="inlineStr">
        <is>
          <t>A5.3</t>
        </is>
      </c>
      <c r="B97" s="66" t="inlineStr">
        <is>
          <t>Connection is a governed, recorded operation</t>
        </is>
      </c>
      <c r="C97" s="66" t="inlineStr">
        <is>
          <t>O6 Estate Registry</t>
        </is>
      </c>
      <c r="D97" s="66" t="inlineStr">
        <is>
          <t>#12 — CONNECTS TO ALL DATABASE TYPES</t>
        </is>
      </c>
      <c r="E97" s="66" t="inlineStr">
        <is>
          <t>Doc 9</t>
        </is>
      </c>
      <c r="F97" s="73" t="inlineStr">
        <is>
          <t>CANON</t>
        </is>
      </c>
      <c r="G97" s="66" t="n"/>
      <c r="H97" s="66" t="inlineStr">
        <is>
          <t>Mtafiti</t>
        </is>
      </c>
      <c r="I97" s="66" t="inlineStr">
        <is>
          <t>09_Estate_Registry_Part_1_Connection_and_Census.md:59</t>
        </is>
      </c>
      <c r="J97" s="74" t="inlineStr">
        <is>
          <t>Base canon</t>
        </is>
      </c>
      <c r="K97" s="75" t="n"/>
    </row>
    <row r="98" ht="30" customHeight="1" s="45">
      <c r="A98" s="65" t="inlineStr">
        <is>
          <t>A5.4</t>
        </is>
      </c>
      <c r="B98" s="66" t="inlineStr">
        <is>
          <t>The completeness claim is honest about connector gaps</t>
        </is>
      </c>
      <c r="C98" s="66" t="inlineStr">
        <is>
          <t>O6 Estate Registry</t>
        </is>
      </c>
      <c r="D98" s="66" t="inlineStr">
        <is>
          <t>#12 — CONNECTS TO ALL DATABASE TYPES</t>
        </is>
      </c>
      <c r="E98" s="66" t="inlineStr">
        <is>
          <t>Doc 9</t>
        </is>
      </c>
      <c r="F98" s="76" t="inlineStr">
        <is>
          <t>PROPOSED</t>
        </is>
      </c>
      <c r="G98" s="66" t="n"/>
      <c r="H98" s="66" t="inlineStr">
        <is>
          <t>Mtafiti</t>
        </is>
      </c>
      <c r="I98" s="66" t="inlineStr">
        <is>
          <t>09_Estate_Registry_Part_1_Connection_and_Census.md:61</t>
        </is>
      </c>
      <c r="J98" s="74" t="inlineStr">
        <is>
          <t>Base canon</t>
        </is>
      </c>
      <c r="K98" s="75" t="n"/>
    </row>
    <row r="99" ht="30" customHeight="1" s="45">
      <c r="A99" s="65" t="inlineStr">
        <is>
          <t>B5.1</t>
        </is>
      </c>
      <c r="B99" s="66" t="inlineStr">
        <is>
          <t>The census is exhaustive and objective-blind; one measure serves all</t>
        </is>
      </c>
      <c r="C99" s="66" t="inlineStr">
        <is>
          <t>O6 Estate Registry</t>
        </is>
      </c>
      <c r="D99" s="66" t="inlineStr">
        <is>
          <t>#13 — THE CENSUS</t>
        </is>
      </c>
      <c r="E99" s="66" t="inlineStr">
        <is>
          <t>Doc 9</t>
        </is>
      </c>
      <c r="F99" s="73" t="inlineStr">
        <is>
          <t>CANON</t>
        </is>
      </c>
      <c r="G99" s="66" t="n"/>
      <c r="H99" s="66" t="inlineStr">
        <is>
          <t>Mtafiti</t>
        </is>
      </c>
      <c r="I99" s="66" t="inlineStr">
        <is>
          <t>09_Estate_Registry_Part_1_Connection_and_Census.md:109</t>
        </is>
      </c>
      <c r="J99" s="74" t="inlineStr">
        <is>
          <t>Base canon</t>
        </is>
      </c>
      <c r="K99" s="75" t="n"/>
    </row>
    <row r="100" ht="30" customHeight="1" s="45">
      <c r="A100" s="65" t="inlineStr">
        <is>
          <t>B5.2</t>
        </is>
      </c>
      <c r="B100" s="66" t="inlineStr">
        <is>
          <t>Unmeasured is recorded as unmeasured</t>
        </is>
      </c>
      <c r="C100" s="66" t="inlineStr">
        <is>
          <t>O6 Estate Registry</t>
        </is>
      </c>
      <c r="D100" s="66" t="inlineStr">
        <is>
          <t>#13 — THE CENSUS</t>
        </is>
      </c>
      <c r="E100" s="66" t="inlineStr">
        <is>
          <t>Doc 9</t>
        </is>
      </c>
      <c r="F100" s="73" t="inlineStr">
        <is>
          <t>CANON</t>
        </is>
      </c>
      <c r="G100" s="66" t="n"/>
      <c r="H100" s="66" t="inlineStr">
        <is>
          <t>Mtafiti</t>
        </is>
      </c>
      <c r="I100" s="66" t="inlineStr">
        <is>
          <t>09_Estate_Registry_Part_1_Connection_and_Census.md:111</t>
        </is>
      </c>
      <c r="J100" s="74" t="inlineStr">
        <is>
          <t>Base canon</t>
        </is>
      </c>
      <c r="K100" s="75" t="n"/>
    </row>
    <row r="101" ht="30" customHeight="1" s="45">
      <c r="A101" s="65" t="inlineStr">
        <is>
          <t>B5.3</t>
        </is>
      </c>
      <c r="B101" s="66" t="inlineStr">
        <is>
          <t>Every figure resolves to its method</t>
        </is>
      </c>
      <c r="C101" s="66" t="inlineStr">
        <is>
          <t>O6 Estate Registry</t>
        </is>
      </c>
      <c r="D101" s="66" t="inlineStr">
        <is>
          <t>#13 — THE CENSUS</t>
        </is>
      </c>
      <c r="E101" s="66" t="inlineStr">
        <is>
          <t>Doc 9</t>
        </is>
      </c>
      <c r="F101" s="73" t="inlineStr">
        <is>
          <t>CANON</t>
        </is>
      </c>
      <c r="G101" s="66" t="n"/>
      <c r="H101" s="66" t="inlineStr">
        <is>
          <t>Mtafiti</t>
        </is>
      </c>
      <c r="I101" s="66" t="inlineStr">
        <is>
          <t>09_Estate_Registry_Part_1_Connection_and_Census.md:113</t>
        </is>
      </c>
      <c r="J101" s="74" t="inlineStr">
        <is>
          <t>Base canon</t>
        </is>
      </c>
      <c r="K101" s="75" t="n"/>
    </row>
    <row r="102" ht="30" customHeight="1" s="45">
      <c r="A102" s="65" t="inlineStr">
        <is>
          <t>B5.4</t>
        </is>
      </c>
      <c r="B102" s="66" t="inlineStr">
        <is>
          <t>The two-layer measure scales without per-item labelling</t>
        </is>
      </c>
      <c r="C102" s="66" t="inlineStr">
        <is>
          <t>O6 Estate Registry</t>
        </is>
      </c>
      <c r="D102" s="66" t="inlineStr">
        <is>
          <t>#13 — THE CENSUS</t>
        </is>
      </c>
      <c r="E102" s="66" t="inlineStr">
        <is>
          <t>Doc 9</t>
        </is>
      </c>
      <c r="F102" s="73" t="inlineStr">
        <is>
          <t>CANON</t>
        </is>
      </c>
      <c r="G102" s="66" t="n"/>
      <c r="H102" s="66" t="inlineStr">
        <is>
          <t>Mtafiti</t>
        </is>
      </c>
      <c r="I102" s="66" t="inlineStr">
        <is>
          <t>09_Estate_Registry_Part_1_Connection_and_Census.md:115</t>
        </is>
      </c>
      <c r="J102" s="74" t="inlineStr">
        <is>
          <t>Base canon</t>
        </is>
      </c>
      <c r="K102" s="75" t="n"/>
    </row>
    <row r="103" ht="30" customHeight="1" s="45">
      <c r="A103" s="65" t="inlineStr">
        <is>
          <t>B5.5</t>
        </is>
      </c>
      <c r="B103" s="66" t="inlineStr">
        <is>
          <t>The defensibility verdict is a deterministic matrix lookup carrying its rule reference</t>
        </is>
      </c>
      <c r="C103" s="66" t="inlineStr">
        <is>
          <t>O6 Estate Registry</t>
        </is>
      </c>
      <c r="D103" s="66" t="inlineStr">
        <is>
          <t>#13 — THE CENSUS</t>
        </is>
      </c>
      <c r="E103" s="66" t="inlineStr">
        <is>
          <t>Doc 9</t>
        </is>
      </c>
      <c r="F103" s="73" t="inlineStr">
        <is>
          <t>CANON</t>
        </is>
      </c>
      <c r="G103" s="66" t="n"/>
      <c r="H103" s="66" t="inlineStr">
        <is>
          <t>Mtafiti</t>
        </is>
      </c>
      <c r="I103" s="66" t="inlineStr">
        <is>
          <t>09_Estate_Registry_Part_1_Connection_and_Census.md:117</t>
        </is>
      </c>
      <c r="J103" s="74" t="inlineStr">
        <is>
          <t>Base canon</t>
        </is>
      </c>
      <c r="K103" s="75" t="n"/>
    </row>
    <row r="104" ht="30" customHeight="1" s="45">
      <c r="A104" s="65" t="inlineStr">
        <is>
          <t>B5.6</t>
        </is>
      </c>
      <c r="B104" s="66" t="inlineStr">
        <is>
          <t>Freshness is a mechanism, not a schedule</t>
        </is>
      </c>
      <c r="C104" s="66" t="inlineStr">
        <is>
          <t>O6 Estate Registry</t>
        </is>
      </c>
      <c r="D104" s="66" t="inlineStr">
        <is>
          <t>#13 — THE CENSUS</t>
        </is>
      </c>
      <c r="E104" s="66" t="inlineStr">
        <is>
          <t>Doc 9</t>
        </is>
      </c>
      <c r="F104" s="73" t="inlineStr">
        <is>
          <t>CANON</t>
        </is>
      </c>
      <c r="G104" s="66" t="n"/>
      <c r="H104" s="66" t="inlineStr">
        <is>
          <t>Mtafiti</t>
        </is>
      </c>
      <c r="I104" s="66" t="inlineStr">
        <is>
          <t>09_Estate_Registry_Part_1_Connection_and_Census.md:119</t>
        </is>
      </c>
      <c r="J104" s="74" t="inlineStr">
        <is>
          <t>Base canon</t>
        </is>
      </c>
      <c r="K104" s="75" t="n"/>
    </row>
    <row r="105" ht="30" customHeight="1" s="45">
      <c r="A105" s="65" t="inlineStr">
        <is>
          <t>B5.7</t>
        </is>
      </c>
      <c r="B105" s="66" t="inlineStr">
        <is>
          <t>Sensitivity classification is the single entitlement attribute</t>
        </is>
      </c>
      <c r="C105" s="66" t="inlineStr">
        <is>
          <t>O6 Estate Registry</t>
        </is>
      </c>
      <c r="D105" s="66" t="inlineStr">
        <is>
          <t>#13 — THE CENSUS</t>
        </is>
      </c>
      <c r="E105" s="66" t="inlineStr">
        <is>
          <t>Doc 9</t>
        </is>
      </c>
      <c r="F105" s="73" t="inlineStr">
        <is>
          <t>CANON</t>
        </is>
      </c>
      <c r="G105" s="66" t="n"/>
      <c r="H105" s="66" t="inlineStr">
        <is>
          <t>Mtafiti</t>
        </is>
      </c>
      <c r="I105" s="66" t="inlineStr">
        <is>
          <t>09_Estate_Registry_Part_1_Connection_and_Census.md:121</t>
        </is>
      </c>
      <c r="J105" s="74" t="inlineStr">
        <is>
          <t>Base canon</t>
        </is>
      </c>
      <c r="K105" s="75" t="n"/>
    </row>
    <row r="106" ht="30" customHeight="1" s="45">
      <c r="A106" s="65" t="inlineStr">
        <is>
          <t>A5.1</t>
        </is>
      </c>
      <c r="B106" s="66" t="inlineStr">
        <is>
          <t>Every field resolves to its census method</t>
        </is>
      </c>
      <c r="C106" s="66" t="inlineStr">
        <is>
          <t>O6 Estate Registry</t>
        </is>
      </c>
      <c r="D106" s="66" t="inlineStr">
        <is>
          <t>#14 — THE COMPREHENSIVE REGISTRY</t>
        </is>
      </c>
      <c r="E106" s="66" t="inlineStr">
        <is>
          <t>Doc 10</t>
        </is>
      </c>
      <c r="F106" s="73" t="inlineStr">
        <is>
          <t>CANON</t>
        </is>
      </c>
      <c r="G106" s="66" t="n"/>
      <c r="H106" s="66" t="inlineStr">
        <is>
          <t>Mtafiti</t>
        </is>
      </c>
      <c r="I106" s="66" t="inlineStr">
        <is>
          <t>10_Estate_Registry_Part_2_Comprehensive_Registry.md:67</t>
        </is>
      </c>
      <c r="J106" s="74" t="inlineStr">
        <is>
          <t>Base canon</t>
        </is>
      </c>
      <c r="K106" s="75" t="n"/>
    </row>
    <row r="107" ht="30" customHeight="1" s="45">
      <c r="A107" s="65" t="inlineStr">
        <is>
          <t>A5.2</t>
        </is>
      </c>
      <c r="B107" s="66" t="inlineStr">
        <is>
          <t>Opportunity Briefs are advisory and grounded</t>
        </is>
      </c>
      <c r="C107" s="66" t="inlineStr">
        <is>
          <t>O6 Estate Registry</t>
        </is>
      </c>
      <c r="D107" s="66" t="inlineStr">
        <is>
          <t>#14 — THE COMPREHENSIVE REGISTRY</t>
        </is>
      </c>
      <c r="E107" s="66" t="inlineStr">
        <is>
          <t>Doc 10</t>
        </is>
      </c>
      <c r="F107" s="73" t="inlineStr">
        <is>
          <t>CANON</t>
        </is>
      </c>
      <c r="G107" s="66" t="n"/>
      <c r="H107" s="66" t="inlineStr">
        <is>
          <t>Mtafiti</t>
        </is>
      </c>
      <c r="I107" s="66" t="inlineStr">
        <is>
          <t>10_Estate_Registry_Part_2_Comprehensive_Registry.md:69</t>
        </is>
      </c>
      <c r="J107" s="74" t="inlineStr">
        <is>
          <t>Base canon</t>
        </is>
      </c>
      <c r="K107" s="75" t="n"/>
    </row>
    <row r="108" ht="30" customHeight="1" s="45">
      <c r="A108" s="65" t="inlineStr">
        <is>
          <t>A5.3</t>
        </is>
      </c>
      <c r="B108" s="66" t="inlineStr">
        <is>
          <t>Cleanliness and duplication [CANON, assembled + RULED]</t>
        </is>
      </c>
      <c r="C108" s="66" t="inlineStr">
        <is>
          <t>O6 Estate Registry</t>
        </is>
      </c>
      <c r="D108" s="66" t="inlineStr">
        <is>
          <t>#14 — THE COMPREHENSIVE REGISTRY</t>
        </is>
      </c>
      <c r="E108" s="66" t="inlineStr">
        <is>
          <t>Doc 10</t>
        </is>
      </c>
      <c r="F108" s="66" t="inlineStr">
        <is>
          <t>—</t>
        </is>
      </c>
      <c r="G108" s="66" t="n"/>
      <c r="H108" s="66" t="inlineStr">
        <is>
          <t>Mtafiti</t>
        </is>
      </c>
      <c r="I108" s="66" t="inlineStr">
        <is>
          <t>10_Estate_Registry_Part_2_Comprehensive_Registry.md:71</t>
        </is>
      </c>
      <c r="J108" s="74" t="inlineStr">
        <is>
          <t>Base canon</t>
        </is>
      </c>
      <c r="K108" s="75" t="n"/>
    </row>
    <row r="109" ht="30" customHeight="1" s="45">
      <c r="A109" s="65" t="inlineStr">
        <is>
          <t>A5.4</t>
        </is>
      </c>
      <c r="B109" s="66" t="inlineStr">
        <is>
          <t>Linkage to other datasets [RULED — the one field with no canon home, now specified]</t>
        </is>
      </c>
      <c r="C109" s="66" t="inlineStr">
        <is>
          <t>O6 Estate Registry</t>
        </is>
      </c>
      <c r="D109" s="66" t="inlineStr">
        <is>
          <t>#14 — THE COMPREHENSIVE REGISTRY</t>
        </is>
      </c>
      <c r="E109" s="66" t="inlineStr">
        <is>
          <t>Doc 10</t>
        </is>
      </c>
      <c r="F109" s="66" t="inlineStr">
        <is>
          <t>—</t>
        </is>
      </c>
      <c r="G109" s="66" t="n"/>
      <c r="H109" s="66" t="inlineStr">
        <is>
          <t>Mtafiti</t>
        </is>
      </c>
      <c r="I109" s="66" t="inlineStr">
        <is>
          <t>10_Estate_Registry_Part_2_Comprehensive_Registry.md:75</t>
        </is>
      </c>
      <c r="J109" s="74" t="inlineStr">
        <is>
          <t>Base canon</t>
        </is>
      </c>
      <c r="K109" s="75" t="n"/>
    </row>
    <row r="110" ht="30" customHeight="1" s="45">
      <c r="A110" s="65" t="inlineStr">
        <is>
          <t>A5.5</t>
        </is>
      </c>
      <c r="B110" s="66" t="inlineStr">
        <is>
          <t>The Registry is one record, read by many</t>
        </is>
      </c>
      <c r="C110" s="66" t="inlineStr">
        <is>
          <t>O6 Estate Registry</t>
        </is>
      </c>
      <c r="D110" s="66" t="inlineStr">
        <is>
          <t>#14 — THE COMPREHENSIVE REGISTRY</t>
        </is>
      </c>
      <c r="E110" s="66" t="inlineStr">
        <is>
          <t>Doc 10</t>
        </is>
      </c>
      <c r="F110" s="73" t="inlineStr">
        <is>
          <t>CANON</t>
        </is>
      </c>
      <c r="G110" s="66" t="n"/>
      <c r="H110" s="66" t="inlineStr">
        <is>
          <t>Mtafiti</t>
        </is>
      </c>
      <c r="I110" s="66" t="inlineStr">
        <is>
          <t>10_Estate_Registry_Part_2_Comprehensive_Registry.md:79</t>
        </is>
      </c>
      <c r="J110" s="74" t="inlineStr">
        <is>
          <t>Base canon</t>
        </is>
      </c>
      <c r="K110" s="75" t="n"/>
    </row>
    <row r="111" ht="30" customHeight="1" s="45">
      <c r="A111" s="65" t="inlineStr">
        <is>
          <t>C5.1</t>
        </is>
      </c>
      <c r="B111" s="66" t="inlineStr">
        <is>
          <t>The pipeline is modality-uniform</t>
        </is>
      </c>
      <c r="C111" s="66" t="inlineStr">
        <is>
          <t>O6 Estate Registry</t>
        </is>
      </c>
      <c r="D111" s="66" t="inlineStr">
        <is>
          <t>#15 — READS ANY DATA TYPE, INCLUDING AUDIO</t>
        </is>
      </c>
      <c r="E111" s="66" t="inlineStr">
        <is>
          <t>Doc 9</t>
        </is>
      </c>
      <c r="F111" s="73" t="inlineStr">
        <is>
          <t>CANON</t>
        </is>
      </c>
      <c r="G111" s="66" t="n"/>
      <c r="H111" s="66" t="inlineStr">
        <is>
          <t>Mtafiti</t>
        </is>
      </c>
      <c r="I111" s="66" t="inlineStr">
        <is>
          <t>09_Estate_Registry_Part_1_Connection_and_Census.md:169</t>
        </is>
      </c>
      <c r="J111" s="74" t="inlineStr">
        <is>
          <t>Base canon</t>
        </is>
      </c>
      <c r="K111" s="75" t="n"/>
    </row>
    <row r="112" ht="30" customHeight="1" s="45">
      <c r="A112" s="65" t="inlineStr">
        <is>
          <t>C5.2</t>
        </is>
      </c>
      <c r="B112" s="66" t="inlineStr">
        <is>
          <t>Perception crosses as a frozen job, returns as a frozen result</t>
        </is>
      </c>
      <c r="C112" s="66" t="inlineStr">
        <is>
          <t>O6 Estate Registry</t>
        </is>
      </c>
      <c r="D112" s="66" t="inlineStr">
        <is>
          <t>#15 — READS ANY DATA TYPE, INCLUDING AUDIO</t>
        </is>
      </c>
      <c r="E112" s="66" t="inlineStr">
        <is>
          <t>Doc 9</t>
        </is>
      </c>
      <c r="F112" s="73" t="inlineStr">
        <is>
          <t>CANON</t>
        </is>
      </c>
      <c r="G112" s="66" t="n"/>
      <c r="H112" s="66" t="inlineStr">
        <is>
          <t>Mtafiti</t>
        </is>
      </c>
      <c r="I112" s="66" t="inlineStr">
        <is>
          <t>09_Estate_Registry_Part_1_Connection_and_Census.md:171</t>
        </is>
      </c>
      <c r="J112" s="74" t="inlineStr">
        <is>
          <t>Base canon</t>
        </is>
      </c>
      <c r="K112" s="75" t="n"/>
    </row>
    <row r="113" ht="30" customHeight="1" s="45">
      <c r="A113" s="65" t="inlineStr">
        <is>
          <t>C5.3</t>
        </is>
      </c>
      <c r="B113" s="66" t="inlineStr">
        <is>
          <t>Grounding markers resolve to source position</t>
        </is>
      </c>
      <c r="C113" s="66" t="inlineStr">
        <is>
          <t>O6 Estate Registry</t>
        </is>
      </c>
      <c r="D113" s="66" t="inlineStr">
        <is>
          <t>#15 — READS ANY DATA TYPE, INCLUDING AUDIO</t>
        </is>
      </c>
      <c r="E113" s="66" t="inlineStr">
        <is>
          <t>Doc 9</t>
        </is>
      </c>
      <c r="F113" s="73" t="inlineStr">
        <is>
          <t>CANON</t>
        </is>
      </c>
      <c r="G113" s="66" t="n"/>
      <c r="H113" s="66" t="inlineStr">
        <is>
          <t>Mtafiti</t>
        </is>
      </c>
      <c r="I113" s="66" t="inlineStr">
        <is>
          <t>09_Estate_Registry_Part_1_Connection_and_Census.md:173</t>
        </is>
      </c>
      <c r="J113" s="74" t="inlineStr">
        <is>
          <t>Base canon</t>
        </is>
      </c>
      <c r="K113" s="75" t="n"/>
    </row>
    <row r="114" ht="30" customHeight="1" s="45">
      <c r="A114" s="65" t="inlineStr">
        <is>
          <t>C5.4</t>
        </is>
      </c>
      <c r="B114" s="66" t="inlineStr">
        <is>
          <t>Every perception model is registered with hash and licence</t>
        </is>
      </c>
      <c r="C114" s="66" t="inlineStr">
        <is>
          <t>O6 Estate Registry</t>
        </is>
      </c>
      <c r="D114" s="66" t="inlineStr">
        <is>
          <t>#15 — READS ANY DATA TYPE, INCLUDING AUDIO</t>
        </is>
      </c>
      <c r="E114" s="66" t="inlineStr">
        <is>
          <t>Doc 9</t>
        </is>
      </c>
      <c r="F114" s="73" t="inlineStr">
        <is>
          <t>CANON</t>
        </is>
      </c>
      <c r="G114" s="66" t="n"/>
      <c r="H114" s="66" t="inlineStr">
        <is>
          <t>Mtafiti</t>
        </is>
      </c>
      <c r="I114" s="66" t="inlineStr">
        <is>
          <t>09_Estate_Registry_Part_1_Connection_and_Census.md:175</t>
        </is>
      </c>
      <c r="J114" s="74" t="inlineStr">
        <is>
          <t>Base canon</t>
        </is>
      </c>
      <c r="K114" s="75" t="n"/>
    </row>
    <row r="115" ht="30" customHeight="1" s="45">
      <c r="A115" s="65" t="inlineStr">
        <is>
          <t>C5.5</t>
        </is>
      </c>
      <c r="B115" s="66" t="inlineStr">
        <is>
          <t>Perception calls route through the boundary governor</t>
        </is>
      </c>
      <c r="C115" s="66" t="inlineStr">
        <is>
          <t>O6 Estate Registry</t>
        </is>
      </c>
      <c r="D115" s="66" t="inlineStr">
        <is>
          <t>#15 — READS ANY DATA TYPE, INCLUDING AUDIO</t>
        </is>
      </c>
      <c r="E115" s="66" t="inlineStr">
        <is>
          <t>Doc 9</t>
        </is>
      </c>
      <c r="F115" s="73" t="inlineStr">
        <is>
          <t>CANON</t>
        </is>
      </c>
      <c r="G115" s="66" t="n"/>
      <c r="H115" s="66" t="inlineStr">
        <is>
          <t>Mtafiti</t>
        </is>
      </c>
      <c r="I115" s="66" t="inlineStr">
        <is>
          <t>09_Estate_Registry_Part_1_Connection_and_Census.md:177</t>
        </is>
      </c>
      <c r="J115" s="74" t="inlineStr">
        <is>
          <t>Base canon</t>
        </is>
      </c>
      <c r="K115" s="75" t="n"/>
    </row>
    <row r="116" ht="30" customHeight="1" s="45">
      <c r="A116" s="65" t="inlineStr">
        <is>
          <t>C5.6</t>
        </is>
      </c>
      <c r="B116" s="66" t="inlineStr">
        <is>
          <t>The execution seam keeps hardware invisible to consumers</t>
        </is>
      </c>
      <c r="C116" s="66" t="inlineStr">
        <is>
          <t>O6 Estate Registry</t>
        </is>
      </c>
      <c r="D116" s="66" t="inlineStr">
        <is>
          <t>#15 — READS ANY DATA TYPE, INCLUDING AUDIO</t>
        </is>
      </c>
      <c r="E116" s="66" t="inlineStr">
        <is>
          <t>Doc 9</t>
        </is>
      </c>
      <c r="F116" s="73" t="inlineStr">
        <is>
          <t>CANON</t>
        </is>
      </c>
      <c r="G116" s="66" t="n"/>
      <c r="H116" s="66" t="inlineStr">
        <is>
          <t>Mtafiti</t>
        </is>
      </c>
      <c r="I116" s="66" t="inlineStr">
        <is>
          <t>09_Estate_Registry_Part_1_Connection_and_Census.md:179</t>
        </is>
      </c>
      <c r="J116" s="74" t="inlineStr">
        <is>
          <t>Base canon</t>
        </is>
      </c>
      <c r="K116" s="75" t="n"/>
    </row>
    <row r="117" ht="30" customHeight="1" s="45">
      <c r="A117" s="65" t="inlineStr">
        <is>
          <t>A5.1</t>
        </is>
      </c>
      <c r="B117" s="66" t="inlineStr">
        <is>
          <t>Compute does not leave the perimeter</t>
        </is>
      </c>
      <c r="C117" s="66" t="inlineStr">
        <is>
          <t>O7 Cost &amp; Compute</t>
        </is>
      </c>
      <c r="D117" s="66" t="inlineStr">
        <is>
          <t>#10 — THE PULL SEAM — COMPUTE WITHOUT MOVING DATA OUT</t>
        </is>
      </c>
      <c r="E117" s="66" t="inlineStr">
        <is>
          <t>Doc 12</t>
        </is>
      </c>
      <c r="F117" s="73" t="inlineStr">
        <is>
          <t>CANON</t>
        </is>
      </c>
      <c r="G117" s="66" t="n"/>
      <c r="H117" s="66" t="inlineStr">
        <is>
          <t>Cost &amp; Compute (Mkondo, inferred)</t>
        </is>
      </c>
      <c r="I117" s="66" t="inlineStr">
        <is>
          <t>12_Cost_and_Compute_Part_2_Locality_and_Transparency.md:55</t>
        </is>
      </c>
      <c r="J117" s="74" t="inlineStr">
        <is>
          <t>Base canon</t>
        </is>
      </c>
      <c r="K117" s="75" t="n"/>
    </row>
    <row r="118" ht="30" customHeight="1" s="45">
      <c r="A118" s="65" t="inlineStr">
        <is>
          <t>A5.2</t>
        </is>
      </c>
      <c r="B118" s="66" t="inlineStr">
        <is>
          <t>The execution seam keeps the result contract hardware-independent</t>
        </is>
      </c>
      <c r="C118" s="66" t="inlineStr">
        <is>
          <t>O7 Cost &amp; Compute</t>
        </is>
      </c>
      <c r="D118" s="66" t="inlineStr">
        <is>
          <t>#10 — THE PULL SEAM — COMPUTE WITHOUT MOVING DATA OUT</t>
        </is>
      </c>
      <c r="E118" s="66" t="inlineStr">
        <is>
          <t>Doc 12</t>
        </is>
      </c>
      <c r="F118" s="73" t="inlineStr">
        <is>
          <t>CANON</t>
        </is>
      </c>
      <c r="G118" s="66" t="n"/>
      <c r="H118" s="66" t="inlineStr">
        <is>
          <t>Cost &amp; Compute (Mkondo, inferred)</t>
        </is>
      </c>
      <c r="I118" s="66" t="inlineStr">
        <is>
          <t>12_Cost_and_Compute_Part_2_Locality_and_Transparency.md:57</t>
        </is>
      </c>
      <c r="J118" s="74" t="inlineStr">
        <is>
          <t>Base canon</t>
        </is>
      </c>
      <c r="K118" s="75" t="n"/>
    </row>
    <row r="119" ht="30" customHeight="1" s="45">
      <c r="A119" s="65" t="inlineStr">
        <is>
          <t>A5.3</t>
        </is>
      </c>
      <c r="B119" s="66" t="inlineStr">
        <is>
          <t>Fleet allocation is versioned configuration, managed live</t>
        </is>
      </c>
      <c r="C119" s="66" t="inlineStr">
        <is>
          <t>O7 Cost &amp; Compute</t>
        </is>
      </c>
      <c r="D119" s="66" t="inlineStr">
        <is>
          <t>#10 — THE PULL SEAM — COMPUTE WITHOUT MOVING DATA OUT</t>
        </is>
      </c>
      <c r="E119" s="66" t="inlineStr">
        <is>
          <t>Doc 12</t>
        </is>
      </c>
      <c r="F119" s="73" t="inlineStr">
        <is>
          <t>CANON</t>
        </is>
      </c>
      <c r="G119" s="66" t="n"/>
      <c r="H119" s="66" t="inlineStr">
        <is>
          <t>Cost &amp; Compute (Mkondo, inferred)</t>
        </is>
      </c>
      <c r="I119" s="66" t="inlineStr">
        <is>
          <t>12_Cost_and_Compute_Part_2_Locality_and_Transparency.md:59</t>
        </is>
      </c>
      <c r="J119" s="74" t="inlineStr">
        <is>
          <t>Base canon</t>
        </is>
      </c>
      <c r="K119" s="75" t="n"/>
    </row>
    <row r="120" ht="30" customHeight="1" s="45">
      <c r="A120" s="65" t="inlineStr">
        <is>
          <t>A5.4</t>
        </is>
      </c>
      <c r="B120" s="66" t="inlineStr">
        <is>
          <t>The pull-not-push property is explicit</t>
        </is>
      </c>
      <c r="C120" s="66" t="inlineStr">
        <is>
          <t>O7 Cost &amp; Compute</t>
        </is>
      </c>
      <c r="D120" s="66" t="inlineStr">
        <is>
          <t>#10 — THE PULL SEAM — COMPUTE WITHOUT MOVING DATA OUT</t>
        </is>
      </c>
      <c r="E120" s="66" t="inlineStr">
        <is>
          <t>Doc 12</t>
        </is>
      </c>
      <c r="F120" s="77" t="inlineStr">
        <is>
          <t>RULED</t>
        </is>
      </c>
      <c r="G120" s="66" t="n"/>
      <c r="H120" s="66" t="inlineStr">
        <is>
          <t>Cost &amp; Compute (Mkondo, inferred)</t>
        </is>
      </c>
      <c r="I120" s="66" t="inlineStr">
        <is>
          <t>12_Cost_and_Compute_Part_2_Locality_and_Transparency.md:61</t>
        </is>
      </c>
      <c r="J120" s="74" t="inlineStr">
        <is>
          <t>Base canon</t>
        </is>
      </c>
      <c r="K120" s="75" t="n"/>
    </row>
    <row r="121" ht="30" customHeight="1" s="45">
      <c r="A121" s="65" t="inlineStr">
        <is>
          <t>B5.1</t>
        </is>
      </c>
      <c r="B121" s="66" t="inlineStr">
        <is>
          <t>Cost and feasibility are presented at freeze, before commit</t>
        </is>
      </c>
      <c r="C121" s="66" t="inlineStr">
        <is>
          <t>O7 Cost &amp; Compute</t>
        </is>
      </c>
      <c r="D121" s="66" t="inlineStr">
        <is>
          <t>#11 — COST AT THE POINT OF REFLECTION, BEFORE COMMIT</t>
        </is>
      </c>
      <c r="E121" s="66" t="inlineStr">
        <is>
          <t>Doc 12</t>
        </is>
      </c>
      <c r="F121" s="73" t="inlineStr">
        <is>
          <t>CANON</t>
        </is>
      </c>
      <c r="G121" s="66" t="n"/>
      <c r="H121" s="66" t="inlineStr">
        <is>
          <t>Cost &amp; Compute (Mkondo, inferred)</t>
        </is>
      </c>
      <c r="I121" s="66" t="inlineStr">
        <is>
          <t>12_Cost_and_Compute_Part_2_Locality_and_Transparency.md:115</t>
        </is>
      </c>
      <c r="J121" s="74" t="inlineStr">
        <is>
          <t>Base canon</t>
        </is>
      </c>
      <c r="K121" s="75" t="n"/>
    </row>
    <row r="122" ht="30" customHeight="1" s="45">
      <c r="A122" s="65" t="inlineStr">
        <is>
          <t>B5.2</t>
        </is>
      </c>
      <c r="B122" s="66" t="inlineStr">
        <is>
          <t>The budget is a hard stop enforced by the governor</t>
        </is>
      </c>
      <c r="C122" s="66" t="inlineStr">
        <is>
          <t>O7 Cost &amp; Compute</t>
        </is>
      </c>
      <c r="D122" s="66" t="inlineStr">
        <is>
          <t>#11 — COST AT THE POINT OF REFLECTION, BEFORE COMMIT</t>
        </is>
      </c>
      <c r="E122" s="66" t="inlineStr">
        <is>
          <t>Doc 12</t>
        </is>
      </c>
      <c r="F122" s="73" t="inlineStr">
        <is>
          <t>CANON</t>
        </is>
      </c>
      <c r="G122" s="66" t="n"/>
      <c r="H122" s="66" t="inlineStr">
        <is>
          <t>Cost &amp; Compute (Mkondo, inferred)</t>
        </is>
      </c>
      <c r="I122" s="66" t="inlineStr">
        <is>
          <t>12_Cost_and_Compute_Part_2_Locality_and_Transparency.md:117</t>
        </is>
      </c>
      <c r="J122" s="74" t="inlineStr">
        <is>
          <t>Base canon</t>
        </is>
      </c>
      <c r="K122" s="75" t="n"/>
    </row>
    <row r="123" ht="30" customHeight="1" s="45">
      <c r="A123" s="65" t="inlineStr">
        <is>
          <t>B5.3</t>
        </is>
      </c>
      <c r="B123" s="66" t="inlineStr">
        <is>
          <t>Every extension re-quotes</t>
        </is>
      </c>
      <c r="C123" s="66" t="inlineStr">
        <is>
          <t>O7 Cost &amp; Compute</t>
        </is>
      </c>
      <c r="D123" s="66" t="inlineStr">
        <is>
          <t>#11 — COST AT THE POINT OF REFLECTION, BEFORE COMMIT</t>
        </is>
      </c>
      <c r="E123" s="66" t="inlineStr">
        <is>
          <t>Doc 12</t>
        </is>
      </c>
      <c r="F123" s="73" t="inlineStr">
        <is>
          <t>CANON</t>
        </is>
      </c>
      <c r="G123" s="66" t="n"/>
      <c r="H123" s="66" t="inlineStr">
        <is>
          <t>Cost &amp; Compute (Mkondo, inferred)</t>
        </is>
      </c>
      <c r="I123" s="66" t="inlineStr">
        <is>
          <t>12_Cost_and_Compute_Part_2_Locality_and_Transparency.md:119</t>
        </is>
      </c>
      <c r="J123" s="74" t="inlineStr">
        <is>
          <t>Base canon</t>
        </is>
      </c>
      <c r="K123" s="75" t="n"/>
    </row>
    <row r="124" ht="30" customHeight="1" s="45">
      <c r="A124" s="65" t="inlineStr">
        <is>
          <t>B5.4</t>
        </is>
      </c>
      <c r="B124" s="66" t="inlineStr">
        <is>
          <t>Cost is measured; price is configuration; quotes stamp their version</t>
        </is>
      </c>
      <c r="C124" s="66" t="inlineStr">
        <is>
          <t>O7 Cost &amp; Compute</t>
        </is>
      </c>
      <c r="D124" s="66" t="inlineStr">
        <is>
          <t>#11 — COST AT THE POINT OF REFLECTION, BEFORE COMMIT</t>
        </is>
      </c>
      <c r="E124" s="66" t="inlineStr">
        <is>
          <t>Doc 12</t>
        </is>
      </c>
      <c r="F124" s="73" t="inlineStr">
        <is>
          <t>CANON</t>
        </is>
      </c>
      <c r="G124" s="66" t="n"/>
      <c r="H124" s="66" t="inlineStr">
        <is>
          <t>Cost &amp; Compute (Mkondo, inferred)</t>
        </is>
      </c>
      <c r="I124" s="66" t="inlineStr">
        <is>
          <t>12_Cost_and_Compute_Part_2_Locality_and_Transparency.md:121</t>
        </is>
      </c>
      <c r="J124" s="74" t="inlineStr">
        <is>
          <t>Base canon</t>
        </is>
      </c>
      <c r="K124" s="75" t="n"/>
    </row>
    <row r="125" ht="30" customHeight="1" s="45">
      <c r="A125" s="65" t="inlineStr">
        <is>
          <t>B5.5</t>
        </is>
      </c>
      <c r="B125" s="66" t="inlineStr">
        <is>
          <t>Sampling converts unknown cost to evidence</t>
        </is>
      </c>
      <c r="C125" s="66" t="inlineStr">
        <is>
          <t>O7 Cost &amp; Compute</t>
        </is>
      </c>
      <c r="D125" s="66" t="inlineStr">
        <is>
          <t>#11 — COST AT THE POINT OF REFLECTION, BEFORE COMMIT</t>
        </is>
      </c>
      <c r="E125" s="66" t="inlineStr">
        <is>
          <t>Doc 12</t>
        </is>
      </c>
      <c r="F125" s="73" t="inlineStr">
        <is>
          <t>CANON</t>
        </is>
      </c>
      <c r="G125" s="66" t="n"/>
      <c r="H125" s="66" t="inlineStr">
        <is>
          <t>Cost &amp; Compute (Mkondo, inferred)</t>
        </is>
      </c>
      <c r="I125" s="66" t="inlineStr">
        <is>
          <t>12_Cost_and_Compute_Part_2_Locality_and_Transparency.md:123</t>
        </is>
      </c>
      <c r="J125" s="74" t="inlineStr">
        <is>
          <t>Base canon</t>
        </is>
      </c>
      <c r="K125" s="75" t="n"/>
    </row>
    <row r="126" ht="30" customHeight="1" s="45">
      <c r="A126" s="65" t="inlineStr">
        <is>
          <t>B5.6</t>
        </is>
      </c>
      <c r="B126" s="66" t="inlineStr">
        <is>
          <t>"Point of reflection" generalises to every compute-related commit</t>
        </is>
      </c>
      <c r="C126" s="66" t="inlineStr">
        <is>
          <t>O7 Cost &amp; Compute</t>
        </is>
      </c>
      <c r="D126" s="66" t="inlineStr">
        <is>
          <t>#11 — COST AT THE POINT OF REFLECTION, BEFORE COMMIT</t>
        </is>
      </c>
      <c r="E126" s="66" t="inlineStr">
        <is>
          <t>Doc 12</t>
        </is>
      </c>
      <c r="F126" s="77" t="inlineStr">
        <is>
          <t>RULED</t>
        </is>
      </c>
      <c r="G126" s="66" t="n"/>
      <c r="H126" s="66" t="inlineStr">
        <is>
          <t>Cost &amp; Compute (Mkondo, inferred)</t>
        </is>
      </c>
      <c r="I126" s="66" t="inlineStr">
        <is>
          <t>12_Cost_and_Compute_Part_2_Locality_and_Transparency.md:125</t>
        </is>
      </c>
      <c r="J126" s="74" t="inlineStr">
        <is>
          <t>Base canon</t>
        </is>
      </c>
      <c r="K126" s="75" t="n"/>
    </row>
    <row r="127" ht="30" customHeight="1" s="45">
      <c r="A127" s="65" t="inlineStr">
        <is>
          <t>A5.1</t>
        </is>
      </c>
      <c r="B127" s="66" t="inlineStr">
        <is>
          <t>The ladder's selection rule is the lowest rung that meets the promise</t>
        </is>
      </c>
      <c r="C127" s="66" t="inlineStr">
        <is>
          <t>O7 Cost &amp; Compute</t>
        </is>
      </c>
      <c r="D127" s="66" t="inlineStr">
        <is>
          <t>#9 — LOCAL-FIRST PROCESSING &amp; THE CONSUMPTION LEVERS</t>
        </is>
      </c>
      <c r="E127" s="66" t="inlineStr">
        <is>
          <t>Doc 11</t>
        </is>
      </c>
      <c r="F127" s="73" t="inlineStr">
        <is>
          <t>CANON</t>
        </is>
      </c>
      <c r="G127" s="66" t="n"/>
      <c r="H127" s="66" t="inlineStr">
        <is>
          <t>Cost &amp; Compute (Mkondo, inferred)</t>
        </is>
      </c>
      <c r="I127" s="66" t="inlineStr">
        <is>
          <t>11_Cost_and_Compute_Part_1_Local_First_and_Levers.md:67</t>
        </is>
      </c>
      <c r="J127" s="74" t="inlineStr">
        <is>
          <t>Base canon</t>
        </is>
      </c>
      <c r="K127" s="75" t="n"/>
    </row>
    <row r="128" ht="30" customHeight="1" s="45">
      <c r="A128" s="65" t="inlineStr">
        <is>
          <t>A5.2</t>
        </is>
      </c>
      <c r="B128" s="66" t="inlineStr">
        <is>
          <t>The deflation law is built, not hoped</t>
        </is>
      </c>
      <c r="C128" s="66" t="inlineStr">
        <is>
          <t>O7 Cost &amp; Compute</t>
        </is>
      </c>
      <c r="D128" s="66" t="inlineStr">
        <is>
          <t>#9 — LOCAL-FIRST PROCESSING &amp; THE CONSUMPTION LEVERS</t>
        </is>
      </c>
      <c r="E128" s="66" t="inlineStr">
        <is>
          <t>Doc 11</t>
        </is>
      </c>
      <c r="F128" s="73" t="inlineStr">
        <is>
          <t>CANON</t>
        </is>
      </c>
      <c r="G128" s="66" t="n"/>
      <c r="H128" s="66" t="inlineStr">
        <is>
          <t>Cost &amp; Compute (Mkondo, inferred)</t>
        </is>
      </c>
      <c r="I128" s="66" t="inlineStr">
        <is>
          <t>11_Cost_and_Compute_Part_1_Local_First_and_Levers.md:69</t>
        </is>
      </c>
      <c r="J128" s="74" t="inlineStr">
        <is>
          <t>Base canon</t>
        </is>
      </c>
      <c r="K128" s="75" t="n"/>
    </row>
    <row r="129" ht="30" customHeight="1" s="45">
      <c r="A129" s="65" t="inlineStr">
        <is>
          <t>A5.3</t>
        </is>
      </c>
      <c r="B129" s="66" t="inlineStr">
        <is>
          <t>Cost is measured, never simulated; price is separate</t>
        </is>
      </c>
      <c r="C129" s="66" t="inlineStr">
        <is>
          <t>O7 Cost &amp; Compute</t>
        </is>
      </c>
      <c r="D129" s="66" t="inlineStr">
        <is>
          <t>#9 — LOCAL-FIRST PROCESSING &amp; THE CONSUMPTION LEVERS</t>
        </is>
      </c>
      <c r="E129" s="66" t="inlineStr">
        <is>
          <t>Doc 11</t>
        </is>
      </c>
      <c r="F129" s="73" t="inlineStr">
        <is>
          <t>CANON</t>
        </is>
      </c>
      <c r="G129" s="66" t="n"/>
      <c r="H129" s="66" t="inlineStr">
        <is>
          <t>Cost &amp; Compute (Mkondo, inferred)</t>
        </is>
      </c>
      <c r="I129" s="66" t="inlineStr">
        <is>
          <t>11_Cost_and_Compute_Part_1_Local_First_and_Levers.md:71</t>
        </is>
      </c>
      <c r="J129" s="74" t="inlineStr">
        <is>
          <t>Base canon</t>
        </is>
      </c>
      <c r="K129" s="75" t="n"/>
    </row>
    <row r="130" ht="30" customHeight="1" s="45">
      <c r="A130" s="65" t="inlineStr">
        <is>
          <t>A5.4</t>
        </is>
      </c>
      <c r="B130" s="66" t="inlineStr">
        <is>
          <t>Local-cascade offload builds only against demonstrated cost pressure</t>
        </is>
      </c>
      <c r="C130" s="66" t="inlineStr">
        <is>
          <t>O7 Cost &amp; Compute</t>
        </is>
      </c>
      <c r="D130" s="66" t="inlineStr">
        <is>
          <t>#9 — LOCAL-FIRST PROCESSING &amp; THE CONSUMPTION LEVERS</t>
        </is>
      </c>
      <c r="E130" s="66" t="inlineStr">
        <is>
          <t>Doc 11</t>
        </is>
      </c>
      <c r="F130" s="73" t="inlineStr">
        <is>
          <t>CANON</t>
        </is>
      </c>
      <c r="G130" s="66" t="n"/>
      <c r="H130" s="66" t="inlineStr">
        <is>
          <t>Cost &amp; Compute (Mkondo, inferred)</t>
        </is>
      </c>
      <c r="I130" s="66" t="inlineStr">
        <is>
          <t>11_Cost_and_Compute_Part_1_Local_First_and_Levers.md:73</t>
        </is>
      </c>
      <c r="J130" s="74" t="inlineStr">
        <is>
          <t>Base canon</t>
        </is>
      </c>
      <c r="K130" s="75" t="n"/>
    </row>
    <row r="131" ht="30" customHeight="1" s="45">
      <c r="A131" s="65" t="inlineStr">
        <is>
          <t>A5.5</t>
        </is>
      </c>
      <c r="B131" s="66" t="inlineStr">
        <is>
          <t>"Swarms or single agents locally first" maps to the ladder and cascade</t>
        </is>
      </c>
      <c r="C131" s="66" t="inlineStr">
        <is>
          <t>O7 Cost &amp; Compute</t>
        </is>
      </c>
      <c r="D131" s="66" t="inlineStr">
        <is>
          <t>#9 — LOCAL-FIRST PROCESSING &amp; THE CONSUMPTION LEVERS</t>
        </is>
      </c>
      <c r="E131" s="66" t="inlineStr">
        <is>
          <t>Doc 11</t>
        </is>
      </c>
      <c r="F131" s="76" t="inlineStr">
        <is>
          <t>PROPOSED</t>
        </is>
      </c>
      <c r="G131" s="66" t="n"/>
      <c r="H131" s="66" t="inlineStr">
        <is>
          <t>Cost &amp; Compute (Mkondo, inferred)</t>
        </is>
      </c>
      <c r="I131" s="66" t="inlineStr">
        <is>
          <t>11_Cost_and_Compute_Part_1_Local_First_and_Levers.md:75</t>
        </is>
      </c>
      <c r="J131" s="74" t="inlineStr">
        <is>
          <t>Base canon</t>
        </is>
      </c>
      <c r="K131" s="75" t="n"/>
    </row>
    <row r="132" ht="39" customHeight="1" s="45">
      <c r="A132" s="65" t="inlineStr">
        <is>
          <t>B1.1</t>
        </is>
      </c>
      <c r="B132" s="66" t="inlineStr">
        <is>
          <t>LC-1 serves a cached result only where the question, its frozen objective, its scope, and its governing rules are identical to the prior — a match on the govern</t>
        </is>
      </c>
      <c r="C132" s="66" t="inlineStr">
        <is>
          <t>O7 Cost &amp; Compute</t>
        </is>
      </c>
      <c r="D132" s="66" t="inlineStr">
        <is>
          <t>#9 — LOCAL-FIRST PROCESSING &amp; THE CONSUMPTION LEVERS (Part B: consumption levers)</t>
        </is>
      </c>
      <c r="E132" s="66" t="inlineStr">
        <is>
          <t>Doc 11</t>
        </is>
      </c>
      <c r="F132" s="76" t="inlineStr">
        <is>
          <t>PROPOSED</t>
        </is>
      </c>
      <c r="G132" s="66" t="n"/>
      <c r="H132" s="66" t="inlineStr">
        <is>
          <t>Cost &amp; Compute (Mkondo, inferred)</t>
        </is>
      </c>
      <c r="I132" s="66" t="inlineStr">
        <is>
          <t>11_Cost_and_Compute_Part_1_Local_First_and_Levers.md:105</t>
        </is>
      </c>
      <c r="J132" s="74" t="inlineStr">
        <is>
          <t>Base canon</t>
        </is>
      </c>
      <c r="K132" s="75" t="n"/>
    </row>
    <row r="133" ht="30" customHeight="1" s="45">
      <c r="A133" s="65" t="inlineStr">
        <is>
          <t>B1.2</t>
        </is>
      </c>
      <c r="B133" s="66" t="inlineStr">
        <is>
          <t>LC-1 is distinct from warm-serving (Document 8)</t>
        </is>
      </c>
      <c r="C133" s="66" t="inlineStr">
        <is>
          <t>O7 Cost &amp; Compute</t>
        </is>
      </c>
      <c r="D133" s="66" t="inlineStr">
        <is>
          <t>#9 — LOCAL-FIRST PROCESSING &amp; THE CONSUMPTION LEVERS (Part B: consumption levers)</t>
        </is>
      </c>
      <c r="E133" s="66" t="inlineStr">
        <is>
          <t>Doc 11</t>
        </is>
      </c>
      <c r="F133" s="76" t="inlineStr">
        <is>
          <t>PROPOSED</t>
        </is>
      </c>
      <c r="G133" s="66" t="n"/>
      <c r="H133" s="66" t="inlineStr">
        <is>
          <t>Cost &amp; Compute (Mkondo, inferred)</t>
        </is>
      </c>
      <c r="I133" s="66" t="inlineStr">
        <is>
          <t>11_Cost_and_Compute_Part_1_Local_First_and_Levers.md:107</t>
        </is>
      </c>
      <c r="J133" s="74" t="inlineStr">
        <is>
          <t>Base canon</t>
        </is>
      </c>
      <c r="K133" s="75" t="n"/>
    </row>
    <row r="134" ht="30" customHeight="1" s="45">
      <c r="A134" s="65" t="inlineStr">
        <is>
          <t>B1.3</t>
        </is>
      </c>
      <c r="B134" s="66" t="inlineStr">
        <is>
          <t>LC-1 fails transparent: a cache failure produces a fresh computation, never a wrong or refused answer</t>
        </is>
      </c>
      <c r="C134" s="66" t="inlineStr">
        <is>
          <t>O7 Cost &amp; Compute</t>
        </is>
      </c>
      <c r="D134" s="66" t="inlineStr">
        <is>
          <t>#9 — LOCAL-FIRST PROCESSING &amp; THE CONSUMPTION LEVERS (Part B: consumption levers)</t>
        </is>
      </c>
      <c r="E134" s="66" t="inlineStr">
        <is>
          <t>Doc 11</t>
        </is>
      </c>
      <c r="F134" s="76" t="inlineStr">
        <is>
          <t>PROPOSED</t>
        </is>
      </c>
      <c r="G134" s="66" t="n"/>
      <c r="H134" s="66" t="inlineStr">
        <is>
          <t>Cost &amp; Compute (Mkondo, inferred)</t>
        </is>
      </c>
      <c r="I134" s="66" t="inlineStr">
        <is>
          <t>11_Cost_and_Compute_Part_1_Local_First_and_Levers.md:109</t>
        </is>
      </c>
      <c r="J134" s="74" t="inlineStr">
        <is>
          <t>Base canon</t>
        </is>
      </c>
      <c r="K134" s="75" t="n"/>
    </row>
    <row r="135" ht="39" customHeight="1" s="45">
      <c r="A135" s="65" t="inlineStr">
        <is>
          <t>B1.4</t>
        </is>
      </c>
      <c r="B135" s="66" t="inlineStr">
        <is>
          <t xml:space="preserve">Cache invalidation follows the estate's own freshness (Document 9): when a region's measure changes (a retraction, a re-census), any cached result depending on </t>
        </is>
      </c>
      <c r="C135" s="66" t="inlineStr">
        <is>
          <t>O7 Cost &amp; Compute</t>
        </is>
      </c>
      <c r="D135" s="66" t="inlineStr">
        <is>
          <t>#9 — LOCAL-FIRST PROCESSING &amp; THE CONSUMPTION LEVERS (Part B: consumption levers)</t>
        </is>
      </c>
      <c r="E135" s="66" t="inlineStr">
        <is>
          <t>Doc 11</t>
        </is>
      </c>
      <c r="F135" s="76" t="inlineStr">
        <is>
          <t>PROPOSED</t>
        </is>
      </c>
      <c r="G135" s="66" t="n"/>
      <c r="H135" s="66" t="inlineStr">
        <is>
          <t>Cost &amp; Compute (Mkondo, inferred)</t>
        </is>
      </c>
      <c r="I135" s="66" t="inlineStr">
        <is>
          <t>11_Cost_and_Compute_Part_1_Local_First_and_Levers.md:111</t>
        </is>
      </c>
      <c r="J135" s="74" t="inlineStr">
        <is>
          <t>Base canon</t>
        </is>
      </c>
      <c r="K135" s="75" t="n"/>
    </row>
    <row r="136" ht="39" customHeight="1" s="45">
      <c r="A136" s="65" t="inlineStr">
        <is>
          <t>B2.1</t>
        </is>
      </c>
      <c r="B136" s="66" t="inlineStr">
        <is>
          <t>LC-2 is the ladder's selection rule (A5.1) applied at the granularity of task class: each class routes to the lowest rung that meets its promise, and the placem</t>
        </is>
      </c>
      <c r="C136" s="66" t="inlineStr">
        <is>
          <t>O7 Cost &amp; Compute</t>
        </is>
      </c>
      <c r="D136" s="66" t="inlineStr">
        <is>
          <t>#9 — LOCAL-FIRST PROCESSING &amp; THE CONSUMPTION LEVERS (Part B: consumption levers)</t>
        </is>
      </c>
      <c r="E136" s="66" t="inlineStr">
        <is>
          <t>Doc 11</t>
        </is>
      </c>
      <c r="F136" s="76" t="inlineStr">
        <is>
          <t>PROPOSED</t>
        </is>
      </c>
      <c r="G136" s="66" t="n"/>
      <c r="H136" s="66" t="inlineStr">
        <is>
          <t>Cost &amp; Compute (Mkondo, inferred)</t>
        </is>
      </c>
      <c r="I136" s="66" t="inlineStr">
        <is>
          <t>11_Cost_and_Compute_Part_1_Local_First_and_Levers.md:119</t>
        </is>
      </c>
      <c r="J136" s="74" t="inlineStr">
        <is>
          <t>Base canon</t>
        </is>
      </c>
      <c r="K136" s="75" t="n"/>
    </row>
    <row r="137" ht="39" customHeight="1" s="45">
      <c r="A137" s="65" t="inlineStr">
        <is>
          <t>B2.2</t>
        </is>
      </c>
      <c r="B137" s="66" t="inlineStr">
        <is>
          <t>The routing decision is governed by measured performance of each rung on each task class on real material — not by a fixed assumption about which model suits wh</t>
        </is>
      </c>
      <c r="C137" s="66" t="inlineStr">
        <is>
          <t>O7 Cost &amp; Compute</t>
        </is>
      </c>
      <c r="D137" s="66" t="inlineStr">
        <is>
          <t>#9 — LOCAL-FIRST PROCESSING &amp; THE CONSUMPTION LEVERS (Part B: consumption levers)</t>
        </is>
      </c>
      <c r="E137" s="66" t="inlineStr">
        <is>
          <t>Doc 11</t>
        </is>
      </c>
      <c r="F137" s="76" t="inlineStr">
        <is>
          <t>PROPOSED</t>
        </is>
      </c>
      <c r="G137" s="66" t="n"/>
      <c r="H137" s="66" t="inlineStr">
        <is>
          <t>Cost &amp; Compute (Mkondo, inferred)</t>
        </is>
      </c>
      <c r="I137" s="66" t="inlineStr">
        <is>
          <t>11_Cost_and_Compute_Part_1_Local_First_and_Levers.md:121</t>
        </is>
      </c>
      <c r="J137" s="74" t="inlineStr">
        <is>
          <t>Base canon</t>
        </is>
      </c>
      <c r="K137" s="75" t="n"/>
    </row>
    <row r="138" ht="39" customHeight="1" s="45">
      <c r="A138" s="65" t="inlineStr">
        <is>
          <t>B2.3</t>
        </is>
      </c>
      <c r="B138" s="66" t="inlineStr">
        <is>
          <t>LC-2 fails transparent and upward: if the routed rung cannot meet the standard on a given item, the item escalates to a higher rung (the cascade shape, A5.4), n</t>
        </is>
      </c>
      <c r="C138" s="66" t="inlineStr">
        <is>
          <t>O7 Cost &amp; Compute</t>
        </is>
      </c>
      <c r="D138" s="66" t="inlineStr">
        <is>
          <t>#9 — LOCAL-FIRST PROCESSING &amp; THE CONSUMPTION LEVERS (Part B: consumption levers)</t>
        </is>
      </c>
      <c r="E138" s="66" t="inlineStr">
        <is>
          <t>Doc 11</t>
        </is>
      </c>
      <c r="F138" s="76" t="inlineStr">
        <is>
          <t>PROPOSED</t>
        </is>
      </c>
      <c r="G138" s="66" t="n"/>
      <c r="H138" s="66" t="inlineStr">
        <is>
          <t>Cost &amp; Compute (Mkondo, inferred)</t>
        </is>
      </c>
      <c r="I138" s="66" t="inlineStr">
        <is>
          <t>11_Cost_and_Compute_Part_1_Local_First_and_Levers.md:123</t>
        </is>
      </c>
      <c r="J138" s="74" t="inlineStr">
        <is>
          <t>Base canon</t>
        </is>
      </c>
      <c r="K138" s="75" t="n"/>
    </row>
    <row r="139" ht="39" customHeight="1" s="45">
      <c r="A139" s="65" t="inlineStr">
        <is>
          <t>B3.1</t>
        </is>
      </c>
      <c r="B139" s="66" t="inlineStr">
        <is>
          <t>LC-3 is the same discipline as progressive disclosure (Document 6) and the memory layer's on-demand fetch (Document 8): minimal-sufficient context first, expand</t>
        </is>
      </c>
      <c r="C139" s="66" t="inlineStr">
        <is>
          <t>O7 Cost &amp; Compute</t>
        </is>
      </c>
      <c r="D139" s="66" t="inlineStr">
        <is>
          <t>#9 — LOCAL-FIRST PROCESSING &amp; THE CONSUMPTION LEVERS (Part B: consumption levers)</t>
        </is>
      </c>
      <c r="E139" s="66" t="inlineStr">
        <is>
          <t>Doc 11</t>
        </is>
      </c>
      <c r="F139" s="77" t="inlineStr">
        <is>
          <t>RULED</t>
        </is>
      </c>
      <c r="G139" s="66" t="n"/>
      <c r="H139" s="66" t="inlineStr">
        <is>
          <t>Cost &amp; Compute (Mkondo, inferred)</t>
        </is>
      </c>
      <c r="I139" s="66" t="inlineStr">
        <is>
          <t>11_Cost_and_Compute_Part_1_Local_First_and_Levers.md:131</t>
        </is>
      </c>
      <c r="J139" s="74" t="inlineStr">
        <is>
          <t>Base canon</t>
        </is>
      </c>
      <c r="K139" s="75" t="n"/>
    </row>
    <row r="140" ht="39" customHeight="1" s="45">
      <c r="A140" s="65" t="inlineStr">
        <is>
          <t>B3.2</t>
        </is>
      </c>
      <c r="B140" s="66" t="inlineStr">
        <is>
          <t xml:space="preserve">LC-3 narrows within scope and custody: narrowing never drops material the objective requires to be correct (that would change the answer, forbidden by B0), and </t>
        </is>
      </c>
      <c r="C140" s="66" t="inlineStr">
        <is>
          <t>O7 Cost &amp; Compute</t>
        </is>
      </c>
      <c r="D140" s="66" t="inlineStr">
        <is>
          <t>#9 — LOCAL-FIRST PROCESSING &amp; THE CONSUMPTION LEVERS (Part B: consumption levers)</t>
        </is>
      </c>
      <c r="E140" s="66" t="inlineStr">
        <is>
          <t>Doc 11</t>
        </is>
      </c>
      <c r="F140" s="76" t="inlineStr">
        <is>
          <t>PROPOSED</t>
        </is>
      </c>
      <c r="G140" s="66" t="n"/>
      <c r="H140" s="66" t="inlineStr">
        <is>
          <t>Cost &amp; Compute (Mkondo, inferred)</t>
        </is>
      </c>
      <c r="I140" s="66" t="inlineStr">
        <is>
          <t>11_Cost_and_Compute_Part_1_Local_First_and_Levers.md:133</t>
        </is>
      </c>
      <c r="J140" s="74" t="inlineStr">
        <is>
          <t>Base canon</t>
        </is>
      </c>
      <c r="K140" s="75" t="n"/>
    </row>
    <row r="141" ht="30" customHeight="1" s="45">
      <c r="A141" s="65" t="inlineStr">
        <is>
          <t>B4.1</t>
        </is>
      </c>
      <c r="B141" s="66" t="inlineStr">
        <is>
          <t>The Cost Ledger's one job is to show that tokens-per-answer falls</t>
        </is>
      </c>
      <c r="C141" s="66" t="inlineStr">
        <is>
          <t>O7 Cost &amp; Compute</t>
        </is>
      </c>
      <c r="D141" s="66" t="inlineStr">
        <is>
          <t>#9 — LOCAL-FIRST PROCESSING &amp; THE CONSUMPTION LEVERS (Part B: consumption levers)</t>
        </is>
      </c>
      <c r="E141" s="66" t="inlineStr">
        <is>
          <t>Doc 11</t>
        </is>
      </c>
      <c r="F141" s="76" t="inlineStr">
        <is>
          <t>PROPOSED</t>
        </is>
      </c>
      <c r="G141" s="66" t="n"/>
      <c r="H141" s="66" t="inlineStr">
        <is>
          <t>Cost &amp; Compute (Mkondo, inferred)</t>
        </is>
      </c>
      <c r="I141" s="66" t="inlineStr">
        <is>
          <t>11_Cost_and_Compute_Part_1_Local_First_and_Levers.md:139</t>
        </is>
      </c>
      <c r="J141" s="74" t="inlineStr">
        <is>
          <t>Base canon</t>
        </is>
      </c>
      <c r="K141" s="75" t="n"/>
    </row>
    <row r="142" ht="39" customHeight="1" s="45">
      <c r="A142" s="65" t="inlineStr">
        <is>
          <t>B4.2</t>
        </is>
      </c>
      <c r="B142" s="66" t="inlineStr">
        <is>
          <t>The priority order among cost mechanisms, where several could apply, is: cache (LC-1) → route by task class (LC-2) → narrow retrieval (LC-3) → cascade/compressi</t>
        </is>
      </c>
      <c r="C142" s="66" t="inlineStr">
        <is>
          <t>O7 Cost &amp; Compute</t>
        </is>
      </c>
      <c r="D142" s="66" t="inlineStr">
        <is>
          <t>#9 — LOCAL-FIRST PROCESSING &amp; THE CONSUMPTION LEVERS (Part B: consumption levers)</t>
        </is>
      </c>
      <c r="E142" s="66" t="inlineStr">
        <is>
          <t>Doc 11</t>
        </is>
      </c>
      <c r="F142" s="77" t="inlineStr">
        <is>
          <t>RULED</t>
        </is>
      </c>
      <c r="G142" s="66" t="n"/>
      <c r="H142" s="66" t="inlineStr">
        <is>
          <t>Cost &amp; Compute (Mkondo, inferred)</t>
        </is>
      </c>
      <c r="I142" s="66" t="inlineStr">
        <is>
          <t>11_Cost_and_Compute_Part_1_Local_First_and_Levers.md:141</t>
        </is>
      </c>
      <c r="J142" s="74" t="inlineStr">
        <is>
          <t>Base canon</t>
        </is>
      </c>
      <c r="K142" s="75" t="n"/>
    </row>
    <row r="143" ht="30" customHeight="1" s="45">
      <c r="A143" s="65" t="inlineStr">
        <is>
          <t>B5.1</t>
        </is>
      </c>
      <c r="B143" s="66" t="inlineStr">
        <is>
          <t>The six acceptance criteria are structural, with no human in the path</t>
        </is>
      </c>
      <c r="C143" s="66" t="inlineStr">
        <is>
          <t>O8 Training &amp; Models</t>
        </is>
      </c>
      <c r="D143" s="66" t="inlineStr">
        <is>
          <t>#22 — AUTONOMOUS TRAINING, ANY OUTPUT DIMENSION</t>
        </is>
      </c>
      <c r="E143" s="66" t="inlineStr">
        <is>
          <t>Doc 13</t>
        </is>
      </c>
      <c r="F143" s="73" t="inlineStr">
        <is>
          <t>CANON</t>
        </is>
      </c>
      <c r="G143" s="66" t="n"/>
      <c r="H143" s="66" t="inlineStr">
        <is>
          <t>Targeta</t>
        </is>
      </c>
      <c r="I143" s="66" t="inlineStr">
        <is>
          <t>13_Targeting_Training_Part_1_Autonomous_Training_and_Shaping.md:123</t>
        </is>
      </c>
      <c r="J143" s="74" t="inlineStr">
        <is>
          <t>Base canon</t>
        </is>
      </c>
      <c r="K143" s="75" t="n"/>
    </row>
    <row r="144" ht="30" customHeight="1" s="45">
      <c r="A144" s="65" t="inlineStr">
        <is>
          <t>B5.2</t>
        </is>
      </c>
      <c r="B144" s="66" t="inlineStr">
        <is>
          <t>Targeta learns yield but never narrows reach</t>
        </is>
      </c>
      <c r="C144" s="66" t="inlineStr">
        <is>
          <t>O8 Training &amp; Models</t>
        </is>
      </c>
      <c r="D144" s="66" t="inlineStr">
        <is>
          <t>#22 — AUTONOMOUS TRAINING, ANY OUTPUT DIMENSION</t>
        </is>
      </c>
      <c r="E144" s="66" t="inlineStr">
        <is>
          <t>Doc 13</t>
        </is>
      </c>
      <c r="F144" s="73" t="inlineStr">
        <is>
          <t>CANON</t>
        </is>
      </c>
      <c r="G144" s="66" t="n"/>
      <c r="H144" s="66" t="inlineStr">
        <is>
          <t>Targeta</t>
        </is>
      </c>
      <c r="I144" s="66" t="inlineStr">
        <is>
          <t>13_Targeting_Training_Part_1_Autonomous_Training_and_Shaping.md:125</t>
        </is>
      </c>
      <c r="J144" s="74" t="inlineStr">
        <is>
          <t>Base canon</t>
        </is>
      </c>
      <c r="K144" s="75" t="n"/>
    </row>
    <row r="145" ht="30" customHeight="1" s="45">
      <c r="A145" s="65" t="inlineStr">
        <is>
          <t>B5.3</t>
        </is>
      </c>
      <c r="B145" s="66" t="inlineStr">
        <is>
          <t>Foundation methods and material are fixed</t>
        </is>
      </c>
      <c r="C145" s="66" t="inlineStr">
        <is>
          <t>O8 Training &amp; Models</t>
        </is>
      </c>
      <c r="D145" s="66" t="inlineStr">
        <is>
          <t>#22 — AUTONOMOUS TRAINING, ANY OUTPUT DIMENSION</t>
        </is>
      </c>
      <c r="E145" s="66" t="inlineStr">
        <is>
          <t>Doc 13</t>
        </is>
      </c>
      <c r="F145" s="73" t="inlineStr">
        <is>
          <t>CANON</t>
        </is>
      </c>
      <c r="G145" s="66" t="n"/>
      <c r="H145" s="66" t="inlineStr">
        <is>
          <t>Targeta</t>
        </is>
      </c>
      <c r="I145" s="66" t="inlineStr">
        <is>
          <t>13_Targeting_Training_Part_1_Autonomous_Training_and_Shaping.md:127</t>
        </is>
      </c>
      <c r="J145" s="74" t="inlineStr">
        <is>
          <t>Base canon</t>
        </is>
      </c>
      <c r="K145" s="75" t="n"/>
    </row>
    <row r="146" ht="30" customHeight="1" s="45">
      <c r="A146" s="65" t="inlineStr">
        <is>
          <t>B5.4</t>
        </is>
      </c>
      <c r="B146" s="66" t="inlineStr">
        <is>
          <t>The recipe seat is governed and evidence-bound</t>
        </is>
      </c>
      <c r="C146" s="66" t="inlineStr">
        <is>
          <t>O8 Training &amp; Models</t>
        </is>
      </c>
      <c r="D146" s="66" t="inlineStr">
        <is>
          <t>#22 — AUTONOMOUS TRAINING, ANY OUTPUT DIMENSION</t>
        </is>
      </c>
      <c r="E146" s="66" t="inlineStr">
        <is>
          <t>Doc 13</t>
        </is>
      </c>
      <c r="F146" s="73" t="inlineStr">
        <is>
          <t>CANON</t>
        </is>
      </c>
      <c r="G146" s="66" t="n"/>
      <c r="H146" s="66" t="inlineStr">
        <is>
          <t>Targeta</t>
        </is>
      </c>
      <c r="I146" s="66" t="inlineStr">
        <is>
          <t>13_Targeting_Training_Part_1_Autonomous_Training_and_Shaping.md:129</t>
        </is>
      </c>
      <c r="J146" s="74" t="inlineStr">
        <is>
          <t>Base canon</t>
        </is>
      </c>
      <c r="K146" s="75" t="n"/>
    </row>
    <row r="147" ht="30" customHeight="1" s="45">
      <c r="A147" s="65" t="inlineStr">
        <is>
          <t>B5.5</t>
        </is>
      </c>
      <c r="B147" s="66" t="inlineStr">
        <is>
          <t>Candidate comparison is blinded</t>
        </is>
      </c>
      <c r="C147" s="66" t="inlineStr">
        <is>
          <t>O8 Training &amp; Models</t>
        </is>
      </c>
      <c r="D147" s="66" t="inlineStr">
        <is>
          <t>#22 — AUTONOMOUS TRAINING, ANY OUTPUT DIMENSION</t>
        </is>
      </c>
      <c r="E147" s="66" t="inlineStr">
        <is>
          <t>Doc 13</t>
        </is>
      </c>
      <c r="F147" s="73" t="inlineStr">
        <is>
          <t>CANON</t>
        </is>
      </c>
      <c r="G147" s="66" t="n"/>
      <c r="H147" s="66" t="inlineStr">
        <is>
          <t>Targeta</t>
        </is>
      </c>
      <c r="I147" s="66" t="inlineStr">
        <is>
          <t>13_Targeting_Training_Part_1_Autonomous_Training_and_Shaping.md:131</t>
        </is>
      </c>
      <c r="J147" s="74" t="inlineStr">
        <is>
          <t>Base canon</t>
        </is>
      </c>
      <c r="K147" s="75" t="n"/>
    </row>
    <row r="148" ht="30" customHeight="1" s="45">
      <c r="A148" s="65" t="inlineStr">
        <is>
          <t>B5.6</t>
        </is>
      </c>
      <c r="B148" s="66" t="inlineStr">
        <is>
          <t>Retained learning data from exceptional runs [RULED — see Document 14]</t>
        </is>
      </c>
      <c r="C148" s="66" t="inlineStr">
        <is>
          <t>O8 Training &amp; Models</t>
        </is>
      </c>
      <c r="D148" s="66" t="inlineStr">
        <is>
          <t>#22 — AUTONOMOUS TRAINING, ANY OUTPUT DIMENSION</t>
        </is>
      </c>
      <c r="E148" s="66" t="inlineStr">
        <is>
          <t>Doc 13</t>
        </is>
      </c>
      <c r="F148" s="66" t="inlineStr">
        <is>
          <t>—</t>
        </is>
      </c>
      <c r="G148" s="66" t="n"/>
      <c r="H148" s="66" t="inlineStr">
        <is>
          <t>Targeta</t>
        </is>
      </c>
      <c r="I148" s="66" t="inlineStr">
        <is>
          <t>13_Targeting_Training_Part_1_Autonomous_Training_and_Shaping.md:133</t>
        </is>
      </c>
      <c r="J148" s="74" t="inlineStr">
        <is>
          <t>Base canon</t>
        </is>
      </c>
      <c r="K148" s="75" t="n"/>
    </row>
    <row r="149" ht="30" customHeight="1" s="45">
      <c r="A149" s="65" t="inlineStr">
        <is>
          <t>A5.1</t>
        </is>
      </c>
      <c r="B149" s="66" t="inlineStr">
        <is>
          <t>Mandatory fields are asked, never pre-filled [CANON + RULED]</t>
        </is>
      </c>
      <c r="C149" s="66" t="inlineStr">
        <is>
          <t>O8 Training &amp; Models</t>
        </is>
      </c>
      <c r="D149" s="66" t="inlineStr">
        <is>
          <t>#23 — THE OBJECTIVE-SHAPING DIALOGUE (specified first, because it precedes the job)</t>
        </is>
      </c>
      <c r="E149" s="66" t="inlineStr">
        <is>
          <t>Doc 13</t>
        </is>
      </c>
      <c r="F149" s="66" t="inlineStr">
        <is>
          <t>—</t>
        </is>
      </c>
      <c r="G149" s="66" t="n"/>
      <c r="H149" s="66" t="inlineStr">
        <is>
          <t>Targeta</t>
        </is>
      </c>
      <c r="I149" s="66" t="inlineStr">
        <is>
          <t>13_Targeting_Training_Part_1_Autonomous_Training_and_Shaping.md:57</t>
        </is>
      </c>
      <c r="J149" s="74" t="inlineStr">
        <is>
          <t>Base canon</t>
        </is>
      </c>
      <c r="K149" s="75" t="n"/>
    </row>
    <row r="150" ht="30" customHeight="1" s="45">
      <c r="A150" s="65" t="inlineStr">
        <is>
          <t>A5.2</t>
        </is>
      </c>
      <c r="B150" s="66" t="inlineStr">
        <is>
          <t>Every turn is grounded in a real read; no fabricated availability</t>
        </is>
      </c>
      <c r="C150" s="66" t="inlineStr">
        <is>
          <t>O8 Training &amp; Models</t>
        </is>
      </c>
      <c r="D150" s="66" t="inlineStr">
        <is>
          <t>#23 — THE OBJECTIVE-SHAPING DIALOGUE (specified first, because it precedes the job)</t>
        </is>
      </c>
      <c r="E150" s="66" t="inlineStr">
        <is>
          <t>Doc 13</t>
        </is>
      </c>
      <c r="F150" s="73" t="inlineStr">
        <is>
          <t>CANON</t>
        </is>
      </c>
      <c r="G150" s="66" t="n"/>
      <c r="H150" s="66" t="inlineStr">
        <is>
          <t>Targeta</t>
        </is>
      </c>
      <c r="I150" s="66" t="inlineStr">
        <is>
          <t>13_Targeting_Training_Part_1_Autonomous_Training_and_Shaping.md:61</t>
        </is>
      </c>
      <c r="J150" s="74" t="inlineStr">
        <is>
          <t>Base canon</t>
        </is>
      </c>
      <c r="K150" s="75" t="n"/>
    </row>
    <row r="151" ht="30" customHeight="1" s="45">
      <c r="A151" s="65" t="inlineStr">
        <is>
          <t>A5.3</t>
        </is>
      </c>
      <c r="B151" s="66" t="inlineStr">
        <is>
          <t>The mission is reflected, then frozen; frozen is immutable</t>
        </is>
      </c>
      <c r="C151" s="66" t="inlineStr">
        <is>
          <t>O8 Training &amp; Models</t>
        </is>
      </c>
      <c r="D151" s="66" t="inlineStr">
        <is>
          <t>#23 — THE OBJECTIVE-SHAPING DIALOGUE (specified first, because it precedes the job)</t>
        </is>
      </c>
      <c r="E151" s="66" t="inlineStr">
        <is>
          <t>Doc 13</t>
        </is>
      </c>
      <c r="F151" s="73" t="inlineStr">
        <is>
          <t>CANON</t>
        </is>
      </c>
      <c r="G151" s="66" t="n"/>
      <c r="H151" s="66" t="inlineStr">
        <is>
          <t>Targeta</t>
        </is>
      </c>
      <c r="I151" s="66" t="inlineStr">
        <is>
          <t>13_Targeting_Training_Part_1_Autonomous_Training_and_Shaping.md:63</t>
        </is>
      </c>
      <c r="J151" s="74" t="inlineStr">
        <is>
          <t>Base canon</t>
        </is>
      </c>
      <c r="K151" s="75" t="n"/>
    </row>
    <row r="152" ht="30" customHeight="1" s="45">
      <c r="A152" s="65" t="inlineStr">
        <is>
          <t>A5.4</t>
        </is>
      </c>
      <c r="B152" s="66" t="inlineStr">
        <is>
          <t>Cost is presented at the reflection, before commit [CANON + Document 12]</t>
        </is>
      </c>
      <c r="C152" s="66" t="inlineStr">
        <is>
          <t>O8 Training &amp; Models</t>
        </is>
      </c>
      <c r="D152" s="66" t="inlineStr">
        <is>
          <t>#23 — THE OBJECTIVE-SHAPING DIALOGUE (specified first, because it precedes the job)</t>
        </is>
      </c>
      <c r="E152" s="66" t="inlineStr">
        <is>
          <t>Doc 13</t>
        </is>
      </c>
      <c r="F152" s="66" t="inlineStr">
        <is>
          <t>—</t>
        </is>
      </c>
      <c r="G152" s="66" t="n"/>
      <c r="H152" s="66" t="inlineStr">
        <is>
          <t>Targeta</t>
        </is>
      </c>
      <c r="I152" s="66" t="inlineStr">
        <is>
          <t>13_Targeting_Training_Part_1_Autonomous_Training_and_Shaping.md:65</t>
        </is>
      </c>
      <c r="J152" s="74" t="inlineStr">
        <is>
          <t>Base canon</t>
        </is>
      </c>
      <c r="K152" s="75" t="n"/>
    </row>
    <row r="153" ht="30" customHeight="1" s="45">
      <c r="A153" s="65" t="inlineStr">
        <is>
          <t>A5.5</t>
        </is>
      </c>
      <c r="B153" s="66" t="inlineStr">
        <is>
          <t>"Any output dimension" is bounded by the pre-committed done-condition, never by a defensibility judgment</t>
        </is>
      </c>
      <c r="C153" s="66" t="inlineStr">
        <is>
          <t>O8 Training &amp; Models</t>
        </is>
      </c>
      <c r="D153" s="66" t="inlineStr">
        <is>
          <t>#23 — THE OBJECTIVE-SHAPING DIALOGUE (specified first, because it precedes the job)</t>
        </is>
      </c>
      <c r="E153" s="66" t="inlineStr">
        <is>
          <t>Doc 13</t>
        </is>
      </c>
      <c r="F153" s="77" t="inlineStr">
        <is>
          <t>RULED</t>
        </is>
      </c>
      <c r="G153" s="66" t="n"/>
      <c r="H153" s="66" t="inlineStr">
        <is>
          <t>Targeta</t>
        </is>
      </c>
      <c r="I153" s="66" t="inlineStr">
        <is>
          <t>13_Targeting_Training_Part_1_Autonomous_Training_and_Shaping.md:67</t>
        </is>
      </c>
      <c r="J153" s="74" t="inlineStr">
        <is>
          <t>Base canon</t>
        </is>
      </c>
      <c r="K153" s="75" t="n"/>
    </row>
    <row r="154" ht="30" customHeight="1" s="45">
      <c r="A154" s="65" t="inlineStr">
        <is>
          <t>A5.1</t>
        </is>
      </c>
      <c r="B154" s="66" t="inlineStr">
        <is>
          <t>Every baseline is a licence-verified registry entry</t>
        </is>
      </c>
      <c r="C154" s="66" t="inlineStr">
        <is>
          <t>O8 Training &amp; Models</t>
        </is>
      </c>
      <c r="D154" s="66" t="inlineStr">
        <is>
          <t>#24 — THE PRETRAINED-MODEL BASELINE REGISTRY</t>
        </is>
      </c>
      <c r="E154" s="66" t="inlineStr">
        <is>
          <t>Doc 14</t>
        </is>
      </c>
      <c r="F154" s="73" t="inlineStr">
        <is>
          <t>CANON</t>
        </is>
      </c>
      <c r="G154" s="66" t="n"/>
      <c r="H154" s="66" t="inlineStr">
        <is>
          <t>Targeta</t>
        </is>
      </c>
      <c r="I154" s="66" t="inlineStr">
        <is>
          <t>14_Targeting_Training_Part_2_Model_Ecosystem.md:51</t>
        </is>
      </c>
      <c r="J154" s="74" t="inlineStr">
        <is>
          <t>Base canon</t>
        </is>
      </c>
      <c r="K154" s="75" t="n"/>
    </row>
    <row r="155" ht="30" customHeight="1" s="45">
      <c r="A155" s="65" t="inlineStr">
        <is>
          <t>A5.2</t>
        </is>
      </c>
      <c r="B155" s="66" t="inlineStr">
        <is>
          <t>Curation is evidence-bound and governed</t>
        </is>
      </c>
      <c r="C155" s="66" t="inlineStr">
        <is>
          <t>O8 Training &amp; Models</t>
        </is>
      </c>
      <c r="D155" s="66" t="inlineStr">
        <is>
          <t>#24 — THE PRETRAINED-MODEL BASELINE REGISTRY</t>
        </is>
      </c>
      <c r="E155" s="66" t="inlineStr">
        <is>
          <t>Doc 14</t>
        </is>
      </c>
      <c r="F155" s="76" t="inlineStr">
        <is>
          <t>PROPOSED</t>
        </is>
      </c>
      <c r="G155" s="66" t="n"/>
      <c r="H155" s="66" t="inlineStr">
        <is>
          <t>Targeta</t>
        </is>
      </c>
      <c r="I155" s="66" t="inlineStr">
        <is>
          <t>14_Targeting_Training_Part_2_Model_Ecosystem.md:53</t>
        </is>
      </c>
      <c r="J155" s="74" t="inlineStr">
        <is>
          <t>Base canon</t>
        </is>
      </c>
      <c r="K155" s="75" t="n"/>
    </row>
    <row r="156" ht="30" customHeight="1" s="45">
      <c r="A156" s="65" t="inlineStr">
        <is>
          <t>A5.3</t>
        </is>
      </c>
      <c r="B156" s="66" t="inlineStr">
        <is>
          <t>The baseline library never overrides acceptance</t>
        </is>
      </c>
      <c r="C156" s="66" t="inlineStr">
        <is>
          <t>O8 Training &amp; Models</t>
        </is>
      </c>
      <c r="D156" s="66" t="inlineStr">
        <is>
          <t>#24 — THE PRETRAINED-MODEL BASELINE REGISTRY</t>
        </is>
      </c>
      <c r="E156" s="66" t="inlineStr">
        <is>
          <t>Doc 14</t>
        </is>
      </c>
      <c r="F156" s="76" t="inlineStr">
        <is>
          <t>PROPOSED</t>
        </is>
      </c>
      <c r="G156" s="66" t="n"/>
      <c r="H156" s="66" t="inlineStr">
        <is>
          <t>Targeta</t>
        </is>
      </c>
      <c r="I156" s="66" t="inlineStr">
        <is>
          <t>14_Targeting_Training_Part_2_Model_Ecosystem.md:55</t>
        </is>
      </c>
      <c r="J156" s="74" t="inlineStr">
        <is>
          <t>Base canon</t>
        </is>
      </c>
      <c r="K156" s="75" t="n"/>
    </row>
    <row r="157" ht="39" customHeight="1" s="45">
      <c r="A157" s="65" t="inlineStr">
        <is>
          <t>B5.1</t>
        </is>
      </c>
      <c r="B157" s="66" t="inlineStr">
        <is>
          <t>Exceptional-run artefacts are retained, tagged, and lineage-complete [RULED — tightened beyond the original proposal]</t>
        </is>
      </c>
      <c r="C157" s="66" t="inlineStr">
        <is>
          <t>O8 Training &amp; Models</t>
        </is>
      </c>
      <c r="D157" s="66" t="inlineStr">
        <is>
          <t>#25 — RETAINED LEARNING DATA &amp; THE WHITE-PAPER PIPELINE</t>
        </is>
      </c>
      <c r="E157" s="66" t="inlineStr">
        <is>
          <t>Doc 14</t>
        </is>
      </c>
      <c r="F157" s="66" t="inlineStr">
        <is>
          <t>—</t>
        </is>
      </c>
      <c r="G157" s="66" t="n"/>
      <c r="H157" s="66" t="inlineStr">
        <is>
          <t>Targeta</t>
        </is>
      </c>
      <c r="I157" s="66" t="inlineStr">
        <is>
          <t>14_Targeting_Training_Part_2_Model_Ecosystem.md:101</t>
        </is>
      </c>
      <c r="J157" s="74" t="inlineStr">
        <is>
          <t>Base canon</t>
        </is>
      </c>
      <c r="K157" s="75" t="n"/>
    </row>
    <row r="158" ht="30" customHeight="1" s="45">
      <c r="A158" s="65" t="inlineStr">
        <is>
          <t>B5.2</t>
        </is>
      </c>
      <c r="B158" s="66" t="inlineStr">
        <is>
          <t>Publication crosses the outer gate</t>
        </is>
      </c>
      <c r="C158" s="66" t="inlineStr">
        <is>
          <t>O8 Training &amp; Models</t>
        </is>
      </c>
      <c r="D158" s="66" t="inlineStr">
        <is>
          <t>#25 — RETAINED LEARNING DATA &amp; THE WHITE-PAPER PIPELINE</t>
        </is>
      </c>
      <c r="E158" s="66" t="inlineStr">
        <is>
          <t>Doc 14</t>
        </is>
      </c>
      <c r="F158" s="76" t="inlineStr">
        <is>
          <t>PROPOSED</t>
        </is>
      </c>
      <c r="G158" s="66" t="n"/>
      <c r="H158" s="66" t="inlineStr">
        <is>
          <t>Targeta</t>
        </is>
      </c>
      <c r="I158" s="66" t="inlineStr">
        <is>
          <t>14_Targeting_Training_Part_2_Model_Ecosystem.md:105</t>
        </is>
      </c>
      <c r="J158" s="74" t="inlineStr">
        <is>
          <t>Base canon</t>
        </is>
      </c>
      <c r="K158" s="75" t="n"/>
    </row>
    <row r="159" ht="30" customHeight="1" s="45">
      <c r="A159" s="65" t="inlineStr">
        <is>
          <t>B5.3</t>
        </is>
      </c>
      <c r="B159" s="66" t="inlineStr">
        <is>
          <t>The method is disclosed only to the depth rights and custody permit</t>
        </is>
      </c>
      <c r="C159" s="66" t="inlineStr">
        <is>
          <t>O8 Training &amp; Models</t>
        </is>
      </c>
      <c r="D159" s="66" t="inlineStr">
        <is>
          <t>#25 — RETAINED LEARNING DATA &amp; THE WHITE-PAPER PIPELINE</t>
        </is>
      </c>
      <c r="E159" s="66" t="inlineStr">
        <is>
          <t>Doc 14</t>
        </is>
      </c>
      <c r="F159" s="76" t="inlineStr">
        <is>
          <t>PROPOSED</t>
        </is>
      </c>
      <c r="G159" s="66" t="n"/>
      <c r="H159" s="66" t="inlineStr">
        <is>
          <t>Targeta</t>
        </is>
      </c>
      <c r="I159" s="66" t="inlineStr">
        <is>
          <t>14_Targeting_Training_Part_2_Model_Ecosystem.md:107</t>
        </is>
      </c>
      <c r="J159" s="74" t="inlineStr">
        <is>
          <t>Base canon</t>
        </is>
      </c>
      <c r="K159" s="75" t="n"/>
    </row>
    <row r="160" ht="30" customHeight="1" s="45">
      <c r="A160" s="65" t="inlineStr">
        <is>
          <t>WPW-1</t>
        </is>
      </c>
      <c r="B160" s="66" t="inlineStr">
        <is>
          <t>The wizard MUST attach to every training run at commissioning</t>
        </is>
      </c>
      <c r="C160" s="66" t="inlineStr">
        <is>
          <t>O8 Training &amp; Models</t>
        </is>
      </c>
      <c r="D160" s="66" t="inlineStr">
        <is>
          <t>#25 — White-Paper Pipeline (whitepaper_wizard_spec_v1)</t>
        </is>
      </c>
      <c r="E160" s="66" t="inlineStr">
        <is>
          <t>WPW spec</t>
        </is>
      </c>
      <c r="F160" s="78" t="inlineStr">
        <is>
          <t>DEFAULT (draft; R2 open)</t>
        </is>
      </c>
      <c r="G160" s="66" t="n"/>
      <c r="H160" s="66" t="inlineStr">
        <is>
          <t>Wizards — Whitepaper Wizard</t>
        </is>
      </c>
      <c r="I160" s="66" t="inlineStr">
        <is>
          <t>wpw.md:42</t>
        </is>
      </c>
      <c r="J160" s="74" t="inlineStr">
        <is>
          <t>Base canon</t>
        </is>
      </c>
      <c r="K160" s="75" t="n"/>
    </row>
    <row r="161" ht="30" customHeight="1" s="45">
      <c r="A161" s="65" t="inlineStr">
        <is>
          <t>WPW-10</t>
        </is>
      </c>
      <c r="B161" s="66" t="inlineStr">
        <is>
          <t>Technical reports are internal</t>
        </is>
      </c>
      <c r="C161" s="66" t="inlineStr">
        <is>
          <t>O8 Training &amp; Models</t>
        </is>
      </c>
      <c r="D161" s="66" t="inlineStr">
        <is>
          <t>#25 — White-Paper Pipeline (whitepaper_wizard_spec_v1)</t>
        </is>
      </c>
      <c r="E161" s="66" t="inlineStr">
        <is>
          <t>WPW spec</t>
        </is>
      </c>
      <c r="F161" s="78" t="inlineStr">
        <is>
          <t>DEFAULT (draft; R2 open)</t>
        </is>
      </c>
      <c r="G161" s="66" t="n"/>
      <c r="H161" s="66" t="inlineStr">
        <is>
          <t>Wizards — Whitepaper Wizard</t>
        </is>
      </c>
      <c r="I161" s="66" t="inlineStr">
        <is>
          <t>wpw.md:64</t>
        </is>
      </c>
      <c r="J161" s="74" t="inlineStr">
        <is>
          <t>Base canon</t>
        </is>
      </c>
      <c r="K161" s="75" t="n"/>
    </row>
    <row r="162" ht="39" customHeight="1" s="45">
      <c r="A162" s="65" t="inlineStr">
        <is>
          <t>WPW-11</t>
        </is>
      </c>
      <c r="B162" s="66" t="inlineStr">
        <is>
          <t>Tier 3 eligibility MUST be mechanical: the exceptional threshold met (numeric, owner-ruled — §7 R1) AND at least one claim passing WPW-12</t>
        </is>
      </c>
      <c r="C162" s="66" t="inlineStr">
        <is>
          <t>O8 Training &amp; Models</t>
        </is>
      </c>
      <c r="D162" s="66" t="inlineStr">
        <is>
          <t>#25 — White-Paper Pipeline (whitepaper_wizard_spec_v1)</t>
        </is>
      </c>
      <c r="E162" s="66" t="inlineStr">
        <is>
          <t>WPW spec</t>
        </is>
      </c>
      <c r="F162" s="78" t="inlineStr">
        <is>
          <t>DEFAULT (draft; R2 open)</t>
        </is>
      </c>
      <c r="G162" s="66" t="n"/>
      <c r="H162" s="66" t="inlineStr">
        <is>
          <t>Wizards — Whitepaper Wizard</t>
        </is>
      </c>
      <c r="I162" s="66" t="inlineStr">
        <is>
          <t>wpw.md:68</t>
        </is>
      </c>
      <c r="J162" s="74" t="inlineStr">
        <is>
          <t>Base canon</t>
        </is>
      </c>
      <c r="K162" s="75" t="n"/>
    </row>
    <row r="163" ht="51.75" customHeight="1" s="45">
      <c r="A163" s="65" t="inlineStr">
        <is>
          <t>WPW-12</t>
        </is>
      </c>
      <c r="B163" s="66" t="inlineStr">
        <is>
          <t xml:space="preserve">Novelty gate: a claim of a new approach or new knowledge MUST trace end-to-end — a recorded ideation or contribution event → its adoption into the run → a measured delta </t>
        </is>
      </c>
      <c r="C163" s="66" t="inlineStr">
        <is>
          <t>O8 Training &amp; Models</t>
        </is>
      </c>
      <c r="D163" s="66" t="inlineStr">
        <is>
          <t>#25 — White-Paper Pipeline (whitepaper_wizard_spec_v1)</t>
        </is>
      </c>
      <c r="E163" s="66" t="inlineStr">
        <is>
          <t>WPW spec</t>
        </is>
      </c>
      <c r="F163" s="78" t="inlineStr">
        <is>
          <t>DEFAULT (draft; R2 open)</t>
        </is>
      </c>
      <c r="G163" s="66" t="n"/>
      <c r="H163" s="66" t="inlineStr">
        <is>
          <t>Wizards — Whitepaper Wizard</t>
        </is>
      </c>
      <c r="I163" s="66" t="inlineStr">
        <is>
          <t>wpw.md:72</t>
        </is>
      </c>
      <c r="J163" s="74" t="inlineStr">
        <is>
          <t>Base canon</t>
        </is>
      </c>
      <c r="K163" s="75" t="n"/>
    </row>
    <row r="164" ht="30" customHeight="1" s="45">
      <c r="A164" s="65" t="inlineStr">
        <is>
          <t>WPW-13</t>
        </is>
      </c>
      <c r="B164" s="66" t="inlineStr">
        <is>
          <t>Assembly MUST draw exclusively from Tier 1 and Tier 2 artefacts and the run's own record</t>
        </is>
      </c>
      <c r="C164" s="66" t="inlineStr">
        <is>
          <t>O8 Training &amp; Models</t>
        </is>
      </c>
      <c r="D164" s="66" t="inlineStr">
        <is>
          <t>#25 — White-Paper Pipeline (whitepaper_wizard_spec_v1)</t>
        </is>
      </c>
      <c r="E164" s="66" t="inlineStr">
        <is>
          <t>WPW spec</t>
        </is>
      </c>
      <c r="F164" s="78" t="inlineStr">
        <is>
          <t>DEFAULT (draft; R2 open)</t>
        </is>
      </c>
      <c r="G164" s="66" t="n"/>
      <c r="H164" s="66" t="inlineStr">
        <is>
          <t>Wizards — Whitepaper Wizard</t>
        </is>
      </c>
      <c r="I164" s="66" t="inlineStr">
        <is>
          <t>wpw.md:74</t>
        </is>
      </c>
      <c r="J164" s="74" t="inlineStr">
        <is>
          <t>Base canon</t>
        </is>
      </c>
      <c r="K164" s="75" t="n"/>
    </row>
    <row r="165" ht="30" customHeight="1" s="45">
      <c r="A165" s="65" t="inlineStr">
        <is>
          <t>WPW-14</t>
        </is>
      </c>
      <c r="B165" s="66" t="inlineStr">
        <is>
          <t>The redaction pass is a gate, not a prompt</t>
        </is>
      </c>
      <c r="C165" s="66" t="inlineStr">
        <is>
          <t>O8 Training &amp; Models</t>
        </is>
      </c>
      <c r="D165" s="66" t="inlineStr">
        <is>
          <t>#25 — White-Paper Pipeline (whitepaper_wizard_spec_v1)</t>
        </is>
      </c>
      <c r="E165" s="66" t="inlineStr">
        <is>
          <t>WPW spec</t>
        </is>
      </c>
      <c r="F165" s="78" t="inlineStr">
        <is>
          <t>DEFAULT (draft; R2 open)</t>
        </is>
      </c>
      <c r="G165" s="66" t="n"/>
      <c r="H165" s="66" t="inlineStr">
        <is>
          <t>Wizards — Whitepaper Wizard</t>
        </is>
      </c>
      <c r="I165" s="66" t="inlineStr">
        <is>
          <t>wpw.md:76</t>
        </is>
      </c>
      <c r="J165" s="74" t="inlineStr">
        <is>
          <t>Base canon</t>
        </is>
      </c>
      <c r="K165" s="75" t="n"/>
    </row>
    <row r="166" ht="30" customHeight="1" s="45">
      <c r="A166" s="65" t="inlineStr">
        <is>
          <t>WPW-15</t>
        </is>
      </c>
      <c r="B166" s="66" t="inlineStr">
        <is>
          <t>The Tier 3 draft lands in Documents and is internal at that moment</t>
        </is>
      </c>
      <c r="C166" s="66" t="inlineStr">
        <is>
          <t>O8 Training &amp; Models</t>
        </is>
      </c>
      <c r="D166" s="66" t="inlineStr">
        <is>
          <t>#25 — White-Paper Pipeline (whitepaper_wizard_spec_v1)</t>
        </is>
      </c>
      <c r="E166" s="66" t="inlineStr">
        <is>
          <t>WPW spec</t>
        </is>
      </c>
      <c r="F166" s="78" t="inlineStr">
        <is>
          <t>DEFAULT (draft; R2 open)</t>
        </is>
      </c>
      <c r="G166" s="66" t="n"/>
      <c r="H166" s="66" t="inlineStr">
        <is>
          <t>Wizards — Whitepaper Wizard</t>
        </is>
      </c>
      <c r="I166" s="66" t="inlineStr">
        <is>
          <t>wpw.md:78</t>
        </is>
      </c>
      <c r="J166" s="74" t="inlineStr">
        <is>
          <t>Base canon</t>
        </is>
      </c>
      <c r="K166" s="75" t="n"/>
    </row>
    <row r="167" ht="30" customHeight="1" s="45">
      <c r="A167" s="65" t="inlineStr">
        <is>
          <t>WPW-16</t>
        </is>
      </c>
      <c r="B167" s="66" t="inlineStr">
        <is>
          <t>Internal tiers name contributors</t>
        </is>
      </c>
      <c r="C167" s="66" t="inlineStr">
        <is>
          <t>O8 Training &amp; Models</t>
        </is>
      </c>
      <c r="D167" s="66" t="inlineStr">
        <is>
          <t>#25 — White-Paper Pipeline (whitepaper_wizard_spec_v1)</t>
        </is>
      </c>
      <c r="E167" s="66" t="inlineStr">
        <is>
          <t>WPW spec</t>
        </is>
      </c>
      <c r="F167" s="78" t="inlineStr">
        <is>
          <t>DEFAULT (draft; R2 open)</t>
        </is>
      </c>
      <c r="G167" s="66" t="n"/>
      <c r="H167" s="66" t="inlineStr">
        <is>
          <t>Wizards — Whitepaper Wizard</t>
        </is>
      </c>
      <c r="I167" s="66" t="inlineStr">
        <is>
          <t>wpw.md:82</t>
        </is>
      </c>
      <c r="J167" s="74" t="inlineStr">
        <is>
          <t>Base canon</t>
        </is>
      </c>
      <c r="K167" s="75" t="n"/>
    </row>
    <row r="168" ht="30" customHeight="1" s="45">
      <c r="A168" s="65" t="inlineStr">
        <is>
          <t>WPW-17</t>
        </is>
      </c>
      <c r="B168" s="66" t="inlineStr">
        <is>
          <t>Authors are humans</t>
        </is>
      </c>
      <c r="C168" s="66" t="inlineStr">
        <is>
          <t>O8 Training &amp; Models</t>
        </is>
      </c>
      <c r="D168" s="66" t="inlineStr">
        <is>
          <t>#25 — White-Paper Pipeline (whitepaper_wizard_spec_v1)</t>
        </is>
      </c>
      <c r="E168" s="66" t="inlineStr">
        <is>
          <t>WPW spec</t>
        </is>
      </c>
      <c r="F168" s="78" t="inlineStr">
        <is>
          <t>DEFAULT (draft; R2 open)</t>
        </is>
      </c>
      <c r="G168" s="66" t="n"/>
      <c r="H168" s="66" t="inlineStr">
        <is>
          <t>Wizards — Whitepaper Wizard</t>
        </is>
      </c>
      <c r="I168" s="66" t="inlineStr">
        <is>
          <t>wpw.md:84</t>
        </is>
      </c>
      <c r="J168" s="74" t="inlineStr">
        <is>
          <t>Base canon</t>
        </is>
      </c>
      <c r="K168" s="75" t="n"/>
    </row>
    <row r="169" ht="30" customHeight="1" s="45">
      <c r="A169" s="65" t="inlineStr">
        <is>
          <t>WPW-18</t>
        </is>
      </c>
      <c r="B169" s="66" t="inlineStr">
        <is>
          <t>Observation cost MUST appear as a budget line on the run's estimate and in cost-against-estimate reporting</t>
        </is>
      </c>
      <c r="C169" s="66" t="inlineStr">
        <is>
          <t>O8 Training &amp; Models</t>
        </is>
      </c>
      <c r="D169" s="66" t="inlineStr">
        <is>
          <t>#25 — White-Paper Pipeline (whitepaper_wizard_spec_v1)</t>
        </is>
      </c>
      <c r="E169" s="66" t="inlineStr">
        <is>
          <t>WPW spec</t>
        </is>
      </c>
      <c r="F169" s="78" t="inlineStr">
        <is>
          <t>DEFAULT (draft; R2 open)</t>
        </is>
      </c>
      <c r="G169" s="66" t="n"/>
      <c r="H169" s="66" t="inlineStr">
        <is>
          <t>Wizards — Whitepaper Wizard</t>
        </is>
      </c>
      <c r="I169" s="66" t="inlineStr">
        <is>
          <t>wpw.md:88</t>
        </is>
      </c>
      <c r="J169" s="74" t="inlineStr">
        <is>
          <t>Base canon</t>
        </is>
      </c>
      <c r="K169" s="75" t="n"/>
    </row>
    <row r="170" ht="30" customHeight="1" s="45">
      <c r="A170" s="65" t="inlineStr">
        <is>
          <t>WPW-2</t>
        </is>
      </c>
      <c r="B170" s="66" t="inlineStr">
        <is>
          <t>The wizard MUST be read-only with respect to the run</t>
        </is>
      </c>
      <c r="C170" s="66" t="inlineStr">
        <is>
          <t>O8 Training &amp; Models</t>
        </is>
      </c>
      <c r="D170" s="66" t="inlineStr">
        <is>
          <t>#25 — White-Paper Pipeline (whitepaper_wizard_spec_v1)</t>
        </is>
      </c>
      <c r="E170" s="66" t="inlineStr">
        <is>
          <t>WPW spec</t>
        </is>
      </c>
      <c r="F170" s="78" t="inlineStr">
        <is>
          <t>DEFAULT (draft; R2 open)</t>
        </is>
      </c>
      <c r="G170" s="66" t="n"/>
      <c r="H170" s="66" t="inlineStr">
        <is>
          <t>Wizards — Whitepaper Wizard</t>
        </is>
      </c>
      <c r="I170" s="66" t="inlineStr">
        <is>
          <t>wpw.md:44</t>
        </is>
      </c>
      <c r="J170" s="74" t="inlineStr">
        <is>
          <t>Base canon</t>
        </is>
      </c>
      <c r="K170" s="75" t="n"/>
    </row>
    <row r="171" ht="30" customHeight="1" s="45">
      <c r="A171" s="65" t="inlineStr">
        <is>
          <t>WPW-3</t>
        </is>
      </c>
      <c r="B171" s="66" t="inlineStr">
        <is>
          <t>Capture MUST be event-driven, not polled</t>
        </is>
      </c>
      <c r="C171" s="66" t="inlineStr">
        <is>
          <t>O8 Training &amp; Models</t>
        </is>
      </c>
      <c r="D171" s="66" t="inlineStr">
        <is>
          <t>#25 — White-Paper Pipeline (whitepaper_wizard_spec_v1)</t>
        </is>
      </c>
      <c r="E171" s="66" t="inlineStr">
        <is>
          <t>WPW spec</t>
        </is>
      </c>
      <c r="F171" s="78" t="inlineStr">
        <is>
          <t>DEFAULT (draft; R2 open)</t>
        </is>
      </c>
      <c r="G171" s="66" t="n"/>
      <c r="H171" s="66" t="inlineStr">
        <is>
          <t>Wizards — Whitepaper Wizard</t>
        </is>
      </c>
      <c r="I171" s="66" t="inlineStr">
        <is>
          <t>wpw.md:46</t>
        </is>
      </c>
      <c r="J171" s="74" t="inlineStr">
        <is>
          <t>Base canon</t>
        </is>
      </c>
      <c r="K171" s="75" t="n"/>
    </row>
    <row r="172" ht="39" customHeight="1" s="45">
      <c r="A172" s="65" t="inlineStr">
        <is>
          <t>WPW-4</t>
        </is>
      </c>
      <c r="B172" s="66" t="inlineStr">
        <is>
          <t>Every notebook entry MUST be timestamped, linked to the run artefact it derives from, and classed — measured, estimated, or observed</t>
        </is>
      </c>
      <c r="C172" s="66" t="inlineStr">
        <is>
          <t>O8 Training &amp; Models</t>
        </is>
      </c>
      <c r="D172" s="66" t="inlineStr">
        <is>
          <t>#25 — White-Paper Pipeline (whitepaper_wizard_spec_v1)</t>
        </is>
      </c>
      <c r="E172" s="66" t="inlineStr">
        <is>
          <t>WPW spec</t>
        </is>
      </c>
      <c r="F172" s="78" t="inlineStr">
        <is>
          <t>DEFAULT (draft; R2 open)</t>
        </is>
      </c>
      <c r="G172" s="66" t="n"/>
      <c r="H172" s="66" t="inlineStr">
        <is>
          <t>Wizards — Whitepaper Wizard</t>
        </is>
      </c>
      <c r="I172" s="66" t="inlineStr">
        <is>
          <t>wpw.md:50</t>
        </is>
      </c>
      <c r="J172" s="74" t="inlineStr">
        <is>
          <t>Base canon</t>
        </is>
      </c>
      <c r="K172" s="75" t="n"/>
    </row>
    <row r="173" ht="39" customHeight="1" s="45">
      <c r="A173" s="65" t="inlineStr">
        <is>
          <t>WPW-5</t>
        </is>
      </c>
      <c r="B173" s="66" t="inlineStr">
        <is>
          <t>Human contribution events MUST record: actor (role and internal identity), the state before, the change made, and the measured movement after</t>
        </is>
      </c>
      <c r="C173" s="66" t="inlineStr">
        <is>
          <t>O8 Training &amp; Models</t>
        </is>
      </c>
      <c r="D173" s="66" t="inlineStr">
        <is>
          <t>#25 — White-Paper Pipeline (whitepaper_wizard_spec_v1)</t>
        </is>
      </c>
      <c r="E173" s="66" t="inlineStr">
        <is>
          <t>WPW spec</t>
        </is>
      </c>
      <c r="F173" s="78" t="inlineStr">
        <is>
          <t>DEFAULT (draft; R2 open)</t>
        </is>
      </c>
      <c r="G173" s="66" t="n"/>
      <c r="H173" s="66" t="inlineStr">
        <is>
          <t>Wizards — Whitepaper Wizard</t>
        </is>
      </c>
      <c r="I173" s="66" t="inlineStr">
        <is>
          <t>wpw.md:52</t>
        </is>
      </c>
      <c r="J173" s="74" t="inlineStr">
        <is>
          <t>Base canon</t>
        </is>
      </c>
      <c r="K173" s="75" t="n"/>
    </row>
    <row r="174" ht="39" customHeight="1" s="45">
      <c r="A174" s="65" t="inlineStr">
        <is>
          <t>WPW-6</t>
        </is>
      </c>
      <c r="B174" s="66" t="inlineStr">
        <is>
          <t>CIF ideation events MUST be mirrored by reference, never copied: the idea, its conditions, its adoption status</t>
        </is>
      </c>
      <c r="C174" s="66" t="inlineStr">
        <is>
          <t>O8 Training &amp; Models</t>
        </is>
      </c>
      <c r="D174" s="66" t="inlineStr">
        <is>
          <t>#25 — White-Paper Pipeline (whitepaper_wizard_spec_v1)</t>
        </is>
      </c>
      <c r="E174" s="66" t="inlineStr">
        <is>
          <t>WPW spec</t>
        </is>
      </c>
      <c r="F174" s="78" t="inlineStr">
        <is>
          <t>DEFAULT (draft; R2 open)</t>
        </is>
      </c>
      <c r="G174" s="66" t="n"/>
      <c r="H174" s="66" t="inlineStr">
        <is>
          <t>Wizards — Whitepaper Wizard</t>
        </is>
      </c>
      <c r="I174" s="66" t="inlineStr">
        <is>
          <t>wpw.md:54</t>
        </is>
      </c>
      <c r="J174" s="74" t="inlineStr">
        <is>
          <t>Base canon</t>
        </is>
      </c>
      <c r="K174" s="75" t="n"/>
    </row>
    <row r="175" ht="39" customHeight="1" s="45">
      <c r="A175" s="65" t="inlineStr">
        <is>
          <t>WPW-7</t>
        </is>
      </c>
      <c r="B175" s="66" t="inlineStr">
        <is>
          <t>The notebook MUST be retained for every run, including refused runs — a rejection's record is part of the research record (Promise #22)</t>
        </is>
      </c>
      <c r="C175" s="66" t="inlineStr">
        <is>
          <t>O8 Training &amp; Models</t>
        </is>
      </c>
      <c r="D175" s="66" t="inlineStr">
        <is>
          <t>#25 — White-Paper Pipeline (whitepaper_wizard_spec_v1)</t>
        </is>
      </c>
      <c r="E175" s="66" t="inlineStr">
        <is>
          <t>WPW spec</t>
        </is>
      </c>
      <c r="F175" s="78" t="inlineStr">
        <is>
          <t>DEFAULT (draft; R2 open)</t>
        </is>
      </c>
      <c r="G175" s="66" t="n"/>
      <c r="H175" s="66" t="inlineStr">
        <is>
          <t>Wizards — Whitepaper Wizard</t>
        </is>
      </c>
      <c r="I175" s="66" t="inlineStr">
        <is>
          <t>wpw.md:56</t>
        </is>
      </c>
      <c r="J175" s="74" t="inlineStr">
        <is>
          <t>Base canon</t>
        </is>
      </c>
      <c r="K175" s="75" t="n"/>
    </row>
    <row r="176" ht="30" customHeight="1" s="45">
      <c r="A176" s="65" t="inlineStr">
        <is>
          <t>WPW-8</t>
        </is>
      </c>
      <c r="B176" s="66" t="inlineStr">
        <is>
          <t>A technical report MUST be drafted automatically when a run settles — accepted or refused</t>
        </is>
      </c>
      <c r="C176" s="66" t="inlineStr">
        <is>
          <t>O8 Training &amp; Models</t>
        </is>
      </c>
      <c r="D176" s="66" t="inlineStr">
        <is>
          <t>#25 — White-Paper Pipeline (whitepaper_wizard_spec_v1)</t>
        </is>
      </c>
      <c r="E176" s="66" t="inlineStr">
        <is>
          <t>WPW spec</t>
        </is>
      </c>
      <c r="F176" s="78" t="inlineStr">
        <is>
          <t>DEFAULT (draft; R2 open)</t>
        </is>
      </c>
      <c r="G176" s="66" t="n"/>
      <c r="H176" s="66" t="inlineStr">
        <is>
          <t>Wizards — Whitepaper Wizard</t>
        </is>
      </c>
      <c r="I176" s="66" t="inlineStr">
        <is>
          <t>wpw.md:60</t>
        </is>
      </c>
      <c r="J176" s="74" t="inlineStr">
        <is>
          <t>Base canon</t>
        </is>
      </c>
      <c r="K176" s="75" t="n"/>
    </row>
    <row r="177" ht="30" customHeight="1" s="45">
      <c r="A177" s="65" t="inlineStr">
        <is>
          <t>WPW-9</t>
        </is>
      </c>
      <c r="B177" s="66" t="inlineStr">
        <is>
          <t>Every figure in a report MUST carry its evidence class and a receipt line resolving to a run artefact</t>
        </is>
      </c>
      <c r="C177" s="66" t="inlineStr">
        <is>
          <t>O8 Training &amp; Models</t>
        </is>
      </c>
      <c r="D177" s="66" t="inlineStr">
        <is>
          <t>#25 — White-Paper Pipeline (whitepaper_wizard_spec_v1)</t>
        </is>
      </c>
      <c r="E177" s="66" t="inlineStr">
        <is>
          <t>WPW spec</t>
        </is>
      </c>
      <c r="F177" s="78" t="inlineStr">
        <is>
          <t>DEFAULT (draft; R2 open)</t>
        </is>
      </c>
      <c r="G177" s="66" t="n"/>
      <c r="H177" s="66" t="inlineStr">
        <is>
          <t>Wizards — Whitepaper Wizard</t>
        </is>
      </c>
      <c r="I177" s="66" t="inlineStr">
        <is>
          <t>wpw.md:62</t>
        </is>
      </c>
      <c r="J177" s="74" t="inlineStr">
        <is>
          <t>Base canon</t>
        </is>
      </c>
      <c r="K177" s="75" t="n"/>
    </row>
    <row r="178" ht="30" customHeight="1" s="45">
      <c r="A178" s="65" t="inlineStr">
        <is>
          <t>C5.1</t>
        </is>
      </c>
      <c r="B178" s="66" t="inlineStr">
        <is>
          <t>Every model is reached through the one crossing and registered</t>
        </is>
      </c>
      <c r="C178" s="66" t="inlineStr">
        <is>
          <t>O8 Training &amp; Models</t>
        </is>
      </c>
      <c r="D178" s="66" t="inlineStr">
        <is>
          <t>#30 — ALL LLMs, INCLUDING OPEN-WEIGHT, UNDER A SINGLE LICENSE</t>
        </is>
      </c>
      <c r="E178" s="66" t="inlineStr">
        <is>
          <t>Doc 14</t>
        </is>
      </c>
      <c r="F178" s="73" t="inlineStr">
        <is>
          <t>CANON</t>
        </is>
      </c>
      <c r="G178" s="66" t="n"/>
      <c r="H178" s="66" t="inlineStr">
        <is>
          <t>Targeta</t>
        </is>
      </c>
      <c r="I178" s="66" t="inlineStr">
        <is>
          <t>14_Targeting_Training_Part_2_Model_Ecosystem.md:157</t>
        </is>
      </c>
      <c r="J178" s="74" t="inlineStr">
        <is>
          <t>Base canon</t>
        </is>
      </c>
      <c r="K178" s="75" t="n"/>
    </row>
    <row r="179" ht="30" customHeight="1" s="45">
      <c r="A179" s="65" t="inlineStr">
        <is>
          <t>C5.2</t>
        </is>
      </c>
      <c r="B179" s="66" t="inlineStr">
        <is>
          <t>The single-license construct: resell for open-weight/hosted, gateway-only for frontier</t>
        </is>
      </c>
      <c r="C179" s="66" t="inlineStr">
        <is>
          <t>O8 Training &amp; Models</t>
        </is>
      </c>
      <c r="D179" s="66" t="inlineStr">
        <is>
          <t>#30 — ALL LLMs, INCLUDING OPEN-WEIGHT, UNDER A SINGLE LICENSE</t>
        </is>
      </c>
      <c r="E179" s="66" t="inlineStr">
        <is>
          <t>Doc 14</t>
        </is>
      </c>
      <c r="F179" s="77" t="inlineStr">
        <is>
          <t>RULED</t>
        </is>
      </c>
      <c r="G179" s="66" t="n"/>
      <c r="H179" s="66" t="inlineStr">
        <is>
          <t>Targeta</t>
        </is>
      </c>
      <c r="I179" s="66" t="inlineStr">
        <is>
          <t>14_Targeting_Training_Part_2_Model_Ecosystem.md:159</t>
        </is>
      </c>
      <c r="J179" s="74" t="inlineStr">
        <is>
          <t>Base canon</t>
        </is>
      </c>
      <c r="K179" s="75" t="n"/>
    </row>
    <row r="180" ht="30" customHeight="1" s="45">
      <c r="A180" s="65" t="inlineStr">
        <is>
          <t>C5.3</t>
        </is>
      </c>
      <c r="B180" s="66" t="inlineStr">
        <is>
          <t>Cost and rights are visible per model</t>
        </is>
      </c>
      <c r="C180" s="66" t="inlineStr">
        <is>
          <t>O8 Training &amp; Models</t>
        </is>
      </c>
      <c r="D180" s="66" t="inlineStr">
        <is>
          <t>#30 — ALL LLMs, INCLUDING OPEN-WEIGHT, UNDER A SINGLE LICENSE</t>
        </is>
      </c>
      <c r="E180" s="66" t="inlineStr">
        <is>
          <t>Doc 14</t>
        </is>
      </c>
      <c r="F180" s="73" t="inlineStr">
        <is>
          <t>CANON</t>
        </is>
      </c>
      <c r="G180" s="66" t="n"/>
      <c r="H180" s="66" t="inlineStr">
        <is>
          <t>Targeta</t>
        </is>
      </c>
      <c r="I180" s="66" t="inlineStr">
        <is>
          <t>14_Targeting_Training_Part_2_Model_Ecosystem.md:163</t>
        </is>
      </c>
      <c r="J180" s="74" t="inlineStr">
        <is>
          <t>Base canon</t>
        </is>
      </c>
      <c r="K180" s="75" t="n"/>
    </row>
    <row r="181" ht="30" customHeight="1" s="45">
      <c r="A181" s="65" t="inlineStr">
        <is>
          <t>A17.1</t>
        </is>
      </c>
      <c r="B181" s="66" t="inlineStr">
        <is>
          <t>Configuration lives outside code</t>
        </is>
      </c>
      <c r="C181" s="66" t="inlineStr">
        <is>
          <t>O8 Training &amp; Models</t>
        </is>
      </c>
      <c r="D181" s="66" t="inlineStr">
        <is>
          <t>Doc 17 — The Multidimensional Training Engine (extends #22–#24)</t>
        </is>
      </c>
      <c r="E181" s="66" t="inlineStr">
        <is>
          <t>Doc 17</t>
        </is>
      </c>
      <c r="F181" s="73" t="inlineStr">
        <is>
          <t>CANON</t>
        </is>
      </c>
      <c r="G181" s="66" t="n"/>
      <c r="H181" s="66" t="inlineStr">
        <is>
          <t>Targeta</t>
        </is>
      </c>
      <c r="I181" s="66" t="inlineStr">
        <is>
          <t>17_20.md:199</t>
        </is>
      </c>
      <c r="J181" s="74" t="inlineStr">
        <is>
          <t>Base canon</t>
        </is>
      </c>
      <c r="K181" s="75" t="n"/>
    </row>
    <row r="182" ht="30" customHeight="1" s="45">
      <c r="A182" s="65" t="inlineStr">
        <is>
          <t>A17.10</t>
        </is>
      </c>
      <c r="B182" s="66" t="inlineStr">
        <is>
          <t>A CI fixture exists; production is a different, later question</t>
        </is>
      </c>
      <c r="C182" s="66" t="inlineStr">
        <is>
          <t>O8 Training &amp; Models</t>
        </is>
      </c>
      <c r="D182" s="66" t="inlineStr">
        <is>
          <t>Doc 17 — The Multidimensional Training Engine (extends #22–#24)</t>
        </is>
      </c>
      <c r="E182" s="66" t="inlineStr">
        <is>
          <t>Doc 17</t>
        </is>
      </c>
      <c r="F182" s="73" t="inlineStr">
        <is>
          <t>CANON</t>
        </is>
      </c>
      <c r="G182" s="66" t="n"/>
      <c r="H182" s="66" t="inlineStr">
        <is>
          <t>Targeta</t>
        </is>
      </c>
      <c r="I182" s="66" t="inlineStr">
        <is>
          <t>17_20.md:237</t>
        </is>
      </c>
      <c r="J182" s="74" t="inlineStr">
        <is>
          <t>Base canon</t>
        </is>
      </c>
      <c r="K182" s="75" t="n"/>
    </row>
    <row r="183" ht="30" customHeight="1" s="45">
      <c r="A183" s="65" t="inlineStr">
        <is>
          <t>A17.11</t>
        </is>
      </c>
      <c r="B183" s="66" t="inlineStr">
        <is>
          <t>Production selection is named after the census, not before it</t>
        </is>
      </c>
      <c r="C183" s="66" t="inlineStr">
        <is>
          <t>O8 Training &amp; Models</t>
        </is>
      </c>
      <c r="D183" s="66" t="inlineStr">
        <is>
          <t>Doc 17 — The Multidimensional Training Engine (extends #22–#24)</t>
        </is>
      </c>
      <c r="E183" s="66" t="inlineStr">
        <is>
          <t>Doc 17</t>
        </is>
      </c>
      <c r="F183" s="73" t="inlineStr">
        <is>
          <t>CANON</t>
        </is>
      </c>
      <c r="G183" s="66" t="n"/>
      <c r="H183" s="66" t="inlineStr">
        <is>
          <t>Targeta</t>
        </is>
      </c>
      <c r="I183" s="66" t="inlineStr">
        <is>
          <t>17_20.md:257</t>
        </is>
      </c>
      <c r="J183" s="74" t="inlineStr">
        <is>
          <t>Base canon</t>
        </is>
      </c>
      <c r="K183" s="75" t="n"/>
    </row>
    <row r="184" ht="30" customHeight="1" s="45">
      <c r="A184" s="65" t="inlineStr">
        <is>
          <t>A17.12</t>
        </is>
      </c>
      <c r="B184" s="66" t="inlineStr">
        <is>
          <t>No runner exists in any modality</t>
        </is>
      </c>
      <c r="C184" s="66" t="inlineStr">
        <is>
          <t>O8 Training &amp; Models</t>
        </is>
      </c>
      <c r="D184" s="66" t="inlineStr">
        <is>
          <t>Doc 17 — The Multidimensional Training Engine (extends #22–#24)</t>
        </is>
      </c>
      <c r="E184" s="66" t="inlineStr">
        <is>
          <t>Doc 17</t>
        </is>
      </c>
      <c r="F184" s="79" t="inlineStr">
        <is>
          <t>OPEN</t>
        </is>
      </c>
      <c r="G184" s="66" t="n"/>
      <c r="H184" s="66" t="inlineStr">
        <is>
          <t>Targeta</t>
        </is>
      </c>
      <c r="I184" s="66" t="inlineStr">
        <is>
          <t>17_20.md:265</t>
        </is>
      </c>
      <c r="J184" s="74" t="inlineStr">
        <is>
          <t>Base canon</t>
        </is>
      </c>
      <c r="K184" s="75" t="n"/>
    </row>
    <row r="185" ht="30" customHeight="1" s="45">
      <c r="A185" s="65" t="inlineStr">
        <is>
          <t>A17.13</t>
        </is>
      </c>
      <c r="B185" s="66" t="inlineStr">
        <is>
          <t>Model Admission shows a capability with nothing running behind it</t>
        </is>
      </c>
      <c r="C185" s="66" t="inlineStr">
        <is>
          <t>O8 Training &amp; Models</t>
        </is>
      </c>
      <c r="D185" s="66" t="inlineStr">
        <is>
          <t>Doc 17 — The Multidimensional Training Engine (extends #22–#24)</t>
        </is>
      </c>
      <c r="E185" s="66" t="inlineStr">
        <is>
          <t>Doc 17</t>
        </is>
      </c>
      <c r="F185" s="79" t="inlineStr">
        <is>
          <t>OPEN</t>
        </is>
      </c>
      <c r="G185" s="66" t="n"/>
      <c r="H185" s="66" t="inlineStr">
        <is>
          <t>Targeta</t>
        </is>
      </c>
      <c r="I185" s="66" t="inlineStr">
        <is>
          <t>17_20.md:269</t>
        </is>
      </c>
      <c r="J185" s="74" t="inlineStr">
        <is>
          <t>Base canon</t>
        </is>
      </c>
      <c r="K185" s="75" t="n"/>
    </row>
    <row r="186" ht="30" customHeight="1" s="45">
      <c r="A186" s="65" t="inlineStr">
        <is>
          <t>A17.14</t>
        </is>
      </c>
      <c r="B186" s="66" t="inlineStr">
        <is>
          <t>GPU host is reachable; authentication is not configured</t>
        </is>
      </c>
      <c r="C186" s="66" t="inlineStr">
        <is>
          <t>O8 Training &amp; Models</t>
        </is>
      </c>
      <c r="D186" s="66" t="inlineStr">
        <is>
          <t>Doc 17 — The Multidimensional Training Engine (extends #22–#24)</t>
        </is>
      </c>
      <c r="E186" s="66" t="inlineStr">
        <is>
          <t>Doc 17</t>
        </is>
      </c>
      <c r="F186" s="79" t="inlineStr">
        <is>
          <t>OPEN</t>
        </is>
      </c>
      <c r="G186" s="66" t="n"/>
      <c r="H186" s="66" t="inlineStr">
        <is>
          <t>Targeta</t>
        </is>
      </c>
      <c r="I186" s="66" t="inlineStr">
        <is>
          <t>17_20.md:273</t>
        </is>
      </c>
      <c r="J186" s="74" t="inlineStr">
        <is>
          <t>Base canon</t>
        </is>
      </c>
      <c r="K186" s="75" t="n"/>
    </row>
    <row r="187" ht="30" customHeight="1" s="45">
      <c r="A187" s="65" t="inlineStr">
        <is>
          <t>A17.15</t>
        </is>
      </c>
      <c r="B187" s="66" t="inlineStr">
        <is>
          <t>No corpus with an owner-signed rights declaration exists</t>
        </is>
      </c>
      <c r="C187" s="66" t="inlineStr">
        <is>
          <t>O8 Training &amp; Models</t>
        </is>
      </c>
      <c r="D187" s="66" t="inlineStr">
        <is>
          <t>Doc 17 — The Multidimensional Training Engine (extends #22–#24)</t>
        </is>
      </c>
      <c r="E187" s="66" t="inlineStr">
        <is>
          <t>Doc 17</t>
        </is>
      </c>
      <c r="F187" s="79" t="inlineStr">
        <is>
          <t>OPEN</t>
        </is>
      </c>
      <c r="G187" s="66" t="n"/>
      <c r="H187" s="66" t="inlineStr">
        <is>
          <t>Targeta</t>
        </is>
      </c>
      <c r="I187" s="66" t="inlineStr">
        <is>
          <t>17_20.md:277</t>
        </is>
      </c>
      <c r="J187" s="74" t="inlineStr">
        <is>
          <t>Base canon</t>
        </is>
      </c>
      <c r="K187" s="75" t="n"/>
    </row>
    <row r="188" ht="30" customHeight="1" s="45">
      <c r="A188" s="65" t="inlineStr">
        <is>
          <t>A17.16</t>
        </is>
      </c>
      <c r="B188" s="66" t="inlineStr">
        <is>
          <t>The ingredient-manifest guarantee is ACCEPTED</t>
        </is>
      </c>
      <c r="C188" s="66" t="inlineStr">
        <is>
          <t>O8 Training &amp; Models</t>
        </is>
      </c>
      <c r="D188" s="66" t="inlineStr">
        <is>
          <t>Doc 17 — The Multidimensional Training Engine (extends #22–#24)</t>
        </is>
      </c>
      <c r="E188" s="66" t="inlineStr">
        <is>
          <t>Doc 17</t>
        </is>
      </c>
      <c r="F188" s="73" t="inlineStr">
        <is>
          <t>CANON</t>
        </is>
      </c>
      <c r="G188" s="66" t="n"/>
      <c r="H188" s="66" t="inlineStr">
        <is>
          <t>Targeta</t>
        </is>
      </c>
      <c r="I188" s="66" t="inlineStr">
        <is>
          <t>17_20.md:281</t>
        </is>
      </c>
      <c r="J188" s="74" t="inlineStr">
        <is>
          <t>Base canon</t>
        </is>
      </c>
      <c r="K188" s="75" t="n"/>
    </row>
    <row r="189" ht="30" customHeight="1" s="45">
      <c r="A189" s="65" t="inlineStr">
        <is>
          <t>A17.17</t>
        </is>
      </c>
      <c r="B189" s="66" t="inlineStr">
        <is>
          <t>CUDA/PyTorch is installed — RESOLVED</t>
        </is>
      </c>
      <c r="C189" s="66" t="inlineStr">
        <is>
          <t>O8 Training &amp; Models</t>
        </is>
      </c>
      <c r="D189" s="66" t="inlineStr">
        <is>
          <t>Doc 17 — The Multidimensional Training Engine (extends #22–#24)</t>
        </is>
      </c>
      <c r="E189" s="66" t="inlineStr">
        <is>
          <t>Doc 17</t>
        </is>
      </c>
      <c r="F189" s="73" t="inlineStr">
        <is>
          <t>CANON</t>
        </is>
      </c>
      <c r="G189" s="66" t="n"/>
      <c r="H189" s="66" t="inlineStr">
        <is>
          <t>Targeta</t>
        </is>
      </c>
      <c r="I189" s="66" t="inlineStr">
        <is>
          <t>17_20.md:285</t>
        </is>
      </c>
      <c r="J189" s="74" t="inlineStr">
        <is>
          <t>Base canon</t>
        </is>
      </c>
      <c r="K189" s="75" t="n"/>
    </row>
    <row r="190" ht="30" customHeight="1" s="45">
      <c r="A190" s="65" t="inlineStr">
        <is>
          <t>A17.18</t>
        </is>
      </c>
      <c r="B190" s="66" t="inlineStr">
        <is>
          <t>Codec choice — RESOLVED, not open</t>
        </is>
      </c>
      <c r="C190" s="66" t="inlineStr">
        <is>
          <t>O8 Training &amp; Models</t>
        </is>
      </c>
      <c r="D190" s="66" t="inlineStr">
        <is>
          <t>Doc 17 — The Multidimensional Training Engine (extends #22–#24)</t>
        </is>
      </c>
      <c r="E190" s="66" t="inlineStr">
        <is>
          <t>Doc 17</t>
        </is>
      </c>
      <c r="F190" s="66" t="inlineStr">
        <is>
          <t>— (see heading)</t>
        </is>
      </c>
      <c r="G190" s="66" t="n"/>
      <c r="H190" s="66" t="inlineStr">
        <is>
          <t>Targeta</t>
        </is>
      </c>
      <c r="I190" s="66" t="inlineStr">
        <is>
          <t>17_20.md:289</t>
        </is>
      </c>
      <c r="J190" s="74" t="inlineStr">
        <is>
          <t>Base canon</t>
        </is>
      </c>
      <c r="K190" s="75" t="n"/>
    </row>
    <row r="191" ht="30" customHeight="1" s="45">
      <c r="A191" s="65" t="inlineStr">
        <is>
          <t>A17.19</t>
        </is>
      </c>
      <c r="B191" s="66" t="inlineStr">
        <is>
          <t>Owner-level decisions — three ruled, one still open</t>
        </is>
      </c>
      <c r="C191" s="66" t="inlineStr">
        <is>
          <t>O8 Training &amp; Models</t>
        </is>
      </c>
      <c r="D191" s="66" t="inlineStr">
        <is>
          <t>Doc 17 — The Multidimensional Training Engine (extends #22–#24)</t>
        </is>
      </c>
      <c r="E191" s="66" t="inlineStr">
        <is>
          <t>Doc 17</t>
        </is>
      </c>
      <c r="F191" s="66" t="inlineStr">
        <is>
          <t>— (see heading)</t>
        </is>
      </c>
      <c r="G191" s="66" t="n"/>
      <c r="H191" s="66" t="inlineStr">
        <is>
          <t>Targeta</t>
        </is>
      </c>
      <c r="I191" s="66" t="inlineStr">
        <is>
          <t>17_20.md:293</t>
        </is>
      </c>
      <c r="J191" s="74" t="inlineStr">
        <is>
          <t>Base canon</t>
        </is>
      </c>
      <c r="K191" s="75" t="n"/>
    </row>
    <row r="192" ht="30" customHeight="1" s="45">
      <c r="A192" s="65" t="inlineStr">
        <is>
          <t>A17.19a</t>
        </is>
      </c>
      <c r="B192" s="66" t="inlineStr">
        <is>
          <t>Minimum group size N (§6.2): inherits the platform</t>
        </is>
      </c>
      <c r="C192" s="66" t="inlineStr">
        <is>
          <t>O8 Training &amp; Models</t>
        </is>
      </c>
      <c r="D192" s="66" t="inlineStr">
        <is>
          <t>Doc 17 — The Multidimensional Training Engine (extends #22–#24)</t>
        </is>
      </c>
      <c r="E192" s="66" t="inlineStr">
        <is>
          <t>Doc 17</t>
        </is>
      </c>
      <c r="F192" s="73" t="inlineStr">
        <is>
          <t>CANON</t>
        </is>
      </c>
      <c r="G192" s="66" t="n"/>
      <c r="H192" s="66" t="inlineStr">
        <is>
          <t>Targeta</t>
        </is>
      </c>
      <c r="I192" s="66" t="inlineStr">
        <is>
          <t>17_20.md:295</t>
        </is>
      </c>
      <c r="J192" s="74" t="inlineStr">
        <is>
          <t>Base canon</t>
        </is>
      </c>
      <c r="K192" s="75" t="n"/>
    </row>
    <row r="193" ht="30" customHeight="1" s="45">
      <c r="A193" s="65" t="inlineStr">
        <is>
          <t>A17.19b</t>
        </is>
      </c>
      <c r="B193" s="66" t="inlineStr">
        <is>
          <t>Default gate_policy: GATES release</t>
        </is>
      </c>
      <c r="C193" s="66" t="inlineStr">
        <is>
          <t>O8 Training &amp; Models</t>
        </is>
      </c>
      <c r="D193" s="66" t="inlineStr">
        <is>
          <t>Doc 17 — The Multidimensional Training Engine (extends #22–#24)</t>
        </is>
      </c>
      <c r="E193" s="66" t="inlineStr">
        <is>
          <t>Doc 17</t>
        </is>
      </c>
      <c r="F193" s="73" t="inlineStr">
        <is>
          <t>CANON</t>
        </is>
      </c>
      <c r="G193" s="66" t="n"/>
      <c r="H193" s="66" t="inlineStr">
        <is>
          <t>Targeta</t>
        </is>
      </c>
      <c r="I193" s="66" t="inlineStr">
        <is>
          <t>17_20.md:299</t>
        </is>
      </c>
      <c r="J193" s="74" t="inlineStr">
        <is>
          <t>Base canon</t>
        </is>
      </c>
      <c r="K193" s="75" t="n"/>
    </row>
    <row r="194" ht="30" customHeight="1" s="45">
      <c r="A194" s="65" t="inlineStr">
        <is>
          <t>A17.19c</t>
        </is>
      </c>
      <c r="B194" s="66" t="inlineStr">
        <is>
          <t>Cluster naming validation: internal by default, external escalation for ambiguous or sensitive clusters</t>
        </is>
      </c>
      <c r="C194" s="66" t="inlineStr">
        <is>
          <t>O8 Training &amp; Models</t>
        </is>
      </c>
      <c r="D194" s="66" t="inlineStr">
        <is>
          <t>Doc 17 — The Multidimensional Training Engine (extends #22–#24)</t>
        </is>
      </c>
      <c r="E194" s="66" t="inlineStr">
        <is>
          <t>Doc 17</t>
        </is>
      </c>
      <c r="F194" s="73" t="inlineStr">
        <is>
          <t>CANON</t>
        </is>
      </c>
      <c r="G194" s="66" t="n"/>
      <c r="H194" s="66" t="inlineStr">
        <is>
          <t>Targeta</t>
        </is>
      </c>
      <c r="I194" s="66" t="inlineStr">
        <is>
          <t>17_20.md:303</t>
        </is>
      </c>
      <c r="J194" s="74" t="inlineStr">
        <is>
          <t>Base canon</t>
        </is>
      </c>
      <c r="K194" s="75" t="n"/>
    </row>
    <row r="195" ht="30" customHeight="1" s="45">
      <c r="A195" s="65" t="inlineStr">
        <is>
          <t>A17.19d</t>
        </is>
      </c>
      <c r="B195" s="66" t="inlineStr">
        <is>
          <t>Baseline-tier contents (§9.2) remain open — not part of this ruling round</t>
        </is>
      </c>
      <c r="C195" s="66" t="inlineStr">
        <is>
          <t>O8 Training &amp; Models</t>
        </is>
      </c>
      <c r="D195" s="66" t="inlineStr">
        <is>
          <t>Doc 17 — The Multidimensional Training Engine (extends #22–#24)</t>
        </is>
      </c>
      <c r="E195" s="66" t="inlineStr">
        <is>
          <t>Doc 17</t>
        </is>
      </c>
      <c r="F195" s="79" t="inlineStr">
        <is>
          <t>OPEN</t>
        </is>
      </c>
      <c r="G195" s="66" t="n"/>
      <c r="H195" s="66" t="inlineStr">
        <is>
          <t>Targeta</t>
        </is>
      </c>
      <c r="I195" s="66" t="inlineStr">
        <is>
          <t>17_20.md:307</t>
        </is>
      </c>
      <c r="J195" s="74" t="inlineStr">
        <is>
          <t>Base canon</t>
        </is>
      </c>
      <c r="K195" s="75" t="n"/>
    </row>
    <row r="196" ht="30" customHeight="1" s="45">
      <c r="A196" s="65" t="inlineStr">
        <is>
          <t>A17.2</t>
        </is>
      </c>
      <c r="B196" s="66" t="inlineStr">
        <is>
          <t>The seat ships empty</t>
        </is>
      </c>
      <c r="C196" s="66" t="inlineStr">
        <is>
          <t>O8 Training &amp; Models</t>
        </is>
      </c>
      <c r="D196" s="66" t="inlineStr">
        <is>
          <t>Doc 17 — The Multidimensional Training Engine (extends #22–#24)</t>
        </is>
      </c>
      <c r="E196" s="66" t="inlineStr">
        <is>
          <t>Doc 17</t>
        </is>
      </c>
      <c r="F196" s="73" t="inlineStr">
        <is>
          <t>CANON</t>
        </is>
      </c>
      <c r="G196" s="66" t="n"/>
      <c r="H196" s="66" t="inlineStr">
        <is>
          <t>Targeta</t>
        </is>
      </c>
      <c r="I196" s="66" t="inlineStr">
        <is>
          <t>17_20.md:205</t>
        </is>
      </c>
      <c r="J196" s="74" t="inlineStr">
        <is>
          <t>Base canon</t>
        </is>
      </c>
      <c r="K196" s="75" t="n"/>
    </row>
    <row r="197" ht="30" customHeight="1" s="45">
      <c r="A197" s="65" t="inlineStr">
        <is>
          <t>A17.20</t>
        </is>
      </c>
      <c r="B197" s="66" t="inlineStr">
        <is>
          <t>Build sequence, ordered by dependency and cost of deferral — not by size</t>
        </is>
      </c>
      <c r="C197" s="66" t="inlineStr">
        <is>
          <t>O8 Training &amp; Models</t>
        </is>
      </c>
      <c r="D197" s="66" t="inlineStr">
        <is>
          <t>Doc 17 — The Multidimensional Training Engine (extends #22–#24)</t>
        </is>
      </c>
      <c r="E197" s="66" t="inlineStr">
        <is>
          <t>Doc 17</t>
        </is>
      </c>
      <c r="F197" s="66" t="inlineStr">
        <is>
          <t>— (see heading)</t>
        </is>
      </c>
      <c r="G197" s="66" t="n"/>
      <c r="H197" s="66" t="inlineStr">
        <is>
          <t>Targeta</t>
        </is>
      </c>
      <c r="I197" s="66" t="inlineStr">
        <is>
          <t>17_20.md:311</t>
        </is>
      </c>
      <c r="J197" s="74" t="inlineStr">
        <is>
          <t>Base canon</t>
        </is>
      </c>
      <c r="K197" s="75" t="n"/>
    </row>
    <row r="198" ht="30" customHeight="1" s="45">
      <c r="A198" s="65" t="inlineStr">
        <is>
          <t>A17.3</t>
        </is>
      </c>
      <c r="B198" s="66" t="inlineStr">
        <is>
          <t>Lineage extends to configuration</t>
        </is>
      </c>
      <c r="C198" s="66" t="inlineStr">
        <is>
          <t>O8 Training &amp; Models</t>
        </is>
      </c>
      <c r="D198" s="66" t="inlineStr">
        <is>
          <t>Doc 17 — The Multidimensional Training Engine (extends #22–#24)</t>
        </is>
      </c>
      <c r="E198" s="66" t="inlineStr">
        <is>
          <t>Doc 17</t>
        </is>
      </c>
      <c r="F198" s="73" t="inlineStr">
        <is>
          <t>CANON</t>
        </is>
      </c>
      <c r="G198" s="66" t="n"/>
      <c r="H198" s="66" t="inlineStr">
        <is>
          <t>Targeta</t>
        </is>
      </c>
      <c r="I198" s="66" t="inlineStr">
        <is>
          <t>17_20.md:209</t>
        </is>
      </c>
      <c r="J198" s="74" t="inlineStr">
        <is>
          <t>Base canon</t>
        </is>
      </c>
      <c r="K198" s="75" t="n"/>
    </row>
    <row r="199" ht="30" customHeight="1" s="45">
      <c r="A199" s="65" t="inlineStr">
        <is>
          <t>A17.4</t>
        </is>
      </c>
      <c r="B199" s="66" t="inlineStr">
        <is>
          <t>Revision is DEFAULT-class, but never unevidenced</t>
        </is>
      </c>
      <c r="C199" s="66" t="inlineStr">
        <is>
          <t>O8 Training &amp; Models</t>
        </is>
      </c>
      <c r="D199" s="66" t="inlineStr">
        <is>
          <t>Doc 17 — The Multidimensional Training Engine (extends #22–#24)</t>
        </is>
      </c>
      <c r="E199" s="66" t="inlineStr">
        <is>
          <t>Doc 17</t>
        </is>
      </c>
      <c r="F199" s="73" t="inlineStr">
        <is>
          <t>CANON</t>
        </is>
      </c>
      <c r="G199" s="66" t="n"/>
      <c r="H199" s="66" t="inlineStr">
        <is>
          <t>Targeta</t>
        </is>
      </c>
      <c r="I199" s="66" t="inlineStr">
        <is>
          <t>17_20.md:213</t>
        </is>
      </c>
      <c r="J199" s="74" t="inlineStr">
        <is>
          <t>Base canon</t>
        </is>
      </c>
      <c r="K199" s="75" t="n"/>
    </row>
    <row r="200" ht="30" customHeight="1" s="45">
      <c r="A200" s="65" t="inlineStr">
        <is>
          <t>A17.5–A17.6</t>
        </is>
      </c>
      <c r="B200" s="66" t="inlineStr">
        <is>
          <t>The optimizer-selection protocol: two arms, identical conditions, parity mandatory</t>
        </is>
      </c>
      <c r="C200" s="66" t="inlineStr">
        <is>
          <t>O8 Training &amp; Models</t>
        </is>
      </c>
      <c r="D200" s="66" t="inlineStr">
        <is>
          <t>Doc 17 — The Multidimensional Training Engine (extends #22–#24)</t>
        </is>
      </c>
      <c r="E200" s="66" t="inlineStr">
        <is>
          <t>Doc 17</t>
        </is>
      </c>
      <c r="F200" s="73" t="inlineStr">
        <is>
          <t>CANON</t>
        </is>
      </c>
      <c r="G200" s="66" t="n"/>
      <c r="H200" s="66" t="inlineStr">
        <is>
          <t>Targeta</t>
        </is>
      </c>
      <c r="I200" s="66" t="inlineStr">
        <is>
          <t>17_20.md:217</t>
        </is>
      </c>
      <c r="J200" s="74" t="inlineStr">
        <is>
          <t>Base canon</t>
        </is>
      </c>
      <c r="K200" s="75" t="n"/>
    </row>
    <row r="201" ht="30" customHeight="1" s="45">
      <c r="A201" s="65" t="inlineStr">
        <is>
          <t>A17.7</t>
        </is>
      </c>
      <c r="B201" s="66" t="inlineStr">
        <is>
          <t>Ensemble critics detect; they never decide</t>
        </is>
      </c>
      <c r="C201" s="66" t="inlineStr">
        <is>
          <t>O8 Training &amp; Models</t>
        </is>
      </c>
      <c r="D201" s="66" t="inlineStr">
        <is>
          <t>Doc 17 — The Multidimensional Training Engine (extends #22–#24)</t>
        </is>
      </c>
      <c r="E201" s="66" t="inlineStr">
        <is>
          <t>Doc 17</t>
        </is>
      </c>
      <c r="F201" s="73" t="inlineStr">
        <is>
          <t>CANON</t>
        </is>
      </c>
      <c r="G201" s="66" t="n"/>
      <c r="H201" s="66" t="inlineStr">
        <is>
          <t>Targeta</t>
        </is>
      </c>
      <c r="I201" s="66" t="inlineStr">
        <is>
          <t>17_20.md:221</t>
        </is>
      </c>
      <c r="J201" s="74" t="inlineStr">
        <is>
          <t>Base canon</t>
        </is>
      </c>
      <c r="K201" s="75" t="n"/>
    </row>
    <row r="202" ht="30" customHeight="1" s="45">
      <c r="A202" s="65" t="inlineStr">
        <is>
          <t>A17.8</t>
        </is>
      </c>
      <c r="B202" s="66" t="inlineStr">
        <is>
          <t>Cascade offload builds only against a measured shortfall, never speculatively</t>
        </is>
      </c>
      <c r="C202" s="66" t="inlineStr">
        <is>
          <t>O8 Training &amp; Models</t>
        </is>
      </c>
      <c r="D202" s="66" t="inlineStr">
        <is>
          <t>Doc 17 — The Multidimensional Training Engine (extends #22–#24)</t>
        </is>
      </c>
      <c r="E202" s="66" t="inlineStr">
        <is>
          <t>Doc 17</t>
        </is>
      </c>
      <c r="F202" s="73" t="inlineStr">
        <is>
          <t>CANON</t>
        </is>
      </c>
      <c r="G202" s="66" t="n"/>
      <c r="H202" s="66" t="inlineStr">
        <is>
          <t>Targeta</t>
        </is>
      </c>
      <c r="I202" s="66" t="inlineStr">
        <is>
          <t>17_20.md:225</t>
        </is>
      </c>
      <c r="J202" s="74" t="inlineStr">
        <is>
          <t>Base canon</t>
        </is>
      </c>
      <c r="K202" s="75" t="n"/>
    </row>
    <row r="203" ht="30" customHeight="1" s="45">
      <c r="A203" s="65" t="inlineStr">
        <is>
          <t>A17.9</t>
        </is>
      </c>
      <c r="B203" s="66" t="inlineStr">
        <is>
          <t>Execution mode is explicit or the process refuses to start</t>
        </is>
      </c>
      <c r="C203" s="66" t="inlineStr">
        <is>
          <t>O8 Training &amp; Models</t>
        </is>
      </c>
      <c r="D203" s="66" t="inlineStr">
        <is>
          <t>Doc 17 — The Multidimensional Training Engine (extends #22–#24)</t>
        </is>
      </c>
      <c r="E203" s="66" t="inlineStr">
        <is>
          <t>Doc 17</t>
        </is>
      </c>
      <c r="F203" s="73" t="inlineStr">
        <is>
          <t>CANON</t>
        </is>
      </c>
      <c r="G203" s="66" t="n"/>
      <c r="H203" s="66" t="inlineStr">
        <is>
          <t>Targeta</t>
        </is>
      </c>
      <c r="I203" s="66" t="inlineStr">
        <is>
          <t>17_20.md:229</t>
        </is>
      </c>
      <c r="J203" s="74" t="inlineStr">
        <is>
          <t>Base canon</t>
        </is>
      </c>
      <c r="K203" s="75" t="n"/>
    </row>
    <row r="204" ht="30" customHeight="1" s="45">
      <c r="A204" s="65" t="inlineStr">
        <is>
          <t>A20.1</t>
        </is>
      </c>
      <c r="B204" s="66" t="inlineStr">
        <is>
          <t>Qwen3 / Qwen3.5 (Alibaba) — Apache 2.0, text generation candidate</t>
        </is>
      </c>
      <c r="C204" s="66" t="inlineStr">
        <is>
          <t>O8 Training &amp; Models</t>
        </is>
      </c>
      <c r="D204" s="66" t="inlineStr">
        <is>
          <t>Doc 20 — The Model Capability Register (extends #24, #30)</t>
        </is>
      </c>
      <c r="E204" s="66" t="inlineStr">
        <is>
          <t>Doc 20</t>
        </is>
      </c>
      <c r="F204" s="73" t="inlineStr">
        <is>
          <t>CANON</t>
        </is>
      </c>
      <c r="G204" s="66" t="n"/>
      <c r="H204" s="66" t="inlineStr">
        <is>
          <t>Targeta / Model Registry</t>
        </is>
      </c>
      <c r="I204" s="66" t="inlineStr">
        <is>
          <t>17_20.md:718</t>
        </is>
      </c>
      <c r="J204" s="74" t="inlineStr">
        <is>
          <t>Base canon</t>
        </is>
      </c>
      <c r="K204" s="75" t="n"/>
    </row>
    <row r="205" ht="51.75" customHeight="1" s="45">
      <c r="A205" s="65" t="inlineStr">
        <is>
          <t>A20.10</t>
        </is>
      </c>
      <c r="B205" s="66" t="inlineStr">
        <is>
          <t>Pixtral 12B (Mistral) — Apache 2.0. Smaller and cheaper to serve than the 70B-class options above; the right candidate where the task's constraints (§10.1) cap latency or</t>
        </is>
      </c>
      <c r="C205" s="66" t="inlineStr">
        <is>
          <t>O8 Training &amp; Models</t>
        </is>
      </c>
      <c r="D205" s="66" t="inlineStr">
        <is>
          <t>Doc 20 — The Model Capability Register (extends #24, #30)</t>
        </is>
      </c>
      <c r="E205" s="66" t="inlineStr">
        <is>
          <t>Doc 20</t>
        </is>
      </c>
      <c r="F205" s="76" t="inlineStr">
        <is>
          <t>PROPOSED</t>
        </is>
      </c>
      <c r="G205" s="66" t="n"/>
      <c r="H205" s="66" t="inlineStr">
        <is>
          <t>Targeta / Model Registry</t>
        </is>
      </c>
      <c r="I205" s="66" t="inlineStr">
        <is>
          <t>17_20.md:740</t>
        </is>
      </c>
      <c r="J205" s="74" t="inlineStr">
        <is>
          <t>Base canon</t>
        </is>
      </c>
      <c r="K205" s="75" t="n"/>
    </row>
    <row r="206" ht="51.75" customHeight="1" s="45">
      <c r="A206" s="65" t="inlineStr">
        <is>
          <t>A20.11</t>
        </is>
      </c>
      <c r="B206" s="66" t="inlineStr">
        <is>
          <t xml:space="preserve">Audio's resolution rule is not this document's to set. Document 17 A17.10–A17.11 already rules it: whisper-tiny is CI-fixture-only; production selection lands additively </t>
        </is>
      </c>
      <c r="C206" s="66" t="inlineStr">
        <is>
          <t>O8 Training &amp; Models</t>
        </is>
      </c>
      <c r="D206" s="66" t="inlineStr">
        <is>
          <t>Doc 20 — The Model Capability Register (extends #24, #30)</t>
        </is>
      </c>
      <c r="E206" s="66" t="inlineStr">
        <is>
          <t>Doc 20</t>
        </is>
      </c>
      <c r="F206" s="73" t="inlineStr">
        <is>
          <t>CANON</t>
        </is>
      </c>
      <c r="G206" s="66" t="n"/>
      <c r="H206" s="66" t="inlineStr">
        <is>
          <t>Targeta / Model Registry</t>
        </is>
      </c>
      <c r="I206" s="66" t="inlineStr">
        <is>
          <t>17_20.md:744</t>
        </is>
      </c>
      <c r="J206" s="74" t="inlineStr">
        <is>
          <t>Base canon</t>
        </is>
      </c>
      <c r="K206" s="75" t="n"/>
    </row>
    <row r="207" ht="51.75" customHeight="1" s="45">
      <c r="A207" s="65" t="inlineStr">
        <is>
          <t>A20.12</t>
        </is>
      </c>
      <c r="B207" s="66" t="inlineStr">
        <is>
          <t>A stated objective resolves to exactly one dimension at wizard compile time, on the same deterministic basis TargetOutcome's population resolves to register strata. An ob</t>
        </is>
      </c>
      <c r="C207" s="66" t="inlineStr">
        <is>
          <t>O8 Training &amp; Models</t>
        </is>
      </c>
      <c r="D207" s="66" t="inlineStr">
        <is>
          <t>Doc 20 — The Model Capability Register (extends #24, #30)</t>
        </is>
      </c>
      <c r="E207" s="66" t="inlineStr">
        <is>
          <t>Doc 20</t>
        </is>
      </c>
      <c r="F207" s="76" t="inlineStr">
        <is>
          <t>PROPOSED</t>
        </is>
      </c>
      <c r="G207" s="66" t="n"/>
      <c r="H207" s="66" t="inlineStr">
        <is>
          <t>Targeta / Model Registry</t>
        </is>
      </c>
      <c r="I207" s="66" t="inlineStr">
        <is>
          <t>17_20.md:748</t>
        </is>
      </c>
      <c r="J207" s="74" t="inlineStr">
        <is>
          <t>Base canon</t>
        </is>
      </c>
      <c r="K207" s="75" t="n"/>
    </row>
    <row r="208" ht="51.75" customHeight="1" s="45">
      <c r="A208" s="65" t="inlineStr">
        <is>
          <t>A20.13</t>
        </is>
      </c>
      <c r="B208" s="66" t="inlineStr">
        <is>
          <t>Where a dimension holds one eligible license-verified candidate, it is used. Where it holds more than one (as document and vision now do), calibration's mandatory first s</t>
        </is>
      </c>
      <c r="C208" s="66" t="inlineStr">
        <is>
          <t>O8 Training &amp; Models</t>
        </is>
      </c>
      <c r="D208" s="66" t="inlineStr">
        <is>
          <t>Doc 20 — The Model Capability Register (extends #24, #30)</t>
        </is>
      </c>
      <c r="E208" s="66" t="inlineStr">
        <is>
          <t>Doc 20</t>
        </is>
      </c>
      <c r="F208" s="76" t="inlineStr">
        <is>
          <t>PROPOSED</t>
        </is>
      </c>
      <c r="G208" s="66" t="n"/>
      <c r="H208" s="66" t="inlineStr">
        <is>
          <t>Targeta / Model Registry</t>
        </is>
      </c>
      <c r="I208" s="66" t="inlineStr">
        <is>
          <t>17_20.md:750</t>
        </is>
      </c>
      <c r="J208" s="74" t="inlineStr">
        <is>
          <t>Base canon</t>
        </is>
      </c>
      <c r="K208" s="75" t="n"/>
    </row>
    <row r="209" ht="51.75" customHeight="1" s="45">
      <c r="A209" s="65" t="inlineStr">
        <is>
          <t>A20.14</t>
        </is>
      </c>
      <c r="B209" s="66" t="inlineStr">
        <is>
          <t xml:space="preserve">No candidate is ever surfaced as a user-facing choice, at any point in the wizard flow. This is a compile-time discipline, structurally identical to §17.4d's rule that a </t>
        </is>
      </c>
      <c r="C209" s="66" t="inlineStr">
        <is>
          <t>O8 Training &amp; Models</t>
        </is>
      </c>
      <c r="D209" s="66" t="inlineStr">
        <is>
          <t>Doc 20 — The Model Capability Register (extends #24, #30)</t>
        </is>
      </c>
      <c r="E209" s="66" t="inlineStr">
        <is>
          <t>Doc 20</t>
        </is>
      </c>
      <c r="F209" s="76" t="inlineStr">
        <is>
          <t>PROPOSED</t>
        </is>
      </c>
      <c r="G209" s="66" t="n"/>
      <c r="H209" s="66" t="inlineStr">
        <is>
          <t>Targeta / Model Registry</t>
        </is>
      </c>
      <c r="I209" s="66" t="inlineStr">
        <is>
          <t>17_20.md:752</t>
        </is>
      </c>
      <c r="J209" s="74" t="inlineStr">
        <is>
          <t>Base canon</t>
        </is>
      </c>
      <c r="K209" s="75" t="n"/>
    </row>
    <row r="210" ht="39" customHeight="1" s="45">
      <c r="A210" s="65" t="inlineStr">
        <is>
          <t>A20.2</t>
        </is>
      </c>
      <c r="B210" s="66" t="inlineStr">
        <is>
          <t>Llama (Meta) — comparison arm; commercial-use gated, license verified and checksummed at acquisition, not at registration</t>
        </is>
      </c>
      <c r="C210" s="66" t="inlineStr">
        <is>
          <t>O8 Training &amp; Models</t>
        </is>
      </c>
      <c r="D210" s="66" t="inlineStr">
        <is>
          <t>Doc 20 — The Model Capability Register (extends #24, #30)</t>
        </is>
      </c>
      <c r="E210" s="66" t="inlineStr">
        <is>
          <t>Doc 20</t>
        </is>
      </c>
      <c r="F210" s="73" t="inlineStr">
        <is>
          <t>CANON</t>
        </is>
      </c>
      <c r="G210" s="66" t="n"/>
      <c r="H210" s="66" t="inlineStr">
        <is>
          <t>Targeta / Model Registry</t>
        </is>
      </c>
      <c r="I210" s="66" t="inlineStr">
        <is>
          <t>17_20.md:720</t>
        </is>
      </c>
      <c r="J210" s="74" t="inlineStr">
        <is>
          <t>Base canon</t>
        </is>
      </c>
      <c r="K210" s="75" t="n"/>
    </row>
    <row r="211" ht="51.75" customHeight="1" s="45">
      <c r="A211" s="65" t="inlineStr">
        <is>
          <t>A20.3</t>
        </is>
      </c>
      <c r="B211" s="66" t="inlineStr">
        <is>
          <t>Qwen2.5-VL / Qwen3-VL (Alibaba) — Apache 2.0 at 7B/32B. Mixed OCR and document understanding in one model — text, tables, charts, formulas, handwriting — at roughly GPT-4</t>
        </is>
      </c>
      <c r="C211" s="66" t="inlineStr">
        <is>
          <t>O8 Training &amp; Models</t>
        </is>
      </c>
      <c r="D211" s="66" t="inlineStr">
        <is>
          <t>Doc 20 — The Model Capability Register (extends #24, #30)</t>
        </is>
      </c>
      <c r="E211" s="66" t="inlineStr">
        <is>
          <t>Doc 20</t>
        </is>
      </c>
      <c r="F211" s="76" t="inlineStr">
        <is>
          <t>PROPOSED</t>
        </is>
      </c>
      <c r="G211" s="66" t="n"/>
      <c r="H211" s="66" t="inlineStr">
        <is>
          <t>Targeta / Model Registry</t>
        </is>
      </c>
      <c r="I211" s="66" t="inlineStr">
        <is>
          <t>17_20.md:724</t>
        </is>
      </c>
      <c r="J211" s="74" t="inlineStr">
        <is>
          <t>Base canon</t>
        </is>
      </c>
      <c r="K211" s="75" t="n"/>
    </row>
    <row r="212" ht="51.75" customHeight="1" s="45">
      <c r="A212" s="65" t="inlineStr">
        <is>
          <t>A20.4</t>
        </is>
      </c>
      <c r="B212" s="66" t="inlineStr">
        <is>
          <t xml:space="preserve">GOT-OCR2 (StepFun) — Apache 2.0, 580M parameters. The leading dedicated pure-OCR model — plain text, formatted text, tables, and math formulas — where a lighter, cheaper </t>
        </is>
      </c>
      <c r="C212" s="66" t="inlineStr">
        <is>
          <t>O8 Training &amp; Models</t>
        </is>
      </c>
      <c r="D212" s="66" t="inlineStr">
        <is>
          <t>Doc 20 — The Model Capability Register (extends #24, #30)</t>
        </is>
      </c>
      <c r="E212" s="66" t="inlineStr">
        <is>
          <t>Doc 20</t>
        </is>
      </c>
      <c r="F212" s="76" t="inlineStr">
        <is>
          <t>PROPOSED</t>
        </is>
      </c>
      <c r="G212" s="66" t="n"/>
      <c r="H212" s="66" t="inlineStr">
        <is>
          <t>Targeta / Model Registry</t>
        </is>
      </c>
      <c r="I212" s="66" t="inlineStr">
        <is>
          <t>17_20.md:726</t>
        </is>
      </c>
      <c r="J212" s="74" t="inlineStr">
        <is>
          <t>Base canon</t>
        </is>
      </c>
      <c r="K212" s="75" t="n"/>
    </row>
    <row r="213" ht="51.75" customHeight="1" s="45">
      <c r="A213" s="65" t="inlineStr">
        <is>
          <t>A20.5</t>
        </is>
      </c>
      <c r="B213" s="66" t="inlineStr">
        <is>
          <t>PaddleOCR-VL — Apache 2.0. Strongest multilingual coverage found (100+ languages), mature table and layout recognition, the most production-battle-tested open OCR pipelin</t>
        </is>
      </c>
      <c r="C213" s="66" t="inlineStr">
        <is>
          <t>O8 Training &amp; Models</t>
        </is>
      </c>
      <c r="D213" s="66" t="inlineStr">
        <is>
          <t>Doc 20 — The Model Capability Register (extends #24, #30)</t>
        </is>
      </c>
      <c r="E213" s="66" t="inlineStr">
        <is>
          <t>Doc 20</t>
        </is>
      </c>
      <c r="F213" s="76" t="inlineStr">
        <is>
          <t>PROPOSED</t>
        </is>
      </c>
      <c r="G213" s="66" t="n"/>
      <c r="H213" s="66" t="inlineStr">
        <is>
          <t>Targeta / Model Registry</t>
        </is>
      </c>
      <c r="I213" s="66" t="inlineStr">
        <is>
          <t>17_20.md:728</t>
        </is>
      </c>
      <c r="J213" s="74" t="inlineStr">
        <is>
          <t>Base canon</t>
        </is>
      </c>
      <c r="K213" s="75" t="n"/>
    </row>
    <row r="214" ht="51.75" customHeight="1" s="45">
      <c r="A214" s="65" t="inlineStr">
        <is>
          <t>A20.6</t>
        </is>
      </c>
      <c r="B214" s="66" t="inlineStr">
        <is>
          <t>ColPali v1.3 — MIT. Not OCR at all: embeds document pages directly for retrieval, bypassing text extraction entirely. Named as a candidate for the document dimension's re</t>
        </is>
      </c>
      <c r="C214" s="66" t="inlineStr">
        <is>
          <t>O8 Training &amp; Models</t>
        </is>
      </c>
      <c r="D214" s="66" t="inlineStr">
        <is>
          <t>Doc 20 — The Model Capability Register (extends #24, #30)</t>
        </is>
      </c>
      <c r="E214" s="66" t="inlineStr">
        <is>
          <t>Doc 20</t>
        </is>
      </c>
      <c r="F214" s="76" t="inlineStr">
        <is>
          <t>PROPOSED</t>
        </is>
      </c>
      <c r="G214" s="66" t="n"/>
      <c r="H214" s="66" t="inlineStr">
        <is>
          <t>Targeta / Model Registry</t>
        </is>
      </c>
      <c r="I214" s="66" t="inlineStr">
        <is>
          <t>17_20.md:730</t>
        </is>
      </c>
      <c r="J214" s="74" t="inlineStr">
        <is>
          <t>Base canon</t>
        </is>
      </c>
      <c r="K214" s="75" t="n"/>
    </row>
    <row r="215" ht="51.75" customHeight="1" s="45">
      <c r="A215" s="65" t="inlineStr">
        <is>
          <t>A20.7</t>
        </is>
      </c>
      <c r="B215" s="66" t="inlineStr">
        <is>
          <t>Qwen2.5-VL-72B — Apache 2.0. Leads open-weight vision benchmarks generally (≈888 OCRBench); the largest-scale option in the family already trusted for A20.1 and A20.3</t>
        </is>
      </c>
      <c r="C215" s="66" t="inlineStr">
        <is>
          <t>O8 Training &amp; Models</t>
        </is>
      </c>
      <c r="D215" s="66" t="inlineStr">
        <is>
          <t>Doc 20 — The Model Capability Register (extends #24, #30)</t>
        </is>
      </c>
      <c r="E215" s="66" t="inlineStr">
        <is>
          <t>Doc 20</t>
        </is>
      </c>
      <c r="F215" s="76" t="inlineStr">
        <is>
          <t>PROPOSED</t>
        </is>
      </c>
      <c r="G215" s="66" t="n"/>
      <c r="H215" s="66" t="inlineStr">
        <is>
          <t>Targeta / Model Registry</t>
        </is>
      </c>
      <c r="I215" s="66" t="inlineStr">
        <is>
          <t>17_20.md:734</t>
        </is>
      </c>
      <c r="J215" s="74" t="inlineStr">
        <is>
          <t>Base canon</t>
        </is>
      </c>
      <c r="K215" s="75" t="n"/>
    </row>
    <row r="216" ht="51.75" customHeight="1" s="45">
      <c r="A216" s="65" t="inlineStr">
        <is>
          <t>A20.8</t>
        </is>
      </c>
      <c r="B216" s="66" t="inlineStr">
        <is>
          <t>InternVL3-78B (Shanghai AI Lab) — MIT. The strongest permissively-licensed alternative where Qwen's Apache terms are for any reason insufficient — ≈72% MMMU, no commercia</t>
        </is>
      </c>
      <c r="C216" s="66" t="inlineStr">
        <is>
          <t>O8 Training &amp; Models</t>
        </is>
      </c>
      <c r="D216" s="66" t="inlineStr">
        <is>
          <t>Doc 20 — The Model Capability Register (extends #24, #30)</t>
        </is>
      </c>
      <c r="E216" s="66" t="inlineStr">
        <is>
          <t>Doc 20</t>
        </is>
      </c>
      <c r="F216" s="76" t="inlineStr">
        <is>
          <t>PROPOSED</t>
        </is>
      </c>
      <c r="G216" s="66" t="n"/>
      <c r="H216" s="66" t="inlineStr">
        <is>
          <t>Targeta / Model Registry</t>
        </is>
      </c>
      <c r="I216" s="66" t="inlineStr">
        <is>
          <t>17_20.md:736</t>
        </is>
      </c>
      <c r="J216" s="74" t="inlineStr">
        <is>
          <t>Base canon</t>
        </is>
      </c>
      <c r="K216" s="75" t="n"/>
    </row>
    <row r="217" ht="51.75" customHeight="1" s="45">
      <c r="A217" s="65" t="inlineStr">
        <is>
          <t>A20.9</t>
        </is>
      </c>
      <c r="B217" s="66" t="inlineStr">
        <is>
          <t xml:space="preserve">Llama 4 multimodal, Maverick and Scout (Meta) — Llama Community License, commercial-use gated same as A20.2. Leads MMMU outright (≈73.4%) among the candidates found; the </t>
        </is>
      </c>
      <c r="C217" s="66" t="inlineStr">
        <is>
          <t>O8 Training &amp; Models</t>
        </is>
      </c>
      <c r="D217" s="66" t="inlineStr">
        <is>
          <t>Doc 20 — The Model Capability Register (extends #24, #30)</t>
        </is>
      </c>
      <c r="E217" s="66" t="inlineStr">
        <is>
          <t>Doc 20</t>
        </is>
      </c>
      <c r="F217" s="76" t="inlineStr">
        <is>
          <t>PROPOSED</t>
        </is>
      </c>
      <c r="G217" s="66" t="n"/>
      <c r="H217" s="66" t="inlineStr">
        <is>
          <t>Targeta / Model Registry</t>
        </is>
      </c>
      <c r="I217" s="66" t="inlineStr">
        <is>
          <t>17_20.md:738</t>
        </is>
      </c>
      <c r="J217" s="74" t="inlineStr">
        <is>
          <t>Base canon</t>
        </is>
      </c>
      <c r="K217" s="75" t="n"/>
    </row>
    <row r="218" ht="39" customHeight="1" s="45">
      <c r="A218" s="65" t="inlineStr">
        <is>
          <t>LT-1</t>
        </is>
      </c>
      <c r="B218" s="66" t="inlineStr">
        <is>
          <t>A technically accurate result that arrives late has failed the objective, not merely underperformed a preference</t>
        </is>
      </c>
      <c r="C218" s="66" t="inlineStr">
        <is>
          <t>O8 Training &amp; Models</t>
        </is>
      </c>
      <c r="D218" s="66" t="inlineStr">
        <is>
          <t>Streaming Voice Training Capacity — proposed extension to Doc 17 §17.4a/§17.4c, NOT YET MERGED</t>
        </is>
      </c>
      <c r="E218" s="66" t="inlineStr">
        <is>
          <t>SV extension</t>
        </is>
      </c>
      <c r="F218" s="76" t="inlineStr">
        <is>
          <t>PROPOSED</t>
        </is>
      </c>
      <c r="G218" s="66" t="n"/>
      <c r="H218" s="66" t="inlineStr">
        <is>
          <t>Targeta</t>
        </is>
      </c>
      <c r="I218" s="66" t="inlineStr">
        <is>
          <t>Streaming_Voice_Training_Capacity.docx</t>
        </is>
      </c>
      <c r="J218" s="74" t="inlineStr">
        <is>
          <t>Base canon</t>
        </is>
      </c>
      <c r="K218" s="75" t="n"/>
    </row>
    <row r="219" ht="30" customHeight="1" s="45">
      <c r="A219" s="65" t="inlineStr">
        <is>
          <t>LT-2</t>
        </is>
      </c>
      <c r="B219" s="66" t="inlineStr">
        <is>
          <t>The actual latency threshold is not set here</t>
        </is>
      </c>
      <c r="C219" s="66" t="inlineStr">
        <is>
          <t>O8 Training &amp; Models</t>
        </is>
      </c>
      <c r="D219" s="66" t="inlineStr">
        <is>
          <t>Streaming Voice Training Capacity — proposed extension to Doc 17 §17.4a/§17.4c, NOT YET MERGED</t>
        </is>
      </c>
      <c r="E219" s="66" t="inlineStr">
        <is>
          <t>SV extension</t>
        </is>
      </c>
      <c r="F219" s="79" t="inlineStr">
        <is>
          <t>OPEN</t>
        </is>
      </c>
      <c r="G219" s="66" t="n"/>
      <c r="H219" s="66" t="inlineStr">
        <is>
          <t>Targeta</t>
        </is>
      </c>
      <c r="I219" s="66" t="inlineStr">
        <is>
          <t>Streaming_Voice_Training_Capacity.docx</t>
        </is>
      </c>
      <c r="J219" s="74" t="inlineStr">
        <is>
          <t>Base canon</t>
        </is>
      </c>
      <c r="K219" s="75" t="n"/>
    </row>
    <row r="220" ht="30" customHeight="1" s="45">
      <c r="A220" s="65" t="inlineStr">
        <is>
          <t>LT-3</t>
        </is>
      </c>
      <c r="B220" s="66" t="inlineStr">
        <is>
          <t>Calibration corpus for streaming objectives is unaddressed</t>
        </is>
      </c>
      <c r="C220" s="66" t="inlineStr">
        <is>
          <t>O8 Training &amp; Models</t>
        </is>
      </c>
      <c r="D220" s="66" t="inlineStr">
        <is>
          <t>Streaming Voice Training Capacity — proposed extension to Doc 17 §17.4a/§17.4c, NOT YET MERGED</t>
        </is>
      </c>
      <c r="E220" s="66" t="inlineStr">
        <is>
          <t>SV extension</t>
        </is>
      </c>
      <c r="F220" s="79" t="inlineStr">
        <is>
          <t>OPEN</t>
        </is>
      </c>
      <c r="G220" s="66" t="n"/>
      <c r="H220" s="66" t="inlineStr">
        <is>
          <t>Targeta</t>
        </is>
      </c>
      <c r="I220" s="66" t="inlineStr">
        <is>
          <t>Streaming_Voice_Training_Capacity.docx</t>
        </is>
      </c>
      <c r="J220" s="74" t="inlineStr">
        <is>
          <t>Base canon</t>
        </is>
      </c>
      <c r="K220" s="75" t="n"/>
    </row>
    <row r="221" ht="30" customHeight="1" s="45">
      <c r="A221" s="65" t="inlineStr">
        <is>
          <t>RI-1</t>
        </is>
      </c>
      <c r="B221" s="66" t="inlineStr">
        <is>
          <t>A telephony-service objective is the Phase 2 trigger §17.4c already named</t>
        </is>
      </c>
      <c r="C221" s="66" t="inlineStr">
        <is>
          <t>O8 Training &amp; Models</t>
        </is>
      </c>
      <c r="D221" s="66" t="inlineStr">
        <is>
          <t>Streaming Voice Training Capacity — proposed extension to Doc 17 §17.4a/§17.4c, NOT YET MERGED</t>
        </is>
      </c>
      <c r="E221" s="66" t="inlineStr">
        <is>
          <t>SV extension</t>
        </is>
      </c>
      <c r="F221" s="76" t="inlineStr">
        <is>
          <t>PROPOSED</t>
        </is>
      </c>
      <c r="G221" s="66" t="n"/>
      <c r="H221" s="66" t="inlineStr">
        <is>
          <t>Targeta</t>
        </is>
      </c>
      <c r="I221" s="66" t="inlineStr">
        <is>
          <t>Streaming_Voice_Training_Capacity.docx</t>
        </is>
      </c>
      <c r="J221" s="74" t="inlineStr">
        <is>
          <t>Base canon</t>
        </is>
      </c>
      <c r="K221" s="75" t="n"/>
    </row>
    <row r="222" ht="30" customHeight="1" s="45">
      <c r="A222" s="65" t="inlineStr">
        <is>
          <t>RI-2</t>
        </is>
      </c>
      <c r="B222" s="66" t="inlineStr">
        <is>
          <t>The distance guarantee and certificate are unchanged by real-time rendering</t>
        </is>
      </c>
      <c r="C222" s="66" t="inlineStr">
        <is>
          <t>O8 Training &amp; Models</t>
        </is>
      </c>
      <c r="D222" s="66" t="inlineStr">
        <is>
          <t>Streaming Voice Training Capacity — proposed extension to Doc 17 §17.4a/§17.4c, NOT YET MERGED</t>
        </is>
      </c>
      <c r="E222" s="66" t="inlineStr">
        <is>
          <t>SV extension</t>
        </is>
      </c>
      <c r="F222" s="76" t="inlineStr">
        <is>
          <t>PROPOSED</t>
        </is>
      </c>
      <c r="G222" s="66" t="n"/>
      <c r="H222" s="66" t="inlineStr">
        <is>
          <t>Targeta</t>
        </is>
      </c>
      <c r="I222" s="66" t="inlineStr">
        <is>
          <t>Streaming_Voice_Training_Capacity.docx</t>
        </is>
      </c>
      <c r="J222" s="74" t="inlineStr">
        <is>
          <t>Base canon</t>
        </is>
      </c>
      <c r="K222" s="75" t="n"/>
    </row>
    <row r="223" ht="30" customHeight="1" s="45">
      <c r="A223" s="65" t="inlineStr">
        <is>
          <t>RI-3</t>
        </is>
      </c>
      <c r="B223" s="66" t="inlineStr">
        <is>
          <t>Candidates — Qwen3-TTS, CosyVoice2-0.5B, Chatterbox</t>
        </is>
      </c>
      <c r="C223" s="66" t="inlineStr">
        <is>
          <t>O8 Training &amp; Models</t>
        </is>
      </c>
      <c r="D223" s="66" t="inlineStr">
        <is>
          <t>Streaming Voice Training Capacity — proposed extension to Doc 17 §17.4a/§17.4c, NOT YET MERGED</t>
        </is>
      </c>
      <c r="E223" s="66" t="inlineStr">
        <is>
          <t>SV extension</t>
        </is>
      </c>
      <c r="F223" s="76" t="inlineStr">
        <is>
          <t>PROPOSED</t>
        </is>
      </c>
      <c r="G223" s="66" t="n"/>
      <c r="H223" s="66" t="inlineStr">
        <is>
          <t>Targeta</t>
        </is>
      </c>
      <c r="I223" s="66" t="inlineStr">
        <is>
          <t>Streaming_Voice_Training_Capacity.docx</t>
        </is>
      </c>
      <c r="J223" s="74" t="inlineStr">
        <is>
          <t>Base canon</t>
        </is>
      </c>
      <c r="K223" s="75" t="n"/>
    </row>
    <row r="224" ht="30" customHeight="1" s="45">
      <c r="A224" s="65" t="inlineStr">
        <is>
          <t>RI-4</t>
        </is>
      </c>
      <c r="B224" s="66" t="inlineStr">
        <is>
          <t>Orchestration: cascaded ASR → LLM → TTS, not integrated speech-to-speech</t>
        </is>
      </c>
      <c r="C224" s="66" t="inlineStr">
        <is>
          <t>O8 Training &amp; Models</t>
        </is>
      </c>
      <c r="D224" s="66" t="inlineStr">
        <is>
          <t>Streaming Voice Training Capacity — proposed extension to Doc 17 §17.4a/§17.4c, NOT YET MERGED</t>
        </is>
      </c>
      <c r="E224" s="66" t="inlineStr">
        <is>
          <t>SV extension</t>
        </is>
      </c>
      <c r="F224" s="76" t="inlineStr">
        <is>
          <t>PROPOSED</t>
        </is>
      </c>
      <c r="G224" s="66" t="n"/>
      <c r="H224" s="66" t="inlineStr">
        <is>
          <t>Targeta</t>
        </is>
      </c>
      <c r="I224" s="66" t="inlineStr">
        <is>
          <t>Streaming_Voice_Training_Capacity.docx</t>
        </is>
      </c>
      <c r="J224" s="74" t="inlineStr">
        <is>
          <t>Base canon</t>
        </is>
      </c>
      <c r="K224" s="75" t="n"/>
    </row>
    <row r="225" ht="39" customHeight="1" s="45">
      <c r="A225" s="65" t="inlineStr">
        <is>
          <t>SE-1</t>
        </is>
      </c>
      <c r="B225" s="66" t="inlineStr">
        <is>
          <t>Streaming extraction is a named second mode of §17.4a, sharing its tokenized representation and Character Register outputs</t>
        </is>
      </c>
      <c r="C225" s="66" t="inlineStr">
        <is>
          <t>O8 Training &amp; Models</t>
        </is>
      </c>
      <c r="D225" s="66" t="inlineStr">
        <is>
          <t>Streaming Voice Training Capacity — proposed extension to Doc 17 §17.4a/§17.4c, NOT YET MERGED</t>
        </is>
      </c>
      <c r="E225" s="66" t="inlineStr">
        <is>
          <t>SV extension</t>
        </is>
      </c>
      <c r="F225" s="76" t="inlineStr">
        <is>
          <t>PROPOSED</t>
        </is>
      </c>
      <c r="G225" s="66" t="n"/>
      <c r="H225" s="66" t="inlineStr">
        <is>
          <t>Targeta</t>
        </is>
      </c>
      <c r="I225" s="66" t="inlineStr">
        <is>
          <t>Streaming_Voice_Training_Capacity.docx</t>
        </is>
      </c>
      <c r="J225" s="74" t="inlineStr">
        <is>
          <t>Base canon</t>
        </is>
      </c>
      <c r="K225" s="75" t="n"/>
    </row>
    <row r="226" ht="39" customHeight="1" s="45">
      <c r="A226" s="65" t="inlineStr">
        <is>
          <t>SE-2</t>
        </is>
      </c>
      <c r="B226" s="66" t="inlineStr">
        <is>
          <t>Candidate: NVIDIA Nemotron ASR Streaming — cache-aware, 40 language-locales, language-ID conditioning built in</t>
        </is>
      </c>
      <c r="C226" s="66" t="inlineStr">
        <is>
          <t>O8 Training &amp; Models</t>
        </is>
      </c>
      <c r="D226" s="66" t="inlineStr">
        <is>
          <t>Streaming Voice Training Capacity — proposed extension to Doc 17 §17.4a/§17.4c, NOT YET MERGED</t>
        </is>
      </c>
      <c r="E226" s="66" t="inlineStr">
        <is>
          <t>SV extension</t>
        </is>
      </c>
      <c r="F226" s="76" t="inlineStr">
        <is>
          <t>PROPOSED</t>
        </is>
      </c>
      <c r="G226" s="66" t="n"/>
      <c r="H226" s="66" t="inlineStr">
        <is>
          <t>Targeta</t>
        </is>
      </c>
      <c r="I226" s="66" t="inlineStr">
        <is>
          <t>Streaming_Voice_Training_Capacity.docx</t>
        </is>
      </c>
      <c r="J226" s="74" t="inlineStr">
        <is>
          <t>Base canon</t>
        </is>
      </c>
      <c r="K226" s="75" t="n"/>
    </row>
    <row r="227" ht="30" customHeight="1" s="45">
      <c r="A227" s="65" t="inlineStr">
        <is>
          <t>SE-3</t>
        </is>
      </c>
      <c r="B227" s="66" t="inlineStr">
        <is>
          <t>Qwen3-ASR is not proposed for the streaming mode — named to close the question</t>
        </is>
      </c>
      <c r="C227" s="66" t="inlineStr">
        <is>
          <t>O8 Training &amp; Models</t>
        </is>
      </c>
      <c r="D227" s="66" t="inlineStr">
        <is>
          <t>Streaming Voice Training Capacity — proposed extension to Doc 17 §17.4a/§17.4c, NOT YET MERGED</t>
        </is>
      </c>
      <c r="E227" s="66" t="inlineStr">
        <is>
          <t>SV extension</t>
        </is>
      </c>
      <c r="F227" s="76" t="inlineStr">
        <is>
          <t>PROPOSED</t>
        </is>
      </c>
      <c r="G227" s="66" t="n"/>
      <c r="H227" s="66" t="inlineStr">
        <is>
          <t>Targeta</t>
        </is>
      </c>
      <c r="I227" s="66" t="inlineStr">
        <is>
          <t>Streaming_Voice_Training_Capacity.docx</t>
        </is>
      </c>
      <c r="J227" s="74" t="inlineStr">
        <is>
          <t>Base canon</t>
        </is>
      </c>
      <c r="K227" s="75" t="n"/>
    </row>
    <row r="228" ht="30" customHeight="1" s="45">
      <c r="A228" s="65" t="inlineStr">
        <is>
          <t>SE-4</t>
        </is>
      </c>
      <c r="B228" s="66" t="inlineStr">
        <is>
          <t>Methodology, not a model: compact model tuned by register normalization against the Character Register</t>
        </is>
      </c>
      <c r="C228" s="66" t="inlineStr">
        <is>
          <t>O8 Training &amp; Models</t>
        </is>
      </c>
      <c r="D228" s="66" t="inlineStr">
        <is>
          <t>Streaming Voice Training Capacity — proposed extension to Doc 17 §17.4a/§17.4c, NOT YET MERGED</t>
        </is>
      </c>
      <c r="E228" s="66" t="inlineStr">
        <is>
          <t>SV extension</t>
        </is>
      </c>
      <c r="F228" s="76" t="inlineStr">
        <is>
          <t>PROPOSED</t>
        </is>
      </c>
      <c r="G228" s="66" t="n"/>
      <c r="H228" s="66" t="inlineStr">
        <is>
          <t>Targeta</t>
        </is>
      </c>
      <c r="I228" s="66" t="inlineStr">
        <is>
          <t>Streaming_Voice_Training_Capacity.docx</t>
        </is>
      </c>
      <c r="J228" s="74" t="inlineStr">
        <is>
          <t>Base canon</t>
        </is>
      </c>
      <c r="K228" s="75" t="n"/>
    </row>
    <row r="229" ht="30" customHeight="1" s="45">
      <c r="A229" s="65" t="inlineStr">
        <is>
          <t>C5.1</t>
        </is>
      </c>
      <c r="B229" s="66" t="inlineStr">
        <is>
          <t>Rules are plain-language, subject- and bindingness-classed</t>
        </is>
      </c>
      <c r="C229" s="66" t="inlineStr">
        <is>
          <t>O9 Orchestration &amp; Governance</t>
        </is>
      </c>
      <c r="D229" s="66" t="inlineStr">
        <is>
          <t>#27 — RULE BOOKS AND TEMPLATES, WRITTEN AND CHANGED BY CEREMONY</t>
        </is>
      </c>
      <c r="E229" s="66" t="inlineStr">
        <is>
          <t>Doc 15</t>
        </is>
      </c>
      <c r="F229" s="73" t="inlineStr">
        <is>
          <t>CANON</t>
        </is>
      </c>
      <c r="G229" s="66" t="n"/>
      <c r="H229" s="66" t="inlineStr">
        <is>
          <t>Mkondo / Northena / Rules Service</t>
        </is>
      </c>
      <c r="I229" s="66" t="inlineStr">
        <is>
          <t>15_Platform_Orchestration_and_Governance_Ceremony.md:185</t>
        </is>
      </c>
      <c r="J229" s="74" t="inlineStr">
        <is>
          <t>Base canon</t>
        </is>
      </c>
      <c r="K229" s="75" t="n"/>
    </row>
    <row r="230" ht="30" customHeight="1" s="45">
      <c r="A230" s="65" t="inlineStr">
        <is>
          <t>C5.2</t>
        </is>
      </c>
      <c r="B230" s="66" t="inlineStr">
        <is>
          <t>The change ceremony is mandatory and in the open</t>
        </is>
      </c>
      <c r="C230" s="66" t="inlineStr">
        <is>
          <t>O9 Orchestration &amp; Governance</t>
        </is>
      </c>
      <c r="D230" s="66" t="inlineStr">
        <is>
          <t>#27 — RULE BOOKS AND TEMPLATES, WRITTEN AND CHANGED BY CEREMONY</t>
        </is>
      </c>
      <c r="E230" s="66" t="inlineStr">
        <is>
          <t>Doc 15</t>
        </is>
      </c>
      <c r="F230" s="73" t="inlineStr">
        <is>
          <t>CANON</t>
        </is>
      </c>
      <c r="G230" s="66" t="n"/>
      <c r="H230" s="66" t="inlineStr">
        <is>
          <t>Mkondo / Northena / Rules Service</t>
        </is>
      </c>
      <c r="I230" s="66" t="inlineStr">
        <is>
          <t>15_Platform_Orchestration_and_Governance_Ceremony.md:187</t>
        </is>
      </c>
      <c r="J230" s="74" t="inlineStr">
        <is>
          <t>Base canon</t>
        </is>
      </c>
      <c r="K230" s="75" t="n"/>
    </row>
    <row r="231" ht="30" customHeight="1" s="45">
      <c r="A231" s="65" t="inlineStr">
        <is>
          <t>C5.3</t>
        </is>
      </c>
      <c r="B231" s="66" t="inlineStr">
        <is>
          <t>Deletion is an authority act of the same shape</t>
        </is>
      </c>
      <c r="C231" s="66" t="inlineStr">
        <is>
          <t>O9 Orchestration &amp; Governance</t>
        </is>
      </c>
      <c r="D231" s="66" t="inlineStr">
        <is>
          <t>#27 — RULE BOOKS AND TEMPLATES, WRITTEN AND CHANGED BY CEREMONY</t>
        </is>
      </c>
      <c r="E231" s="66" t="inlineStr">
        <is>
          <t>Doc 15</t>
        </is>
      </c>
      <c r="F231" s="73" t="inlineStr">
        <is>
          <t>CANON</t>
        </is>
      </c>
      <c r="G231" s="66" t="n"/>
      <c r="H231" s="66" t="inlineStr">
        <is>
          <t>Mkondo / Northena / Rules Service</t>
        </is>
      </c>
      <c r="I231" s="66" t="inlineStr">
        <is>
          <t>15_Platform_Orchestration_and_Governance_Ceremony.md:189</t>
        </is>
      </c>
      <c r="J231" s="74" t="inlineStr">
        <is>
          <t>Base canon</t>
        </is>
      </c>
      <c r="K231" s="75" t="n"/>
    </row>
    <row r="232" ht="30" customHeight="1" s="45">
      <c r="A232" s="65" t="inlineStr">
        <is>
          <t>C5.4</t>
        </is>
      </c>
      <c r="B232" s="66" t="inlineStr">
        <is>
          <t>Every run records the rule version in force</t>
        </is>
      </c>
      <c r="C232" s="66" t="inlineStr">
        <is>
          <t>O9 Orchestration &amp; Governance</t>
        </is>
      </c>
      <c r="D232" s="66" t="inlineStr">
        <is>
          <t>#27 — RULE BOOKS AND TEMPLATES, WRITTEN AND CHANGED BY CEREMONY</t>
        </is>
      </c>
      <c r="E232" s="66" t="inlineStr">
        <is>
          <t>Doc 15</t>
        </is>
      </c>
      <c r="F232" s="73" t="inlineStr">
        <is>
          <t>CANON</t>
        </is>
      </c>
      <c r="G232" s="66" t="n"/>
      <c r="H232" s="66" t="inlineStr">
        <is>
          <t>Mkondo / Northena / Rules Service</t>
        </is>
      </c>
      <c r="I232" s="66" t="inlineStr">
        <is>
          <t>15_Platform_Orchestration_and_Governance_Ceremony.md:191</t>
        </is>
      </c>
      <c r="J232" s="74" t="inlineStr">
        <is>
          <t>Base canon</t>
        </is>
      </c>
      <c r="K232" s="75" t="n"/>
    </row>
    <row r="233" ht="30" customHeight="1" s="45">
      <c r="A233" s="65" t="inlineStr">
        <is>
          <t>C5.5</t>
        </is>
      </c>
      <c r="B233" s="66" t="inlineStr">
        <is>
          <t>Templates are adopted then governed like any rule</t>
        </is>
      </c>
      <c r="C233" s="66" t="inlineStr">
        <is>
          <t>O9 Orchestration &amp; Governance</t>
        </is>
      </c>
      <c r="D233" s="66" t="inlineStr">
        <is>
          <t>#27 — RULE BOOKS AND TEMPLATES, WRITTEN AND CHANGED BY CEREMONY</t>
        </is>
      </c>
      <c r="E233" s="66" t="inlineStr">
        <is>
          <t>Doc 15</t>
        </is>
      </c>
      <c r="F233" s="76" t="inlineStr">
        <is>
          <t>PROPOSED</t>
        </is>
      </c>
      <c r="G233" s="66" t="n"/>
      <c r="H233" s="66" t="inlineStr">
        <is>
          <t>Mkondo / Northena / Rules Service</t>
        </is>
      </c>
      <c r="I233" s="66" t="inlineStr">
        <is>
          <t>15_Platform_Orchestration_and_Governance_Ceremony.md:193</t>
        </is>
      </c>
      <c r="J233" s="74" t="inlineStr">
        <is>
          <t>Base canon</t>
        </is>
      </c>
      <c r="K233" s="75" t="n"/>
    </row>
    <row r="234" ht="30" customHeight="1" s="45">
      <c r="A234" s="65" t="inlineStr">
        <is>
          <t>B5.1</t>
        </is>
      </c>
      <c r="B234" s="66" t="inlineStr">
        <is>
          <t>Every crossing is a registered handoff contract</t>
        </is>
      </c>
      <c r="C234" s="66" t="inlineStr">
        <is>
          <t>O9 Orchestration &amp; Governance</t>
        </is>
      </c>
      <c r="D234" s="66" t="inlineStr">
        <is>
          <t>#32 — WORKLOAD ORCHESTRATION — THE PATH OF SUCCESS FOR A JOB</t>
        </is>
      </c>
      <c r="E234" s="66" t="inlineStr">
        <is>
          <t>Doc 15</t>
        </is>
      </c>
      <c r="F234" s="73" t="inlineStr">
        <is>
          <t>CANON</t>
        </is>
      </c>
      <c r="G234" s="66" t="n"/>
      <c r="H234" s="66" t="inlineStr">
        <is>
          <t>Mkondo / Northena / Rules Service</t>
        </is>
      </c>
      <c r="I234" s="66" t="inlineStr">
        <is>
          <t>15_Platform_Orchestration_and_Governance_Ceremony.md:127</t>
        </is>
      </c>
      <c r="J234" s="74" t="inlineStr">
        <is>
          <t>Base canon</t>
        </is>
      </c>
      <c r="K234" s="75" t="n"/>
    </row>
    <row r="235" ht="30" customHeight="1" s="45">
      <c r="A235" s="65" t="inlineStr">
        <is>
          <t>B5.2</t>
        </is>
      </c>
      <c r="B235" s="66" t="inlineStr">
        <is>
          <t>Evidence crosses only through the matrix, provenance-marked</t>
        </is>
      </c>
      <c r="C235" s="66" t="inlineStr">
        <is>
          <t>O9 Orchestration &amp; Governance</t>
        </is>
      </c>
      <c r="D235" s="66" t="inlineStr">
        <is>
          <t>#32 — WORKLOAD ORCHESTRATION — THE PATH OF SUCCESS FOR A JOB</t>
        </is>
      </c>
      <c r="E235" s="66" t="inlineStr">
        <is>
          <t>Doc 15</t>
        </is>
      </c>
      <c r="F235" s="73" t="inlineStr">
        <is>
          <t>CANON</t>
        </is>
      </c>
      <c r="G235" s="66" t="n"/>
      <c r="H235" s="66" t="inlineStr">
        <is>
          <t>Mkondo / Northena / Rules Service</t>
        </is>
      </c>
      <c r="I235" s="66" t="inlineStr">
        <is>
          <t>15_Platform_Orchestration_and_Governance_Ceremony.md:129</t>
        </is>
      </c>
      <c r="J235" s="74" t="inlineStr">
        <is>
          <t>Base canon</t>
        </is>
      </c>
      <c r="K235" s="75" t="n"/>
    </row>
    <row r="236" ht="30" customHeight="1" s="45">
      <c r="A236" s="65" t="inlineStr">
        <is>
          <t>B5.3</t>
        </is>
      </c>
      <c r="B236" s="66" t="inlineStr">
        <is>
          <t>The objective is frozen against recalibration</t>
        </is>
      </c>
      <c r="C236" s="66" t="inlineStr">
        <is>
          <t>O9 Orchestration &amp; Governance</t>
        </is>
      </c>
      <c r="D236" s="66" t="inlineStr">
        <is>
          <t>#32 — WORKLOAD ORCHESTRATION — THE PATH OF SUCCESS FOR A JOB</t>
        </is>
      </c>
      <c r="E236" s="66" t="inlineStr">
        <is>
          <t>Doc 15</t>
        </is>
      </c>
      <c r="F236" s="73" t="inlineStr">
        <is>
          <t>CANON</t>
        </is>
      </c>
      <c r="G236" s="66" t="n"/>
      <c r="H236" s="66" t="inlineStr">
        <is>
          <t>Mkondo / Northena / Rules Service</t>
        </is>
      </c>
      <c r="I236" s="66" t="inlineStr">
        <is>
          <t>15_Platform_Orchestration_and_Governance_Ceremony.md:131</t>
        </is>
      </c>
      <c r="J236" s="74" t="inlineStr">
        <is>
          <t>Base canon</t>
        </is>
      </c>
      <c r="K236" s="75" t="n"/>
    </row>
    <row r="237" ht="30" customHeight="1" s="45">
      <c r="A237" s="65" t="inlineStr">
        <is>
          <t>B5.4</t>
        </is>
      </c>
      <c r="B237" s="66" t="inlineStr">
        <is>
          <t>The path of success is the composition of contracts for a job class [RULED — best practice, per job class]</t>
        </is>
      </c>
      <c r="C237" s="66" t="inlineStr">
        <is>
          <t>O9 Orchestration &amp; Governance</t>
        </is>
      </c>
      <c r="D237" s="66" t="inlineStr">
        <is>
          <t>#32 — WORKLOAD ORCHESTRATION — THE PATH OF SUCCESS FOR A JOB</t>
        </is>
      </c>
      <c r="E237" s="66" t="inlineStr">
        <is>
          <t>Doc 15</t>
        </is>
      </c>
      <c r="F237" s="66" t="inlineStr">
        <is>
          <t>—</t>
        </is>
      </c>
      <c r="G237" s="66" t="n"/>
      <c r="H237" s="66" t="inlineStr">
        <is>
          <t>Mkondo / Northena / Rules Service</t>
        </is>
      </c>
      <c r="I237" s="66" t="inlineStr">
        <is>
          <t>15_Platform_Orchestration_and_Governance_Ceremony.md:133</t>
        </is>
      </c>
      <c r="J237" s="74" t="inlineStr">
        <is>
          <t>Base canon</t>
        </is>
      </c>
      <c r="K237" s="75" t="n"/>
    </row>
    <row r="238" ht="51.75" customHeight="1" s="45">
      <c r="A238" s="65" t="inlineStr">
        <is>
          <t>RV-1</t>
        </is>
      </c>
      <c r="B238" s="66" t="inlineStr">
        <is>
          <t>citation-existence: Every SHA, file path, ruling id, registry row id, and contract name cited resolves to an existing on-disk object; cited SHAs match the object's actual</t>
        </is>
      </c>
      <c r="C238" s="66" t="inlineStr">
        <is>
          <t>O10 Quality &amp; Evidence</t>
        </is>
      </c>
      <c r="D238" s="66" t="inlineStr">
        <is>
          <t>Doc 19A — Critic Seam, Tier 1 deterministic checks (CANON, ratified 15 Jul 2026)</t>
        </is>
      </c>
      <c r="E238" s="66" t="inlineStr">
        <is>
          <t>Doc 19</t>
        </is>
      </c>
      <c r="F238" s="73" t="inlineStr">
        <is>
          <t>CANON</t>
        </is>
      </c>
      <c r="G238" s="66" t="n"/>
      <c r="H238" s="66" t="inlineStr">
        <is>
          <t>Critic Seam (cross-cutting)</t>
        </is>
      </c>
      <c r="I238" s="66" t="inlineStr">
        <is>
          <t>17_20.md:555</t>
        </is>
      </c>
      <c r="J238" s="74" t="inlineStr">
        <is>
          <t>Base canon</t>
        </is>
      </c>
      <c r="K238" s="75" t="n"/>
    </row>
    <row r="239" ht="30" customHeight="1" s="45">
      <c r="A239" s="65" t="inlineStr">
        <is>
          <t>RV-2</t>
        </is>
      </c>
      <c r="B239" s="66" t="inlineStr">
        <is>
          <t>scope-trace: Every work item traces to an authorizing instrument — a dispatch, a register row, a ruling</t>
        </is>
      </c>
      <c r="C239" s="66" t="inlineStr">
        <is>
          <t>O10 Quality &amp; Evidence</t>
        </is>
      </c>
      <c r="D239" s="66" t="inlineStr">
        <is>
          <t>Doc 19A — Critic Seam, Tier 1 deterministic checks (CANON, ratified 15 Jul 2026)</t>
        </is>
      </c>
      <c r="E239" s="66" t="inlineStr">
        <is>
          <t>Doc 19</t>
        </is>
      </c>
      <c r="F239" s="73" t="inlineStr">
        <is>
          <t>CANON</t>
        </is>
      </c>
      <c r="G239" s="66" t="n"/>
      <c r="H239" s="66" t="inlineStr">
        <is>
          <t>Critic Seam (cross-cutting)</t>
        </is>
      </c>
      <c r="I239" s="66" t="inlineStr">
        <is>
          <t>17_20.md:556</t>
        </is>
      </c>
      <c r="J239" s="74" t="inlineStr">
        <is>
          <t>Base canon</t>
        </is>
      </c>
      <c r="K239" s="75" t="n"/>
    </row>
    <row r="240" ht="39" customHeight="1" s="45">
      <c r="A240" s="65" t="inlineStr">
        <is>
          <t>RV-3</t>
        </is>
      </c>
      <c r="B240" s="66" t="inlineStr">
        <is>
          <t>evidence-class presence: Classed assertions (status, values, verdicts) carry FACT/NORM/DEFAULT or fact/recalled/inferred, matching their class's required form</t>
        </is>
      </c>
      <c r="C240" s="66" t="inlineStr">
        <is>
          <t>O10 Quality &amp; Evidence</t>
        </is>
      </c>
      <c r="D240" s="66" t="inlineStr">
        <is>
          <t>Doc 19A — Critic Seam, Tier 1 deterministic checks (CANON, ratified 15 Jul 2026)</t>
        </is>
      </c>
      <c r="E240" s="66" t="inlineStr">
        <is>
          <t>Doc 19</t>
        </is>
      </c>
      <c r="F240" s="73" t="inlineStr">
        <is>
          <t>CANON</t>
        </is>
      </c>
      <c r="G240" s="66" t="n"/>
      <c r="H240" s="66" t="inlineStr">
        <is>
          <t>Critic Seam (cross-cutting)</t>
        </is>
      </c>
      <c r="I240" s="66" t="inlineStr">
        <is>
          <t>17_20.md:557</t>
        </is>
      </c>
      <c r="J240" s="74" t="inlineStr">
        <is>
          <t>Base canon</t>
        </is>
      </c>
      <c r="K240" s="75" t="n"/>
    </row>
    <row r="241" ht="51.75" customHeight="1" s="45">
      <c r="A241" s="65" t="inlineStr">
        <is>
          <t>RV-4</t>
        </is>
      </c>
      <c r="B241" s="66" t="inlineStr">
        <is>
          <t>schema-completeness: Required sections present — band, escalations, registry rows, self-audit table for proposals; gate roster, artifact SHAs, self-audit table for closes</t>
        </is>
      </c>
      <c r="C241" s="66" t="inlineStr">
        <is>
          <t>O10 Quality &amp; Evidence</t>
        </is>
      </c>
      <c r="D241" s="66" t="inlineStr">
        <is>
          <t>Doc 19A — Critic Seam, Tier 1 deterministic checks (CANON, ratified 15 Jul 2026)</t>
        </is>
      </c>
      <c r="E241" s="66" t="inlineStr">
        <is>
          <t>Doc 19</t>
        </is>
      </c>
      <c r="F241" s="73" t="inlineStr">
        <is>
          <t>CANON</t>
        </is>
      </c>
      <c r="G241" s="66" t="n"/>
      <c r="H241" s="66" t="inlineStr">
        <is>
          <t>Critic Seam (cross-cutting)</t>
        </is>
      </c>
      <c r="I241" s="66" t="inlineStr">
        <is>
          <t>17_20.md:558</t>
        </is>
      </c>
      <c r="J241" s="74" t="inlineStr">
        <is>
          <t>Base canon</t>
        </is>
      </c>
      <c r="K241" s="75" t="n"/>
    </row>
    <row r="242" ht="39" customHeight="1" s="45">
      <c r="A242" s="65" t="inlineStr">
        <is>
          <t>RV-5</t>
        </is>
      </c>
      <c r="B242" s="66" t="inlineStr">
        <is>
          <t>status-truth: Every status claim about an on-disk artifact is cross-checked against actual repository state at submission time</t>
        </is>
      </c>
      <c r="C242" s="66" t="inlineStr">
        <is>
          <t>O10 Quality &amp; Evidence</t>
        </is>
      </c>
      <c r="D242" s="66" t="inlineStr">
        <is>
          <t>Doc 19A — Critic Seam, Tier 1 deterministic checks (CANON, ratified 15 Jul 2026)</t>
        </is>
      </c>
      <c r="E242" s="66" t="inlineStr">
        <is>
          <t>Doc 19</t>
        </is>
      </c>
      <c r="F242" s="73" t="inlineStr">
        <is>
          <t>CANON</t>
        </is>
      </c>
      <c r="G242" s="66" t="n"/>
      <c r="H242" s="66" t="inlineStr">
        <is>
          <t>Critic Seam (cross-cutting)</t>
        </is>
      </c>
      <c r="I242" s="66" t="inlineStr">
        <is>
          <t>17_20.md:559</t>
        </is>
      </c>
      <c r="J242" s="74" t="inlineStr">
        <is>
          <t>Base canon</t>
        </is>
      </c>
      <c r="K242" s="75" t="n"/>
    </row>
    <row r="243" ht="51.75" customHeight="1" s="45">
      <c r="A243" s="65" t="inlineStr">
        <is>
          <t>RV-6</t>
        </is>
      </c>
      <c r="B243" s="66" t="inlineStr">
        <is>
          <t>novelty collision: Proposed function ids, promise ids, and concept labels are matched against the Registry and mandate documents; collisions flag for semantic confirmatio</t>
        </is>
      </c>
      <c r="C243" s="66" t="inlineStr">
        <is>
          <t>O10 Quality &amp; Evidence</t>
        </is>
      </c>
      <c r="D243" s="66" t="inlineStr">
        <is>
          <t>Doc 19A — Critic Seam, Tier 1 deterministic checks (CANON, ratified 15 Jul 2026)</t>
        </is>
      </c>
      <c r="E243" s="66" t="inlineStr">
        <is>
          <t>Doc 19</t>
        </is>
      </c>
      <c r="F243" s="73" t="inlineStr">
        <is>
          <t>CANON</t>
        </is>
      </c>
      <c r="G243" s="66" t="n"/>
      <c r="H243" s="66" t="inlineStr">
        <is>
          <t>Critic Seam (cross-cutting)</t>
        </is>
      </c>
      <c r="I243" s="66" t="inlineStr">
        <is>
          <t>17_20.md:560</t>
        </is>
      </c>
      <c r="J243" s="74" t="inlineStr">
        <is>
          <t>Base canon</t>
        </is>
      </c>
      <c r="K243" s="75" t="n"/>
    </row>
    <row r="244" ht="30" customHeight="1" s="45">
      <c r="A244" s="65" t="inlineStr">
        <is>
          <t>QA-1</t>
        </is>
      </c>
      <c r="B244" s="66" t="inlineStr">
        <is>
          <t>Detect, never decide</t>
        </is>
      </c>
      <c r="C244" s="66" t="inlineStr">
        <is>
          <t>O10 Quality &amp; Evidence</t>
        </is>
      </c>
      <c r="D244" s="66" t="inlineStr">
        <is>
          <t>Doc 19A — Critic Seam, behavioural rules (CANON, ratified 15 Jul 2026)</t>
        </is>
      </c>
      <c r="E244" s="66" t="inlineStr">
        <is>
          <t>Doc 19</t>
        </is>
      </c>
      <c r="F244" s="73" t="inlineStr">
        <is>
          <t>CANON</t>
        </is>
      </c>
      <c r="G244" s="66" t="n"/>
      <c r="H244" s="66" t="inlineStr">
        <is>
          <t>Critic Seam (cross-cutting)</t>
        </is>
      </c>
      <c r="I244" s="66" t="inlineStr">
        <is>
          <t>17_20.md:578</t>
        </is>
      </c>
      <c r="J244" s="74" t="inlineStr">
        <is>
          <t>Base canon</t>
        </is>
      </c>
      <c r="K244" s="75" t="n"/>
    </row>
    <row r="245" ht="30" customHeight="1" s="45">
      <c r="A245" s="65" t="inlineStr">
        <is>
          <t>QA-2</t>
        </is>
      </c>
      <c r="B245" s="66" t="inlineStr">
        <is>
          <t>The format gate</t>
        </is>
      </c>
      <c r="C245" s="66" t="inlineStr">
        <is>
          <t>O10 Quality &amp; Evidence</t>
        </is>
      </c>
      <c r="D245" s="66" t="inlineStr">
        <is>
          <t>Doc 19A — Critic Seam, behavioural rules (CANON, ratified 15 Jul 2026)</t>
        </is>
      </c>
      <c r="E245" s="66" t="inlineStr">
        <is>
          <t>Doc 19</t>
        </is>
      </c>
      <c r="F245" s="73" t="inlineStr">
        <is>
          <t>CANON</t>
        </is>
      </c>
      <c r="G245" s="66" t="n"/>
      <c r="H245" s="66" t="inlineStr">
        <is>
          <t>Critic Seam (cross-cutting)</t>
        </is>
      </c>
      <c r="I245" s="66" t="inlineStr">
        <is>
          <t>17_20.md:580</t>
        </is>
      </c>
      <c r="J245" s="74" t="inlineStr">
        <is>
          <t>Base canon</t>
        </is>
      </c>
      <c r="K245" s="75" t="n"/>
    </row>
    <row r="246" ht="30" customHeight="1" s="45">
      <c r="A246" s="65" t="inlineStr">
        <is>
          <t>QA-3</t>
        </is>
      </c>
      <c r="B246" s="66" t="inlineStr">
        <is>
          <t>No self-review</t>
        </is>
      </c>
      <c r="C246" s="66" t="inlineStr">
        <is>
          <t>O10 Quality &amp; Evidence</t>
        </is>
      </c>
      <c r="D246" s="66" t="inlineStr">
        <is>
          <t>Doc 19A — Critic Seam, behavioural rules (CANON, ratified 15 Jul 2026)</t>
        </is>
      </c>
      <c r="E246" s="66" t="inlineStr">
        <is>
          <t>Doc 19</t>
        </is>
      </c>
      <c r="F246" s="73" t="inlineStr">
        <is>
          <t>CANON</t>
        </is>
      </c>
      <c r="G246" s="66" t="n"/>
      <c r="H246" s="66" t="inlineStr">
        <is>
          <t>Critic Seam (cross-cutting)</t>
        </is>
      </c>
      <c r="I246" s="66" t="inlineStr">
        <is>
          <t>17_20.md:582</t>
        </is>
      </c>
      <c r="J246" s="74" t="inlineStr">
        <is>
          <t>Base canon</t>
        </is>
      </c>
      <c r="K246" s="75" t="n"/>
    </row>
    <row r="247" ht="39" customHeight="1" s="45">
      <c r="A247" s="65" t="inlineStr">
        <is>
          <t>QA-4</t>
        </is>
      </c>
      <c r="B247" s="66" t="inlineStr">
        <is>
          <t>Findings carry the honesty grammar — every finding is evidence-classed and cited; an unclassed finding is itself a finding</t>
        </is>
      </c>
      <c r="C247" s="66" t="inlineStr">
        <is>
          <t>O10 Quality &amp; Evidence</t>
        </is>
      </c>
      <c r="D247" s="66" t="inlineStr">
        <is>
          <t>Doc 19A — Critic Seam, behavioural rules (CANON, ratified 15 Jul 2026)</t>
        </is>
      </c>
      <c r="E247" s="66" t="inlineStr">
        <is>
          <t>Doc 19</t>
        </is>
      </c>
      <c r="F247" s="73" t="inlineStr">
        <is>
          <t>CANON</t>
        </is>
      </c>
      <c r="G247" s="66" t="n"/>
      <c r="H247" s="66" t="inlineStr">
        <is>
          <t>Critic Seam (cross-cutting)</t>
        </is>
      </c>
      <c r="I247" s="66" t="inlineStr">
        <is>
          <t>17_20.md:584</t>
        </is>
      </c>
      <c r="J247" s="74" t="inlineStr">
        <is>
          <t>Base canon</t>
        </is>
      </c>
      <c r="K247" s="75" t="n"/>
    </row>
    <row r="248" ht="30" customHeight="1" s="45">
      <c r="A248" s="65" t="inlineStr">
        <is>
          <t>QA-5</t>
        </is>
      </c>
      <c r="B248" s="66" t="inlineStr">
        <is>
          <t>The layer pays rent</t>
        </is>
      </c>
      <c r="C248" s="66" t="inlineStr">
        <is>
          <t>O10 Quality &amp; Evidence</t>
        </is>
      </c>
      <c r="D248" s="66" t="inlineStr">
        <is>
          <t>Doc 19A — Critic Seam, behavioural rules (CANON, ratified 15 Jul 2026)</t>
        </is>
      </c>
      <c r="E248" s="66" t="inlineStr">
        <is>
          <t>Doc 19</t>
        </is>
      </c>
      <c r="F248" s="73" t="inlineStr">
        <is>
          <t>CANON</t>
        </is>
      </c>
      <c r="G248" s="66" t="n"/>
      <c r="H248" s="66" t="inlineStr">
        <is>
          <t>Critic Seam (cross-cutting)</t>
        </is>
      </c>
      <c r="I248" s="66" t="inlineStr">
        <is>
          <t>17_20.md:586</t>
        </is>
      </c>
      <c r="J248" s="74" t="inlineStr">
        <is>
          <t>Base canon</t>
        </is>
      </c>
      <c r="K248" s="75" t="n"/>
    </row>
    <row r="249" ht="30" customHeight="1" s="45">
      <c r="A249" s="65" t="inlineStr">
        <is>
          <t>QA-6</t>
        </is>
      </c>
      <c r="B249" s="66" t="inlineStr">
        <is>
          <t>Frame authority is untouchable</t>
        </is>
      </c>
      <c r="C249" s="66" t="inlineStr">
        <is>
          <t>O10 Quality &amp; Evidence</t>
        </is>
      </c>
      <c r="D249" s="66" t="inlineStr">
        <is>
          <t>Doc 19A — Critic Seam, behavioural rules (CANON, ratified 15 Jul 2026)</t>
        </is>
      </c>
      <c r="E249" s="66" t="inlineStr">
        <is>
          <t>Doc 19</t>
        </is>
      </c>
      <c r="F249" s="73" t="inlineStr">
        <is>
          <t>CANON</t>
        </is>
      </c>
      <c r="G249" s="66" t="n"/>
      <c r="H249" s="66" t="inlineStr">
        <is>
          <t>Critic Seam (cross-cutting)</t>
        </is>
      </c>
      <c r="I249" s="66" t="inlineStr">
        <is>
          <t>17_20.md:588</t>
        </is>
      </c>
      <c r="J249" s="74" t="inlineStr">
        <is>
          <t>Base canon</t>
        </is>
      </c>
      <c r="K249" s="75" t="n"/>
    </row>
    <row r="250" ht="39" customHeight="1" s="45">
      <c r="A250" s="65" t="inlineStr">
        <is>
          <t>EP-1</t>
        </is>
      </c>
      <c r="B250" s="66" t="inlineStr">
        <is>
          <t>Build the register first — cheapest piece, and it immediately hardens the custody-recall and Model Acceptance sites above</t>
        </is>
      </c>
      <c r="C250" s="66" t="inlineStr">
        <is>
          <t>O10 Quality &amp; Evidence</t>
        </is>
      </c>
      <c r="D250" s="66" t="inlineStr">
        <is>
          <t>Doc 19B — Evidence Protocol (PROPOSED, never confirmed adopted)</t>
        </is>
      </c>
      <c r="E250" s="66" t="inlineStr">
        <is>
          <t>Doc 19</t>
        </is>
      </c>
      <c r="F250" s="76" t="inlineStr">
        <is>
          <t>PROPOSED</t>
        </is>
      </c>
      <c r="G250" s="66" t="n"/>
      <c r="H250" s="66" t="inlineStr">
        <is>
          <t>Critic Seam (cross-cutting)</t>
        </is>
      </c>
      <c r="I250" s="66" t="inlineStr">
        <is>
          <t>17_20.md:646</t>
        </is>
      </c>
      <c r="J250" s="74" t="inlineStr">
        <is>
          <t>Base canon</t>
        </is>
      </c>
      <c r="K250" s="75" t="n"/>
    </row>
    <row r="251" ht="39" customHeight="1" s="45">
      <c r="A251" s="65" t="inlineStr">
        <is>
          <t>EP-2</t>
        </is>
      </c>
      <c r="B251" s="66" t="inlineStr">
        <is>
          <t>Dual-judge scoring (A-2) applies at every named site in §19B.4, plus any future site where a judgement call becomes a published number</t>
        </is>
      </c>
      <c r="C251" s="66" t="inlineStr">
        <is>
          <t>O10 Quality &amp; Evidence</t>
        </is>
      </c>
      <c r="D251" s="66" t="inlineStr">
        <is>
          <t>Doc 19B — Evidence Protocol (PROPOSED, never confirmed adopted)</t>
        </is>
      </c>
      <c r="E251" s="66" t="inlineStr">
        <is>
          <t>Doc 19</t>
        </is>
      </c>
      <c r="F251" s="76" t="inlineStr">
        <is>
          <t>PROPOSED</t>
        </is>
      </c>
      <c r="G251" s="66" t="n"/>
      <c r="H251" s="66" t="inlineStr">
        <is>
          <t>Critic Seam (cross-cutting)</t>
        </is>
      </c>
      <c r="I251" s="66" t="inlineStr">
        <is>
          <t>17_20.md:648</t>
        </is>
      </c>
      <c r="J251" s="74" t="inlineStr">
        <is>
          <t>Base canon</t>
        </is>
      </c>
      <c r="K251" s="75" t="n"/>
    </row>
    <row r="252" ht="51.75" customHeight="1" s="45">
      <c r="A252" s="65" t="inlineStr">
        <is>
          <t>EP-3</t>
        </is>
      </c>
      <c r="B252" s="66" t="inlineStr">
        <is>
          <t>A-4 (claims validation) rides inside this capability, scoped explicitly as validation, never a build gate — its real experiments require real material and naturally seque</t>
        </is>
      </c>
      <c r="C252" s="66" t="inlineStr">
        <is>
          <t>O10 Quality &amp; Evidence</t>
        </is>
      </c>
      <c r="D252" s="66" t="inlineStr">
        <is>
          <t>Doc 19B — Evidence Protocol (PROPOSED, never confirmed adopted)</t>
        </is>
      </c>
      <c r="E252" s="66" t="inlineStr">
        <is>
          <t>Doc 19</t>
        </is>
      </c>
      <c r="F252" s="76" t="inlineStr">
        <is>
          <t>PROPOSED</t>
        </is>
      </c>
      <c r="G252" s="66" t="n"/>
      <c r="H252" s="66" t="inlineStr">
        <is>
          <t>Critic Seam (cross-cutting)</t>
        </is>
      </c>
      <c r="I252" s="66" t="inlineStr">
        <is>
          <t>17_20.md:650</t>
        </is>
      </c>
      <c r="J252" s="74" t="inlineStr">
        <is>
          <t>Base canon</t>
        </is>
      </c>
      <c r="K252" s="75" t="n"/>
    </row>
    <row r="253" ht="51.75" customHeight="1" s="45">
      <c r="A253" s="65" t="inlineStr">
        <is>
          <t>EP-4</t>
        </is>
      </c>
      <c r="B253" s="66" t="inlineStr">
        <is>
          <t xml:space="preserve">Hard ordering constraint, stated by the original proposal: the evidence register and dual-judge protocol must exist before the terminal test runs, or that test's verdict </t>
        </is>
      </c>
      <c r="C253" s="66" t="inlineStr">
        <is>
          <t>O10 Quality &amp; Evidence</t>
        </is>
      </c>
      <c r="D253" s="66" t="inlineStr">
        <is>
          <t>Doc 19B — Evidence Protocol (PROPOSED, never confirmed adopted)</t>
        </is>
      </c>
      <c r="E253" s="66" t="inlineStr">
        <is>
          <t>Doc 19</t>
        </is>
      </c>
      <c r="F253" s="79" t="inlineStr">
        <is>
          <t>OPEN</t>
        </is>
      </c>
      <c r="G253" s="66" t="n"/>
      <c r="H253" s="66" t="inlineStr">
        <is>
          <t>Critic Seam (cross-cutting)</t>
        </is>
      </c>
      <c r="I253" s="66" t="inlineStr">
        <is>
          <t>17_20.md:652</t>
        </is>
      </c>
      <c r="J253" s="74" t="inlineStr">
        <is>
          <t>Base canon</t>
        </is>
      </c>
      <c r="K253" s="75" t="n"/>
    </row>
    <row r="254" ht="51.75" customHeight="1" s="45">
      <c r="A254" s="65" t="inlineStr">
        <is>
          <t>EP-5</t>
        </is>
      </c>
      <c r="B254" s="66" t="inlineStr">
        <is>
          <t>Explicitly not adopted, per the same proposal: the source spec's “insurance telemetry” aside (serves a goal never named) and its internal reduction-skill mandate (process</t>
        </is>
      </c>
      <c r="C254" s="66" t="inlineStr">
        <is>
          <t>O10 Quality &amp; Evidence</t>
        </is>
      </c>
      <c r="D254" s="66" t="inlineStr">
        <is>
          <t>Doc 19B — Evidence Protocol (PROPOSED, never confirmed adopted)</t>
        </is>
      </c>
      <c r="E254" s="66" t="inlineStr">
        <is>
          <t>Doc 19</t>
        </is>
      </c>
      <c r="F254" s="76" t="inlineStr">
        <is>
          <t>PROPOSED</t>
        </is>
      </c>
      <c r="G254" s="66" t="n"/>
      <c r="H254" s="66" t="inlineStr">
        <is>
          <t>Critic Seam (cross-cutting)</t>
        </is>
      </c>
      <c r="I254" s="66" t="inlineStr">
        <is>
          <t>17_20.md:654</t>
        </is>
      </c>
      <c r="J254" s="74" t="inlineStr">
        <is>
          <t>Base canon</t>
        </is>
      </c>
      <c r="K254" s="75" t="n"/>
    </row>
    <row r="255" ht="39" customHeight="1" s="45">
      <c r="A255" s="65" t="inlineStr">
        <is>
          <t>DR-R1</t>
        </is>
      </c>
      <c r="B255" s="66" t="inlineStr">
        <is>
          <t>One backend rendering service (extends the transform-forms / artifact-production family; no sibling): input DeckSpec_v0, output a rendered deck artifa</t>
        </is>
      </c>
      <c r="C255" s="66" t="inlineStr">
        <is>
          <t>O11 Skills &amp; Rendering</t>
        </is>
      </c>
      <c r="D255" s="66" t="inlineStr">
        <is>
          <t>Deck Rendering Engine v1.0</t>
        </is>
      </c>
      <c r="E255" s="66" t="inlineStr">
        <is>
          <t>Deck Engine spec</t>
        </is>
      </c>
      <c r="F255" s="66" t="inlineStr">
        <is>
          <t>OWNER-DIRECTED → CANON (R3/R5/R7/R9 strikeable)</t>
        </is>
      </c>
      <c r="G255" s="66" t="n"/>
      <c r="H255" s="66" t="inlineStr">
        <is>
          <t>Deck Rendering Engine (output layer)</t>
        </is>
      </c>
      <c r="I255" s="66" t="inlineStr">
        <is>
          <t>deck_engine.md</t>
        </is>
      </c>
      <c r="J255" s="74" t="inlineStr">
        <is>
          <t>Base canon</t>
        </is>
      </c>
      <c r="K255" s="75" t="n"/>
    </row>
    <row r="256" ht="30" customHeight="1" s="45">
      <c r="A256" s="65" t="inlineStr">
        <is>
          <t>DR-R10</t>
        </is>
      </c>
      <c r="B256" s="66" t="inlineStr">
        <is>
          <t>STATEMENT UNRECOVERED — extraction artefact (RD-16). Source deck_engine.md not on the ruling desk; restore verbatim from source before verification. Not to be read as the rule.</t>
        </is>
      </c>
      <c r="C256" s="66" t="inlineStr">
        <is>
          <t>O11 Skills &amp; Rendering</t>
        </is>
      </c>
      <c r="D256" s="66" t="inlineStr">
        <is>
          <t>Deck Rendering Engine v1.0</t>
        </is>
      </c>
      <c r="E256" s="66" t="inlineStr">
        <is>
          <t>Deck Engine spec</t>
        </is>
      </c>
      <c r="F256" s="66" t="inlineStr">
        <is>
          <t>OPEN</t>
        </is>
      </c>
      <c r="G256" s="66" t="n"/>
      <c r="H256" s="66" t="inlineStr">
        <is>
          <t>Deck Rendering Engine (output layer)</t>
        </is>
      </c>
      <c r="I256" s="66" t="inlineStr">
        <is>
          <t>deck_engine.md</t>
        </is>
      </c>
      <c r="J256" s="74" t="inlineStr">
        <is>
          <t>Base canon</t>
        </is>
      </c>
      <c r="K256" s="75" t="n"/>
    </row>
    <row r="257" ht="39" customHeight="1" s="45">
      <c r="A257" s="65" t="inlineStr">
        <is>
          <t>DR-R11</t>
        </is>
      </c>
      <c r="B257" s="66" t="inlineStr">
        <is>
          <t>The harvested pattern is acknowledged and bounded: the token-bound deterministic slide template approach is adopted as a PATTERN (proven by an MIT-lic</t>
        </is>
      </c>
      <c r="C257" s="66" t="inlineStr">
        <is>
          <t>O11 Skills &amp; Rendering</t>
        </is>
      </c>
      <c r="D257" s="66" t="inlineStr">
        <is>
          <t>Deck Rendering Engine v1.0</t>
        </is>
      </c>
      <c r="E257" s="66" t="inlineStr">
        <is>
          <t>Deck Engine spec</t>
        </is>
      </c>
      <c r="F257" s="66" t="inlineStr">
        <is>
          <t>OWNER-DIRECTED → CANON (R3/R5/R7/R9 strikeable)</t>
        </is>
      </c>
      <c r="G257" s="66" t="n"/>
      <c r="H257" s="66" t="inlineStr">
        <is>
          <t>Deck Rendering Engine (output layer)</t>
        </is>
      </c>
      <c r="I257" s="66" t="inlineStr">
        <is>
          <t>deck_engine.md</t>
        </is>
      </c>
      <c r="J257" s="74" t="inlineStr">
        <is>
          <t>Base canon</t>
        </is>
      </c>
      <c r="K257" s="75" t="n"/>
    </row>
    <row r="258" ht="30" customHeight="1" s="45">
      <c r="A258" s="65" t="inlineStr">
        <is>
          <t>DR-R12</t>
        </is>
      </c>
      <c r="B258" s="66" t="inlineStr">
        <is>
          <t>Metering: tokens-per-deck (spec authoring only) and renders-per-deck land in the Cost Ledger with {deck_id}</t>
        </is>
      </c>
      <c r="C258" s="66" t="inlineStr">
        <is>
          <t>O11 Skills &amp; Rendering</t>
        </is>
      </c>
      <c r="D258" s="66" t="inlineStr">
        <is>
          <t>Deck Rendering Engine v1.0</t>
        </is>
      </c>
      <c r="E258" s="66" t="inlineStr">
        <is>
          <t>Deck Engine spec</t>
        </is>
      </c>
      <c r="F258" s="66" t="inlineStr">
        <is>
          <t>OWNER-DIRECTED → CANON (R3/R5/R7/R9 strikeable)</t>
        </is>
      </c>
      <c r="G258" s="66" t="n"/>
      <c r="H258" s="66" t="inlineStr">
        <is>
          <t>Deck Rendering Engine (output layer)</t>
        </is>
      </c>
      <c r="I258" s="66" t="inlineStr">
        <is>
          <t>deck_engine.md</t>
        </is>
      </c>
      <c r="J258" s="74" t="inlineStr">
        <is>
          <t>Base canon</t>
        </is>
      </c>
      <c r="K258" s="75" t="n"/>
    </row>
    <row r="259" ht="30" customHeight="1" s="45">
      <c r="A259" s="65" t="inlineStr">
        <is>
          <t>DR-R13</t>
        </is>
      </c>
      <c r="B259" s="66" t="inlineStr">
        <is>
          <t>STATEMENT UNRECOVERED — extraction artefact (RD-16). Source deck_engine.md not on the ruling desk; restore verbatim from source before verification. Not to be read as the rule.</t>
        </is>
      </c>
      <c r="C259" s="66" t="inlineStr">
        <is>
          <t>O11 Skills &amp; Rendering</t>
        </is>
      </c>
      <c r="D259" s="66" t="inlineStr">
        <is>
          <t>Deck Rendering Engine v1.0</t>
        </is>
      </c>
      <c r="E259" s="66" t="inlineStr">
        <is>
          <t>Deck Engine spec</t>
        </is>
      </c>
      <c r="F259" s="66" t="inlineStr">
        <is>
          <t>OPEN</t>
        </is>
      </c>
      <c r="G259" s="66" t="n"/>
      <c r="H259" s="66" t="inlineStr">
        <is>
          <t>Deck Rendering Engine (output layer)</t>
        </is>
      </c>
      <c r="I259" s="66" t="inlineStr">
        <is>
          <t>deck_engine.md</t>
        </is>
      </c>
      <c r="J259" s="74" t="inlineStr">
        <is>
          <t>Base canon</t>
        </is>
      </c>
      <c r="K259" s="75" t="n"/>
    </row>
    <row r="260" ht="39" customHeight="1" s="45">
      <c r="A260" s="65" t="inlineStr">
        <is>
          <t>DR-R14</t>
        </is>
      </c>
      <c r="B260" s="66" t="inlineStr">
        <is>
          <t>Backend-only, parallel-safe (the Memory-build pattern): may run beside the current fidelity cycles without touching them</t>
        </is>
      </c>
      <c r="C260" s="66" t="inlineStr">
        <is>
          <t>O11 Skills &amp; Rendering</t>
        </is>
      </c>
      <c r="D260" s="66" t="inlineStr">
        <is>
          <t>Deck Rendering Engine v1.0</t>
        </is>
      </c>
      <c r="E260" s="66" t="inlineStr">
        <is>
          <t>Deck Engine spec</t>
        </is>
      </c>
      <c r="F260" s="66" t="inlineStr">
        <is>
          <t>OWNER-DIRECTED → CANON (R3/R5/R7/R9 strikeable)</t>
        </is>
      </c>
      <c r="G260" s="66" t="n"/>
      <c r="H260" s="66" t="inlineStr">
        <is>
          <t>Deck Rendering Engine (output layer)</t>
        </is>
      </c>
      <c r="I260" s="66" t="inlineStr">
        <is>
          <t>deck_engine.md</t>
        </is>
      </c>
      <c r="J260" s="74" t="inlineStr">
        <is>
          <t>Base canon</t>
        </is>
      </c>
      <c r="K260" s="75" t="n"/>
    </row>
    <row r="261" ht="30" customHeight="1" s="45">
      <c r="A261" s="65" t="inlineStr">
        <is>
          <t>DR-R2</t>
        </is>
      </c>
      <c r="B261" s="66" t="inlineStr">
        <is>
          <t>Determinism is a contract: identical (spec, token version, engine version) MUST produce byte-identical output</t>
        </is>
      </c>
      <c r="C261" s="66" t="inlineStr">
        <is>
          <t>O11 Skills &amp; Rendering</t>
        </is>
      </c>
      <c r="D261" s="66" t="inlineStr">
        <is>
          <t>Deck Rendering Engine v1.0</t>
        </is>
      </c>
      <c r="E261" s="66" t="inlineStr">
        <is>
          <t>Deck Engine spec</t>
        </is>
      </c>
      <c r="F261" s="66" t="inlineStr">
        <is>
          <t>OWNER-DIRECTED → CANON (R3/R5/R7/R9 strikeable)</t>
        </is>
      </c>
      <c r="G261" s="66" t="n"/>
      <c r="H261" s="66" t="inlineStr">
        <is>
          <t>Deck Rendering Engine (output layer)</t>
        </is>
      </c>
      <c r="I261" s="66" t="inlineStr">
        <is>
          <t>deck_engine.md</t>
        </is>
      </c>
      <c r="J261" s="74" t="inlineStr">
        <is>
          <t>Base canon</t>
        </is>
      </c>
      <c r="K261" s="75" t="n"/>
    </row>
    <row r="262" ht="39" customHeight="1" s="45">
      <c r="A262" s="65" t="inlineStr">
        <is>
          <t>DR-R3</t>
        </is>
      </c>
      <c r="B262" s="66" t="inlineStr">
        <is>
          <t>Charts render as engine-generated SVG from plate law — no client-side charting runtime in static output (runtime variance breaks DR-R2)</t>
        </is>
      </c>
      <c r="C262" s="66" t="inlineStr">
        <is>
          <t>O11 Skills &amp; Rendering</t>
        </is>
      </c>
      <c r="D262" s="66" t="inlineStr">
        <is>
          <t>Deck Rendering Engine v1.0</t>
        </is>
      </c>
      <c r="E262" s="66" t="inlineStr">
        <is>
          <t>Deck Engine spec</t>
        </is>
      </c>
      <c r="F262" s="66" t="inlineStr">
        <is>
          <t>OWNER-DIRECTED → CANON (R3/R5/R7/R9 strikeable)</t>
        </is>
      </c>
      <c r="G262" s="66" t="n"/>
      <c r="H262" s="66" t="inlineStr">
        <is>
          <t>Deck Rendering Engine (output layer)</t>
        </is>
      </c>
      <c r="I262" s="66" t="inlineStr">
        <is>
          <t>deck_engine.md</t>
        </is>
      </c>
      <c r="J262" s="74" t="inlineStr">
        <is>
          <t>Base canon</t>
        </is>
      </c>
      <c r="K262" s="75" t="n"/>
    </row>
    <row r="263" ht="39" customHeight="1" s="45">
      <c r="A263" s="65" t="inlineStr">
        <is>
          <t>DR-R4</t>
        </is>
      </c>
      <c r="B263" s="66" t="inlineStr">
        <is>
          <t xml:space="preserve">DeckSpec_v0 — a frozen contract (it crosses the application boundary: the executive app and OS paths both submit it; freeze argued on D4b at Stage A, </t>
        </is>
      </c>
      <c r="C263" s="66" t="inlineStr">
        <is>
          <t>O11 Skills &amp; Rendering</t>
        </is>
      </c>
      <c r="D263" s="66" t="inlineStr">
        <is>
          <t>Deck Rendering Engine v1.0</t>
        </is>
      </c>
      <c r="E263" s="66" t="inlineStr">
        <is>
          <t>Deck Engine spec</t>
        </is>
      </c>
      <c r="F263" s="66" t="inlineStr">
        <is>
          <t>OWNER-DIRECTED → CANON (R3/R5/R7/R9 strikeable)</t>
        </is>
      </c>
      <c r="G263" s="66" t="n"/>
      <c r="H263" s="66" t="inlineStr">
        <is>
          <t>Deck Rendering Engine (output layer)</t>
        </is>
      </c>
      <c r="I263" s="66" t="inlineStr">
        <is>
          <t>deck_engine.md</t>
        </is>
      </c>
      <c r="J263" s="74" t="inlineStr">
        <is>
          <t>Base canon</t>
        </is>
      </c>
      <c r="K263" s="75" t="n"/>
    </row>
    <row r="264" ht="30" customHeight="1" s="45">
      <c r="A264" s="65" t="inlineStr">
        <is>
          <t>DR-R5</t>
        </is>
      </c>
      <c r="B264" s="66" t="inlineStr">
        <is>
          <t>Validation is fail-closed with enumerated errors</t>
        </is>
      </c>
      <c r="C264" s="66" t="inlineStr">
        <is>
          <t>O11 Skills &amp; Rendering</t>
        </is>
      </c>
      <c r="D264" s="66" t="inlineStr">
        <is>
          <t>Deck Rendering Engine v1.0</t>
        </is>
      </c>
      <c r="E264" s="66" t="inlineStr">
        <is>
          <t>Deck Engine spec</t>
        </is>
      </c>
      <c r="F264" s="66" t="inlineStr">
        <is>
          <t>OWNER-DIRECTED → CANON (R3/R5/R7/R9 strikeable)</t>
        </is>
      </c>
      <c r="G264" s="66" t="n"/>
      <c r="H264" s="66" t="inlineStr">
        <is>
          <t>Deck Rendering Engine (output layer)</t>
        </is>
      </c>
      <c r="I264" s="66" t="inlineStr">
        <is>
          <t>deck_engine.md</t>
        </is>
      </c>
      <c r="J264" s="74" t="inlineStr">
        <is>
          <t>Base canon</t>
        </is>
      </c>
      <c r="K264" s="75" t="n"/>
    </row>
    <row r="265" ht="30" customHeight="1" s="45">
      <c r="A265" s="65" t="inlineStr">
        <is>
          <t>DR-R6</t>
        </is>
      </c>
      <c r="B265" s="66" t="inlineStr">
        <is>
          <t>The engine, not the author, guarantees:</t>
        </is>
      </c>
      <c r="C265" s="66" t="inlineStr">
        <is>
          <t>O11 Skills &amp; Rendering</t>
        </is>
      </c>
      <c r="D265" s="66" t="inlineStr">
        <is>
          <t>Deck Rendering Engine v1.0</t>
        </is>
      </c>
      <c r="E265" s="66" t="inlineStr">
        <is>
          <t>Deck Engine spec</t>
        </is>
      </c>
      <c r="F265" s="66" t="inlineStr">
        <is>
          <t>OWNER-DIRECTED → CANON (R3/R5/R7/R9 strikeable)</t>
        </is>
      </c>
      <c r="G265" s="66" t="n"/>
      <c r="H265" s="66" t="inlineStr">
        <is>
          <t>Deck Rendering Engine (output layer)</t>
        </is>
      </c>
      <c r="I265" s="66" t="inlineStr">
        <is>
          <t>deck_engine.md</t>
        </is>
      </c>
      <c r="J265" s="74" t="inlineStr">
        <is>
          <t>Base canon</t>
        </is>
      </c>
      <c r="K265" s="75" t="n"/>
    </row>
    <row r="266" ht="39" customHeight="1" s="45">
      <c r="A266" s="65" t="inlineStr">
        <is>
          <t>DR-R7</t>
        </is>
      </c>
      <c r="B266" s="66" t="inlineStr">
        <is>
          <t>Mechanical lint (advisory, rendered into the production record, never blocking): title sentence-form check, one-plate-per-slide, ≤2-line title at regi</t>
        </is>
      </c>
      <c r="C266" s="66" t="inlineStr">
        <is>
          <t>O11 Skills &amp; Rendering</t>
        </is>
      </c>
      <c r="D266" s="66" t="inlineStr">
        <is>
          <t>Deck Rendering Engine v1.0</t>
        </is>
      </c>
      <c r="E266" s="66" t="inlineStr">
        <is>
          <t>Deck Engine spec</t>
        </is>
      </c>
      <c r="F266" s="66" t="inlineStr">
        <is>
          <t>OWNER-DIRECTED → CANON (R3/R5/R7/R9 strikeable)</t>
        </is>
      </c>
      <c r="G266" s="66" t="n"/>
      <c r="H266" s="66" t="inlineStr">
        <is>
          <t>Deck Rendering Engine (output layer)</t>
        </is>
      </c>
      <c r="I266" s="66" t="inlineStr">
        <is>
          <t>deck_engine.md</t>
        </is>
      </c>
      <c r="J266" s="74" t="inlineStr">
        <is>
          <t>Base canon</t>
        </is>
      </c>
      <c r="K266" s="75" t="n"/>
    </row>
    <row r="267" ht="39" customHeight="1" s="45">
      <c r="A267" s="65" t="inlineStr">
        <is>
          <t>DR-R8</t>
        </is>
      </c>
      <c r="B267" s="66" t="inlineStr">
        <is>
          <t>Token sets are versioned artifacts extracted from the frontend file of record, extended per register (status family, ramps, divider motif) and ratifie</t>
        </is>
      </c>
      <c r="C267" s="66" t="inlineStr">
        <is>
          <t>O11 Skills &amp; Rendering</t>
        </is>
      </c>
      <c r="D267" s="66" t="inlineStr">
        <is>
          <t>Deck Rendering Engine v1.0</t>
        </is>
      </c>
      <c r="E267" s="66" t="inlineStr">
        <is>
          <t>Deck Engine spec</t>
        </is>
      </c>
      <c r="F267" s="66" t="inlineStr">
        <is>
          <t>OWNER-DIRECTED → CANON (R3/R5/R7/R9 strikeable)</t>
        </is>
      </c>
      <c r="G267" s="66" t="n"/>
      <c r="H267" s="66" t="inlineStr">
        <is>
          <t>Deck Rendering Engine (output layer)</t>
        </is>
      </c>
      <c r="I267" s="66" t="inlineStr">
        <is>
          <t>deck_engine.md</t>
        </is>
      </c>
      <c r="J267" s="74" t="inlineStr">
        <is>
          <t>Base canon</t>
        </is>
      </c>
      <c r="K267" s="75" t="n"/>
    </row>
    <row r="268" ht="39" customHeight="1" s="45">
      <c r="A268" s="65" t="inlineStr">
        <is>
          <t>DR-R9</t>
        </is>
      </c>
      <c r="B268" s="66" t="inlineStr">
        <is>
          <t xml:space="preserve">Delivery: HTML is first-class (crisp, immediate, shareable); PDF via the print pipeline from the same HTML (print stylesheet per register — furniture </t>
        </is>
      </c>
      <c r="C268" s="66" t="inlineStr">
        <is>
          <t>O11 Skills &amp; Rendering</t>
        </is>
      </c>
      <c r="D268" s="66" t="inlineStr">
        <is>
          <t>Deck Rendering Engine v1.0</t>
        </is>
      </c>
      <c r="E268" s="66" t="inlineStr">
        <is>
          <t>Deck Engine spec</t>
        </is>
      </c>
      <c r="F268" s="66" t="inlineStr">
        <is>
          <t>OWNER-DIRECTED → CANON (R3/R5/R7/R9 strikeable)</t>
        </is>
      </c>
      <c r="G268" s="66" t="n"/>
      <c r="H268" s="66" t="inlineStr">
        <is>
          <t>Deck Rendering Engine (output layer)</t>
        </is>
      </c>
      <c r="I268" s="66" t="inlineStr">
        <is>
          <t>deck_engine.md</t>
        </is>
      </c>
      <c r="J268" s="74" t="inlineStr">
        <is>
          <t>Base canon</t>
        </is>
      </c>
      <c r="K268" s="75" t="n"/>
    </row>
    <row r="269" ht="30" customHeight="1" s="45">
      <c r="A269" s="65" t="inlineStr">
        <is>
          <t>A18.1</t>
        </is>
      </c>
      <c r="B269" s="66" t="inlineStr">
        <is>
          <t>The provisioning record, reused verbatim</t>
        </is>
      </c>
      <c r="C269" s="66" t="inlineStr">
        <is>
          <t>O11 Skills &amp; Rendering</t>
        </is>
      </c>
      <c r="D269" s="66" t="inlineStr">
        <is>
          <t>Doc 18 — Callable Skill Files</t>
        </is>
      </c>
      <c r="E269" s="66" t="inlineStr">
        <is>
          <t>Doc 18</t>
        </is>
      </c>
      <c r="F269" s="73" t="inlineStr">
        <is>
          <t>CANON</t>
        </is>
      </c>
      <c r="G269" s="66" t="n"/>
      <c r="H269" s="66" t="inlineStr">
        <is>
          <t>Skills layer (cross-cutting)</t>
        </is>
      </c>
      <c r="I269" s="66" t="inlineStr">
        <is>
          <t>17_20.md:437</t>
        </is>
      </c>
      <c r="J269" s="74" t="inlineStr">
        <is>
          <t>Base canon</t>
        </is>
      </c>
      <c r="K269" s="75" t="n"/>
    </row>
    <row r="270" ht="30" customHeight="1" s="45">
      <c r="A270" s="65" t="inlineStr">
        <is>
          <t>A18.2</t>
        </is>
      </c>
      <c r="B270" s="66" t="inlineStr">
        <is>
          <t>The slice freezes; it never edits</t>
        </is>
      </c>
      <c r="C270" s="66" t="inlineStr">
        <is>
          <t>O11 Skills &amp; Rendering</t>
        </is>
      </c>
      <c r="D270" s="66" t="inlineStr">
        <is>
          <t>Doc 18 — Callable Skill Files</t>
        </is>
      </c>
      <c r="E270" s="66" t="inlineStr">
        <is>
          <t>Doc 18</t>
        </is>
      </c>
      <c r="F270" s="73" t="inlineStr">
        <is>
          <t>CANON</t>
        </is>
      </c>
      <c r="G270" s="66" t="n"/>
      <c r="H270" s="66" t="inlineStr">
        <is>
          <t>Skills layer (cross-cutting)</t>
        </is>
      </c>
      <c r="I270" s="66" t="inlineStr">
        <is>
          <t>17_20.md:451</t>
        </is>
      </c>
      <c r="J270" s="74" t="inlineStr">
        <is>
          <t>Base canon</t>
        </is>
      </c>
      <c r="K270" s="75" t="n"/>
    </row>
    <row r="271" ht="30" customHeight="1" s="45">
      <c r="A271" s="65" t="inlineStr">
        <is>
          <t>A18.3</t>
        </is>
      </c>
      <c r="B271" s="66" t="inlineStr">
        <is>
          <t>Governance rides every response, not just the first one</t>
        </is>
      </c>
      <c r="C271" s="66" t="inlineStr">
        <is>
          <t>O11 Skills &amp; Rendering</t>
        </is>
      </c>
      <c r="D271" s="66" t="inlineStr">
        <is>
          <t>Doc 18 — Callable Skill Files</t>
        </is>
      </c>
      <c r="E271" s="66" t="inlineStr">
        <is>
          <t>Doc 18</t>
        </is>
      </c>
      <c r="F271" s="73" t="inlineStr">
        <is>
          <t>CANON</t>
        </is>
      </c>
      <c r="G271" s="66" t="n"/>
      <c r="H271" s="66" t="inlineStr">
        <is>
          <t>Skills layer (cross-cutting)</t>
        </is>
      </c>
      <c r="I271" s="66" t="inlineStr">
        <is>
          <t>17_20.md:455</t>
        </is>
      </c>
      <c r="J271" s="74" t="inlineStr">
        <is>
          <t>Base canon</t>
        </is>
      </c>
      <c r="K271" s="75" t="n"/>
    </row>
    <row r="272" ht="30" customHeight="1" s="45">
      <c r="A272" s="65" t="inlineStr">
        <is>
          <t>A18.4</t>
        </is>
      </c>
      <c r="B272" s="66" t="inlineStr">
        <is>
          <t>Below the floor is a refusal, never a degraded answer</t>
        </is>
      </c>
      <c r="C272" s="66" t="inlineStr">
        <is>
          <t>O11 Skills &amp; Rendering</t>
        </is>
      </c>
      <c r="D272" s="66" t="inlineStr">
        <is>
          <t>Doc 18 — Callable Skill Files</t>
        </is>
      </c>
      <c r="E272" s="66" t="inlineStr">
        <is>
          <t>Doc 18</t>
        </is>
      </c>
      <c r="F272" s="73" t="inlineStr">
        <is>
          <t>CANON</t>
        </is>
      </c>
      <c r="G272" s="66" t="n"/>
      <c r="H272" s="66" t="inlineStr">
        <is>
          <t>Skills layer (cross-cutting)</t>
        </is>
      </c>
      <c r="I272" s="66" t="inlineStr">
        <is>
          <t>17_20.md:459</t>
        </is>
      </c>
      <c r="J272" s="74" t="inlineStr">
        <is>
          <t>Base canon</t>
        </is>
      </c>
      <c r="K272" s="75" t="n"/>
    </row>
    <row r="273" ht="30" customHeight="1" s="45">
      <c r="A273" s="65" t="inlineStr">
        <is>
          <t>A18.5</t>
        </is>
      </c>
      <c r="B273" s="66" t="inlineStr">
        <is>
          <t>Scope is enforced server-side, not by client discipline</t>
        </is>
      </c>
      <c r="C273" s="66" t="inlineStr">
        <is>
          <t>O11 Skills &amp; Rendering</t>
        </is>
      </c>
      <c r="D273" s="66" t="inlineStr">
        <is>
          <t>Doc 18 — Callable Skill Files</t>
        </is>
      </c>
      <c r="E273" s="66" t="inlineStr">
        <is>
          <t>Doc 18</t>
        </is>
      </c>
      <c r="F273" s="73" t="inlineStr">
        <is>
          <t>CANON</t>
        </is>
      </c>
      <c r="G273" s="66" t="n"/>
      <c r="H273" s="66" t="inlineStr">
        <is>
          <t>Skills layer (cross-cutting)</t>
        </is>
      </c>
      <c r="I273" s="66" t="inlineStr">
        <is>
          <t>17_20.md:463</t>
        </is>
      </c>
      <c r="J273" s="74" t="inlineStr">
        <is>
          <t>Base canon</t>
        </is>
      </c>
      <c r="K273" s="75" t="n"/>
    </row>
    <row r="274" ht="30" customHeight="1" s="45">
      <c r="A274" s="65" t="inlineStr">
        <is>
          <t>A18.6</t>
        </is>
      </c>
      <c r="B274" s="66" t="inlineStr">
        <is>
          <t>Async delivery, if fresh extraction ever backs a skill</t>
        </is>
      </c>
      <c r="C274" s="66" t="inlineStr">
        <is>
          <t>O11 Skills &amp; Rendering</t>
        </is>
      </c>
      <c r="D274" s="66" t="inlineStr">
        <is>
          <t>Doc 18 — Callable Skill Files</t>
        </is>
      </c>
      <c r="E274" s="66" t="inlineStr">
        <is>
          <t>Doc 18</t>
        </is>
      </c>
      <c r="F274" s="76" t="inlineStr">
        <is>
          <t>PROPOSED</t>
        </is>
      </c>
      <c r="G274" s="66" t="n"/>
      <c r="H274" s="66" t="inlineStr">
        <is>
          <t>Skills layer (cross-cutting)</t>
        </is>
      </c>
      <c r="I274" s="66" t="inlineStr">
        <is>
          <t>17_20.md:467</t>
        </is>
      </c>
      <c r="J274" s="74" t="inlineStr">
        <is>
          <t>Base canon</t>
        </is>
      </c>
      <c r="K274" s="75" t="n"/>
    </row>
    <row r="275" ht="30" customHeight="1" s="45">
      <c r="A275" s="65" t="inlineStr">
        <is>
          <t>A18.7</t>
        </is>
      </c>
      <c r="B275" s="66" t="inlineStr">
        <is>
          <t>The concept is owner-confirmed; its adoption into this canon is not inherited</t>
        </is>
      </c>
      <c r="C275" s="66" t="inlineStr">
        <is>
          <t>O11 Skills &amp; Rendering</t>
        </is>
      </c>
      <c r="D275" s="66" t="inlineStr">
        <is>
          <t>Doc 18 — Callable Skill Files</t>
        </is>
      </c>
      <c r="E275" s="66" t="inlineStr">
        <is>
          <t>Doc 18</t>
        </is>
      </c>
      <c r="F275" s="77" t="inlineStr">
        <is>
          <t>RULED</t>
        </is>
      </c>
      <c r="G275" s="66" t="n"/>
      <c r="H275" s="66" t="inlineStr">
        <is>
          <t>Skills layer (cross-cutting)</t>
        </is>
      </c>
      <c r="I275" s="66" t="inlineStr">
        <is>
          <t>17_20.md:473</t>
        </is>
      </c>
      <c r="J275" s="74" t="inlineStr">
        <is>
          <t>Base canon</t>
        </is>
      </c>
      <c r="K275" s="75" t="n"/>
    </row>
    <row r="276" ht="30" customHeight="1" s="45">
      <c r="A276" s="65" t="inlineStr">
        <is>
          <t>A18.8</t>
        </is>
      </c>
      <c r="B276" s="66" t="inlineStr">
        <is>
          <t>Complete donor code exists; it is not in this build</t>
        </is>
      </c>
      <c r="C276" s="66" t="inlineStr">
        <is>
          <t>O11 Skills &amp; Rendering</t>
        </is>
      </c>
      <c r="D276" s="66" t="inlineStr">
        <is>
          <t>Doc 18 — Callable Skill Files</t>
        </is>
      </c>
      <c r="E276" s="66" t="inlineStr">
        <is>
          <t>Doc 18</t>
        </is>
      </c>
      <c r="F276" s="79" t="inlineStr">
        <is>
          <t>OPEN</t>
        </is>
      </c>
      <c r="G276" s="66" t="n"/>
      <c r="H276" s="66" t="inlineStr">
        <is>
          <t>Skills layer (cross-cutting)</t>
        </is>
      </c>
      <c r="I276" s="66" t="inlineStr">
        <is>
          <t>17_20.md:477</t>
        </is>
      </c>
      <c r="J276" s="74" t="inlineStr">
        <is>
          <t>Base canon</t>
        </is>
      </c>
      <c r="K276" s="75" t="n"/>
    </row>
    <row r="277" ht="30" customHeight="1" s="45">
      <c r="A277" s="65" t="inlineStr">
        <is>
          <t>ROC-1</t>
        </is>
      </c>
      <c r="B277" s="66" t="inlineStr">
        <is>
          <t>Definition of a rule — addressable, a requirement not an explanation, falsifiable</t>
        </is>
      </c>
      <c r="C277" s="66" t="inlineStr">
        <is>
          <t>O12 Rule Governance</t>
        </is>
      </c>
      <c r="D277" s="66" t="inlineStr">
        <is>
          <t>rule_criteria_spec_v1</t>
        </is>
      </c>
      <c r="E277" s="66" t="inlineStr">
        <is>
          <t>ROC spec</t>
        </is>
      </c>
      <c r="F277" s="76" t="inlineStr">
        <is>
          <t>PROPOSED (pending ratification)</t>
        </is>
      </c>
      <c r="G277" s="66" t="n"/>
      <c r="H277" s="66" t="inlineStr">
        <is>
          <t>Rules Service</t>
        </is>
      </c>
      <c r="I277" s="66" t="inlineStr">
        <is>
          <t>rule_criteria_spec_v1</t>
        </is>
      </c>
      <c r="J277" s="74" t="inlineStr">
        <is>
          <t>Base canon</t>
        </is>
      </c>
      <c r="K277" s="75" t="n"/>
    </row>
    <row r="278" ht="30" customHeight="1" s="45">
      <c r="A278" s="65" t="inlineStr">
        <is>
          <t>ROC-10</t>
        </is>
      </c>
      <c r="B278" s="66" t="inlineStr">
        <is>
          <t>A single standing Rule Registry with the required fields per rule</t>
        </is>
      </c>
      <c r="C278" s="66" t="inlineStr">
        <is>
          <t>O12 Rule Governance</t>
        </is>
      </c>
      <c r="D278" s="66" t="inlineStr">
        <is>
          <t>rule_criteria_spec_v1</t>
        </is>
      </c>
      <c r="E278" s="66" t="inlineStr">
        <is>
          <t>ROC spec</t>
        </is>
      </c>
      <c r="F278" s="76" t="inlineStr">
        <is>
          <t>PROPOSED (pending ratification)</t>
        </is>
      </c>
      <c r="G278" s="66" t="n"/>
      <c r="H278" s="66" t="inlineStr">
        <is>
          <t>Rules Service</t>
        </is>
      </c>
      <c r="I278" s="66" t="inlineStr">
        <is>
          <t>rule_criteria_spec_v1</t>
        </is>
      </c>
      <c r="J278" s="74" t="inlineStr">
        <is>
          <t>Base canon</t>
        </is>
      </c>
      <c r="K278" s="75" t="n"/>
    </row>
    <row r="279" ht="30" customHeight="1" s="45">
      <c r="A279" s="65" t="inlineStr">
        <is>
          <t>ROC-11</t>
        </is>
      </c>
      <c r="B279" s="66" t="inlineStr">
        <is>
          <t>Registry is append-only on the Ledger's custody discipline</t>
        </is>
      </c>
      <c r="C279" s="66" t="inlineStr">
        <is>
          <t>O12 Rule Governance</t>
        </is>
      </c>
      <c r="D279" s="66" t="inlineStr">
        <is>
          <t>rule_criteria_spec_v1</t>
        </is>
      </c>
      <c r="E279" s="66" t="inlineStr">
        <is>
          <t>ROC spec</t>
        </is>
      </c>
      <c r="F279" s="76" t="inlineStr">
        <is>
          <t>PROPOSED (pending ratification)</t>
        </is>
      </c>
      <c r="G279" s="66" t="n"/>
      <c r="H279" s="66" t="inlineStr">
        <is>
          <t>Rules Service</t>
        </is>
      </c>
      <c r="I279" s="66" t="inlineStr">
        <is>
          <t>rule_criteria_spec_v1</t>
        </is>
      </c>
      <c r="J279" s="74" t="inlineStr">
        <is>
          <t>Base canon</t>
        </is>
      </c>
      <c r="K279" s="75" t="n"/>
    </row>
    <row r="280" ht="30" customHeight="1" s="45">
      <c r="A280" s="65" t="inlineStr">
        <is>
          <t>ROC-2</t>
        </is>
      </c>
      <c r="B280" s="66" t="inlineStr">
        <is>
          <t>Rule proliferation forbidden — cite, never reissue, an already-ratified rule</t>
        </is>
      </c>
      <c r="C280" s="66" t="inlineStr">
        <is>
          <t>O12 Rule Governance</t>
        </is>
      </c>
      <c r="D280" s="66" t="inlineStr">
        <is>
          <t>rule_criteria_spec_v1</t>
        </is>
      </c>
      <c r="E280" s="66" t="inlineStr">
        <is>
          <t>ROC spec</t>
        </is>
      </c>
      <c r="F280" s="76" t="inlineStr">
        <is>
          <t>PROPOSED (pending ratification)</t>
        </is>
      </c>
      <c r="G280" s="66" t="n"/>
      <c r="H280" s="66" t="inlineStr">
        <is>
          <t>Rules Service</t>
        </is>
      </c>
      <c r="I280" s="66" t="inlineStr">
        <is>
          <t>rule_criteria_spec_v1</t>
        </is>
      </c>
      <c r="J280" s="74" t="inlineStr">
        <is>
          <t>Base canon</t>
        </is>
      </c>
      <c r="K280" s="75" t="n"/>
    </row>
    <row r="281" ht="30" customHeight="1" s="45">
      <c r="A281" s="65" t="inlineStr">
        <is>
          <t>ROC-3</t>
        </is>
      </c>
      <c r="B281" s="66" t="inlineStr">
        <is>
          <t>POSITIONAL ID scheme — [Part][Section].[Sequence]</t>
        </is>
      </c>
      <c r="C281" s="66" t="inlineStr">
        <is>
          <t>O12 Rule Governance</t>
        </is>
      </c>
      <c r="D281" s="66" t="inlineStr">
        <is>
          <t>rule_criteria_spec_v1</t>
        </is>
      </c>
      <c r="E281" s="66" t="inlineStr">
        <is>
          <t>ROC spec</t>
        </is>
      </c>
      <c r="F281" s="76" t="inlineStr">
        <is>
          <t>PROPOSED (pending ratification)</t>
        </is>
      </c>
      <c r="G281" s="66" t="n"/>
      <c r="H281" s="66" t="inlineStr">
        <is>
          <t>Rules Service</t>
        </is>
      </c>
      <c r="I281" s="66" t="inlineStr">
        <is>
          <t>rule_criteria_spec_v1</t>
        </is>
      </c>
      <c r="J281" s="74" t="inlineStr">
        <is>
          <t>Base canon</t>
        </is>
      </c>
      <c r="K281" s="75" t="n"/>
    </row>
    <row r="282" ht="30" customHeight="1" s="45">
      <c r="A282" s="65" t="inlineStr">
        <is>
          <t>ROC-4</t>
        </is>
      </c>
      <c r="B282" s="66" t="inlineStr">
        <is>
          <t>MNEMONIC ID scheme — [prefix]-[Sequence], for named sub-mechanisms only</t>
        </is>
      </c>
      <c r="C282" s="66" t="inlineStr">
        <is>
          <t>O12 Rule Governance</t>
        </is>
      </c>
      <c r="D282" s="66" t="inlineStr">
        <is>
          <t>rule_criteria_spec_v1</t>
        </is>
      </c>
      <c r="E282" s="66" t="inlineStr">
        <is>
          <t>ROC spec</t>
        </is>
      </c>
      <c r="F282" s="76" t="inlineStr">
        <is>
          <t>PROPOSED (pending ratification)</t>
        </is>
      </c>
      <c r="G282" s="66" t="n"/>
      <c r="H282" s="66" t="inlineStr">
        <is>
          <t>Rules Service</t>
        </is>
      </c>
      <c r="I282" s="66" t="inlineStr">
        <is>
          <t>rule_criteria_spec_v1</t>
        </is>
      </c>
      <c r="J282" s="74" t="inlineStr">
        <is>
          <t>Base canon</t>
        </is>
      </c>
      <c r="K282" s="75" t="n"/>
    </row>
    <row r="283" ht="30" customHeight="1" s="45">
      <c r="A283" s="65" t="inlineStr">
        <is>
          <t>ROC-5</t>
        </is>
      </c>
      <c r="B283" s="66" t="inlineStr">
        <is>
          <t>Scheme exclusivity — one ID scheme per rule population</t>
        </is>
      </c>
      <c r="C283" s="66" t="inlineStr">
        <is>
          <t>O12 Rule Governance</t>
        </is>
      </c>
      <c r="D283" s="66" t="inlineStr">
        <is>
          <t>rule_criteria_spec_v1</t>
        </is>
      </c>
      <c r="E283" s="66" t="inlineStr">
        <is>
          <t>ROC spec</t>
        </is>
      </c>
      <c r="F283" s="76" t="inlineStr">
        <is>
          <t>PROPOSED (pending ratification)</t>
        </is>
      </c>
      <c r="G283" s="66" t="n"/>
      <c r="H283" s="66" t="inlineStr">
        <is>
          <t>Rules Service</t>
        </is>
      </c>
      <c r="I283" s="66" t="inlineStr">
        <is>
          <t>rule_criteria_spec_v1</t>
        </is>
      </c>
      <c r="J283" s="74" t="inlineStr">
        <is>
          <t>Base canon</t>
        </is>
      </c>
      <c r="K283" s="75" t="n"/>
    </row>
    <row r="284" ht="30" customHeight="1" s="45">
      <c r="A284" s="65" t="inlineStr">
        <is>
          <t>ROC-6</t>
        </is>
      </c>
      <c r="B284" s="66" t="inlineStr">
        <is>
          <t>Mnemonic prefixes reserved in the Registry before first use</t>
        </is>
      </c>
      <c r="C284" s="66" t="inlineStr">
        <is>
          <t>O12 Rule Governance</t>
        </is>
      </c>
      <c r="D284" s="66" t="inlineStr">
        <is>
          <t>rule_criteria_spec_v1</t>
        </is>
      </c>
      <c r="E284" s="66" t="inlineStr">
        <is>
          <t>ROC spec</t>
        </is>
      </c>
      <c r="F284" s="76" t="inlineStr">
        <is>
          <t>PROPOSED (pending ratification)</t>
        </is>
      </c>
      <c r="G284" s="66" t="n"/>
      <c r="H284" s="66" t="inlineStr">
        <is>
          <t>Rules Service</t>
        </is>
      </c>
      <c r="I284" s="66" t="inlineStr">
        <is>
          <t>rule_criteria_spec_v1</t>
        </is>
      </c>
      <c r="J284" s="74" t="inlineStr">
        <is>
          <t>Base canon</t>
        </is>
      </c>
      <c r="K284" s="75" t="n"/>
    </row>
    <row r="285" ht="30" customHeight="1" s="45">
      <c r="A285" s="65" t="inlineStr">
        <is>
          <t>ROC-7</t>
        </is>
      </c>
      <c r="B285" s="66" t="inlineStr">
        <is>
          <t>Status axis — CANON · RULED · DEFAULT · PROPOSED · OPEN, exactly five</t>
        </is>
      </c>
      <c r="C285" s="66" t="inlineStr">
        <is>
          <t>O12 Rule Governance</t>
        </is>
      </c>
      <c r="D285" s="66" t="inlineStr">
        <is>
          <t>rule_criteria_spec_v1</t>
        </is>
      </c>
      <c r="E285" s="66" t="inlineStr">
        <is>
          <t>ROC spec</t>
        </is>
      </c>
      <c r="F285" s="76" t="inlineStr">
        <is>
          <t>PROPOSED (pending ratification)</t>
        </is>
      </c>
      <c r="G285" s="66" t="n"/>
      <c r="H285" s="66" t="inlineStr">
        <is>
          <t>Rules Service</t>
        </is>
      </c>
      <c r="I285" s="66" t="inlineStr">
        <is>
          <t>rule_criteria_spec_v1</t>
        </is>
      </c>
      <c r="J285" s="74" t="inlineStr">
        <is>
          <t>Base canon</t>
        </is>
      </c>
      <c r="K285" s="75" t="n"/>
    </row>
    <row r="286" ht="30" customHeight="1" s="45">
      <c r="A286" s="65" t="inlineStr">
        <is>
          <t>ROC-8</t>
        </is>
      </c>
      <c r="B286" s="66" t="inlineStr">
        <is>
          <t>Enforcement-class axis — STRUCTURAL · MECHANICAL · MEASURED · CEREMONIAL · ADVISORY</t>
        </is>
      </c>
      <c r="C286" s="66" t="inlineStr">
        <is>
          <t>O12 Rule Governance</t>
        </is>
      </c>
      <c r="D286" s="66" t="inlineStr">
        <is>
          <t>rule_criteria_spec_v1</t>
        </is>
      </c>
      <c r="E286" s="66" t="inlineStr">
        <is>
          <t>ROC spec</t>
        </is>
      </c>
      <c r="F286" s="76" t="inlineStr">
        <is>
          <t>PROPOSED (pending ratification)</t>
        </is>
      </c>
      <c r="G286" s="66" t="n"/>
      <c r="H286" s="66" t="inlineStr">
        <is>
          <t>Rules Service</t>
        </is>
      </c>
      <c r="I286" s="66" t="inlineStr">
        <is>
          <t>rule_criteria_spec_v1</t>
        </is>
      </c>
      <c r="J286" s="74" t="inlineStr">
        <is>
          <t>Base canon</t>
        </is>
      </c>
      <c r="K286" s="75" t="n"/>
    </row>
    <row r="287" ht="30" customHeight="1" s="45">
      <c r="A287" s="65" t="inlineStr">
        <is>
          <t>ROC-9</t>
        </is>
      </c>
      <c r="B287" s="66" t="inlineStr">
        <is>
          <t>Domain axis — six engines, four outside-the-six categories, Cross-Cutting</t>
        </is>
      </c>
      <c r="C287" s="66" t="inlineStr">
        <is>
          <t>O12 Rule Governance</t>
        </is>
      </c>
      <c r="D287" s="66" t="inlineStr">
        <is>
          <t>rule_criteria_spec_v1</t>
        </is>
      </c>
      <c r="E287" s="66" t="inlineStr">
        <is>
          <t>ROC spec</t>
        </is>
      </c>
      <c r="F287" s="76" t="inlineStr">
        <is>
          <t>PROPOSED (pending ratification)</t>
        </is>
      </c>
      <c r="G287" s="66" t="n"/>
      <c r="H287" s="66" t="inlineStr">
        <is>
          <t>Rules Service</t>
        </is>
      </c>
      <c r="I287" s="66" t="inlineStr">
        <is>
          <t>rule_criteria_spec_v1</t>
        </is>
      </c>
      <c r="J287" s="74" t="inlineStr">
        <is>
          <t>Base canon</t>
        </is>
      </c>
      <c r="K287" s="75" t="n"/>
    </row>
    <row r="288" ht="36" customHeight="1" s="45">
      <c r="A288" s="65" t="inlineStr">
        <is>
          <t>RBM-1</t>
        </is>
      </c>
      <c r="B288" s="66" t="inlineStr">
        <is>
          <t>Rule authored with full field set — ID, origination, owner, enforcement class, domain, tier, assessment procedure — or authoring refuses to save</t>
        </is>
      </c>
      <c r="C288" s="66" t="inlineStr">
        <is>
          <t>O12 Rule Governance</t>
        </is>
      </c>
      <c r="D288" s="66" t="inlineStr">
        <is>
          <t>rulebook_engine_spec_v1</t>
        </is>
      </c>
      <c r="E288" s="66" t="inlineStr">
        <is>
          <t>Rules Service spec</t>
        </is>
      </c>
      <c r="F288" s="66" t="inlineStr">
        <is>
          <t>PROPOSED</t>
        </is>
      </c>
      <c r="G288" s="66" t="n"/>
      <c r="H288" s="66" t="inlineStr">
        <is>
          <t>Rules Service</t>
        </is>
      </c>
      <c r="I288" s="66" t="inlineStr">
        <is>
          <t>Rules_Service_Spec_v1.docx</t>
        </is>
      </c>
      <c r="J288" s="66" t="inlineStr">
        <is>
          <t>New — not in base registry</t>
        </is>
      </c>
      <c r="K288" s="66" t="n"/>
    </row>
    <row r="289" ht="27.75" customHeight="1" s="45">
      <c r="A289" s="65" t="inlineStr">
        <is>
          <t>RBM-2</t>
        </is>
      </c>
      <c r="B289" s="66" t="inlineStr">
        <is>
          <t>Drafting assistance may propose; only the named human author confirms before a rule enters PROPOSED</t>
        </is>
      </c>
      <c r="C289" s="66" t="inlineStr">
        <is>
          <t>O12 Rule Governance</t>
        </is>
      </c>
      <c r="D289" s="66" t="inlineStr">
        <is>
          <t>rulebook_engine_spec_v1</t>
        </is>
      </c>
      <c r="E289" s="66" t="inlineStr">
        <is>
          <t>Rules Service spec</t>
        </is>
      </c>
      <c r="F289" s="66" t="inlineStr">
        <is>
          <t>PROPOSED</t>
        </is>
      </c>
      <c r="G289" s="66" t="n"/>
      <c r="H289" s="66" t="inlineStr">
        <is>
          <t>Rules Service</t>
        </is>
      </c>
      <c r="I289" s="66" t="inlineStr">
        <is>
          <t>Rules_Service_Spec_v1.docx</t>
        </is>
      </c>
      <c r="J289" s="66" t="inlineStr">
        <is>
          <t>New — not in base registry</t>
        </is>
      </c>
      <c r="K289" s="66" t="n"/>
    </row>
    <row r="290" ht="27.75" customHeight="1" s="45">
      <c r="A290" s="65" t="inlineStr">
        <is>
          <t>RBM-3</t>
        </is>
      </c>
      <c r="B290" s="66" t="inlineStr">
        <is>
          <t>Mnemonic prefix reserved centrally before first use; collision refused at reservation</t>
        </is>
      </c>
      <c r="C290" s="66" t="inlineStr">
        <is>
          <t>O12 Rule Governance</t>
        </is>
      </c>
      <c r="D290" s="66" t="inlineStr">
        <is>
          <t>rulebook_engine_spec_v1</t>
        </is>
      </c>
      <c r="E290" s="66" t="inlineStr">
        <is>
          <t>Rules Service spec</t>
        </is>
      </c>
      <c r="F290" s="66" t="inlineStr">
        <is>
          <t>PROPOSED</t>
        </is>
      </c>
      <c r="G290" s="66" t="n"/>
      <c r="H290" s="66" t="inlineStr">
        <is>
          <t>Rules Service</t>
        </is>
      </c>
      <c r="I290" s="66" t="inlineStr">
        <is>
          <t>Rules_Service_Spec_v1.docx</t>
        </is>
      </c>
      <c r="J290" s="66" t="inlineStr">
        <is>
          <t>New — not in base registry</t>
        </is>
      </c>
      <c r="K290" s="66" t="n"/>
    </row>
    <row r="291" ht="27.75" customHeight="1" s="45">
      <c r="A291" s="65" t="inlineStr">
        <is>
          <t>RBM-4</t>
        </is>
      </c>
      <c r="B291" s="66" t="inlineStr">
        <is>
          <t>Tier declared at authoring: system-TCB, system-ordinary, or customer</t>
        </is>
      </c>
      <c r="C291" s="66" t="inlineStr">
        <is>
          <t>O12 Rule Governance</t>
        </is>
      </c>
      <c r="D291" s="66" t="inlineStr">
        <is>
          <t>rulebook_engine_spec_v1</t>
        </is>
      </c>
      <c r="E291" s="66" t="inlineStr">
        <is>
          <t>Rules Service spec</t>
        </is>
      </c>
      <c r="F291" s="66" t="inlineStr">
        <is>
          <t>PROPOSED</t>
        </is>
      </c>
      <c r="G291" s="66" t="n"/>
      <c r="H291" s="66" t="inlineStr">
        <is>
          <t>Rules Service</t>
        </is>
      </c>
      <c r="I291" s="66" t="inlineStr">
        <is>
          <t>Rules_Service_Spec_v1.docx</t>
        </is>
      </c>
      <c r="J291" s="66" t="inlineStr">
        <is>
          <t>New — not in base registry</t>
        </is>
      </c>
      <c r="K291" s="66" t="n"/>
    </row>
    <row r="292" ht="27.75" customHeight="1" s="45">
      <c r="A292" s="65" t="inlineStr">
        <is>
          <t>RBM-5</t>
        </is>
      </c>
      <c r="B292" s="66" t="inlineStr">
        <is>
          <t>Impact record produced before countersign — every dependent rule, checkpoint, component, profile</t>
        </is>
      </c>
      <c r="C292" s="66" t="inlineStr">
        <is>
          <t>O12 Rule Governance</t>
        </is>
      </c>
      <c r="D292" s="66" t="inlineStr">
        <is>
          <t>rulebook_engine_spec_v1</t>
        </is>
      </c>
      <c r="E292" s="66" t="inlineStr">
        <is>
          <t>Rules Service spec</t>
        </is>
      </c>
      <c r="F292" s="66" t="inlineStr">
        <is>
          <t>PROPOSED</t>
        </is>
      </c>
      <c r="G292" s="66" t="n"/>
      <c r="H292" s="66" t="inlineStr">
        <is>
          <t>Rules Service</t>
        </is>
      </c>
      <c r="I292" s="66" t="inlineStr">
        <is>
          <t>Rules_Service_Spec_v1.docx</t>
        </is>
      </c>
      <c r="J292" s="66" t="inlineStr">
        <is>
          <t>New — not in base registry</t>
        </is>
      </c>
      <c r="K292" s="66" t="n"/>
    </row>
    <row r="293" ht="36" customHeight="1" s="45">
      <c r="A293" s="65" t="inlineStr">
        <is>
          <t>RBM-6</t>
        </is>
      </c>
      <c r="B293" s="66" t="inlineStr">
        <is>
          <t>Every adopted or customer rule checked against system rules; refused if it relaxes a STRUCTURAL/MECHANICAL rule</t>
        </is>
      </c>
      <c r="C293" s="66" t="inlineStr">
        <is>
          <t>O12 Rule Governance</t>
        </is>
      </c>
      <c r="D293" s="66" t="inlineStr">
        <is>
          <t>rulebook_engine_spec_v1</t>
        </is>
      </c>
      <c r="E293" s="66" t="inlineStr">
        <is>
          <t>Rules Service spec</t>
        </is>
      </c>
      <c r="F293" s="66" t="inlineStr">
        <is>
          <t>PROPOSED</t>
        </is>
      </c>
      <c r="G293" s="66" t="n"/>
      <c r="H293" s="66" t="inlineStr">
        <is>
          <t>Rules Service</t>
        </is>
      </c>
      <c r="I293" s="66" t="inlineStr">
        <is>
          <t>Rules_Service_Spec_v1.docx</t>
        </is>
      </c>
      <c r="J293" s="66" t="inlineStr">
        <is>
          <t>New — not in base registry</t>
        </is>
      </c>
      <c r="K293" s="66" t="n"/>
    </row>
    <row r="294" ht="36" customHeight="1" s="45">
      <c r="A294" s="65" t="inlineStr">
        <is>
          <t>RBM-7</t>
        </is>
      </c>
      <c r="B294" s="66" t="inlineStr">
        <is>
          <t>System-ordinary/customer ceremony: propose, impact record, countersign, cancellable countdown, apply, re-verify</t>
        </is>
      </c>
      <c r="C294" s="66" t="inlineStr">
        <is>
          <t>O12 Rule Governance</t>
        </is>
      </c>
      <c r="D294" s="66" t="inlineStr">
        <is>
          <t>rulebook_engine_spec_v1</t>
        </is>
      </c>
      <c r="E294" s="66" t="inlineStr">
        <is>
          <t>Rules Service spec</t>
        </is>
      </c>
      <c r="F294" s="66" t="inlineStr">
        <is>
          <t>PROPOSED</t>
        </is>
      </c>
      <c r="G294" s="66" t="n"/>
      <c r="H294" s="66" t="inlineStr">
        <is>
          <t>Rules Service</t>
        </is>
      </c>
      <c r="I294" s="66" t="inlineStr">
        <is>
          <t>Rules_Service_Spec_v1.docx</t>
        </is>
      </c>
      <c r="J294" s="66" t="inlineStr">
        <is>
          <t>New — not in base registry</t>
        </is>
      </c>
      <c r="K294" s="66" t="n"/>
    </row>
    <row r="295" ht="36" customHeight="1" s="45">
      <c r="A295" s="65" t="inlineStr">
        <is>
          <t>RBM-8</t>
        </is>
      </c>
      <c r="B295" s="66" t="inlineStr">
        <is>
          <t>System-TCB ceremony: as RBM-7 plus slowest countdown and external witness with no credentials over the component</t>
        </is>
      </c>
      <c r="C295" s="66" t="inlineStr">
        <is>
          <t>O12 Rule Governance</t>
        </is>
      </c>
      <c r="D295" s="66" t="inlineStr">
        <is>
          <t>rulebook_engine_spec_v1</t>
        </is>
      </c>
      <c r="E295" s="66" t="inlineStr">
        <is>
          <t>Rules Service spec</t>
        </is>
      </c>
      <c r="F295" s="66" t="inlineStr">
        <is>
          <t>PROPOSED</t>
        </is>
      </c>
      <c r="G295" s="66" t="n"/>
      <c r="H295" s="66" t="inlineStr">
        <is>
          <t>Rules Service</t>
        </is>
      </c>
      <c r="I295" s="66" t="inlineStr">
        <is>
          <t>Rules_Service_Spec_v1.docx</t>
        </is>
      </c>
      <c r="J295" s="66" t="inlineStr">
        <is>
          <t>New — not in base registry</t>
        </is>
      </c>
      <c r="K295" s="66" t="n"/>
    </row>
    <row r="296" ht="27.75" customHeight="1" s="45">
      <c r="A296" s="65" t="inlineStr">
        <is>
          <t>RBM-9</t>
        </is>
      </c>
      <c r="B296" s="66" t="inlineStr">
        <is>
          <t>Either signatory may cancel before countdown expires; cancellation recorded with identity and reason</t>
        </is>
      </c>
      <c r="C296" s="66" t="inlineStr">
        <is>
          <t>O12 Rule Governance</t>
        </is>
      </c>
      <c r="D296" s="66" t="inlineStr">
        <is>
          <t>rulebook_engine_spec_v1</t>
        </is>
      </c>
      <c r="E296" s="66" t="inlineStr">
        <is>
          <t>Rules Service spec</t>
        </is>
      </c>
      <c r="F296" s="66" t="inlineStr">
        <is>
          <t>PROPOSED</t>
        </is>
      </c>
      <c r="G296" s="66" t="n"/>
      <c r="H296" s="66" t="inlineStr">
        <is>
          <t>Rules Service</t>
        </is>
      </c>
      <c r="I296" s="66" t="inlineStr">
        <is>
          <t>Rules_Service_Spec_v1.docx</t>
        </is>
      </c>
      <c r="J296" s="66" t="inlineStr">
        <is>
          <t>New — not in base registry</t>
        </is>
      </c>
      <c r="K296" s="66" t="n"/>
    </row>
    <row r="297" ht="27.75" customHeight="1" s="45">
      <c r="A297" s="65" t="inlineStr">
        <is>
          <t>RBM-10</t>
        </is>
      </c>
      <c r="B297" s="66" t="inlineStr">
        <is>
          <t>Apply is atomic: status, Registry entry, Ledger record, rule-version stamp — all four or none</t>
        </is>
      </c>
      <c r="C297" s="66" t="inlineStr">
        <is>
          <t>O12 Rule Governance</t>
        </is>
      </c>
      <c r="D297" s="66" t="inlineStr">
        <is>
          <t>rulebook_engine_spec_v1</t>
        </is>
      </c>
      <c r="E297" s="66" t="inlineStr">
        <is>
          <t>Rules Service spec</t>
        </is>
      </c>
      <c r="F297" s="66" t="inlineStr">
        <is>
          <t>PROPOSED</t>
        </is>
      </c>
      <c r="G297" s="66" t="n"/>
      <c r="H297" s="66" t="inlineStr">
        <is>
          <t>Rules Service</t>
        </is>
      </c>
      <c r="I297" s="66" t="inlineStr">
        <is>
          <t>Rules_Service_Spec_v1.docx</t>
        </is>
      </c>
      <c r="J297" s="66" t="inlineStr">
        <is>
          <t>New — not in base registry</t>
        </is>
      </c>
      <c r="K297" s="66" t="n"/>
    </row>
    <row r="298" ht="27.75" customHeight="1" s="45">
      <c r="A298" s="65" t="inlineStr">
        <is>
          <t>RBM-11</t>
        </is>
      </c>
      <c r="B298" s="66" t="inlineStr">
        <is>
          <t>Re-verify runs the assessment procedure after apply; failure raises a finding, never a silent rollback</t>
        </is>
      </c>
      <c r="C298" s="66" t="inlineStr">
        <is>
          <t>O12 Rule Governance</t>
        </is>
      </c>
      <c r="D298" s="66" t="inlineStr">
        <is>
          <t>rulebook_engine_spec_v1</t>
        </is>
      </c>
      <c r="E298" s="66" t="inlineStr">
        <is>
          <t>Rules Service spec</t>
        </is>
      </c>
      <c r="F298" s="66" t="inlineStr">
        <is>
          <t>PROPOSED</t>
        </is>
      </c>
      <c r="G298" s="66" t="n"/>
      <c r="H298" s="66" t="inlineStr">
        <is>
          <t>Rules Service</t>
        </is>
      </c>
      <c r="I298" s="66" t="inlineStr">
        <is>
          <t>Rules_Service_Spec_v1.docx</t>
        </is>
      </c>
      <c r="J298" s="66" t="inlineStr">
        <is>
          <t>New — not in base registry</t>
        </is>
      </c>
      <c r="K298" s="66" t="n"/>
    </row>
    <row r="299" ht="27.75" customHeight="1" s="45">
      <c r="A299" s="65" t="inlineStr">
        <is>
          <t>RBM-12</t>
        </is>
      </c>
      <c r="B299" s="66" t="inlineStr">
        <is>
          <t>Amendment is a new version through full ceremony; prior version retained, never overwritten</t>
        </is>
      </c>
      <c r="C299" s="66" t="inlineStr">
        <is>
          <t>O12 Rule Governance</t>
        </is>
      </c>
      <c r="D299" s="66" t="inlineStr">
        <is>
          <t>rulebook_engine_spec_v1</t>
        </is>
      </c>
      <c r="E299" s="66" t="inlineStr">
        <is>
          <t>Rules Service spec</t>
        </is>
      </c>
      <c r="F299" s="66" t="inlineStr">
        <is>
          <t>PROPOSED</t>
        </is>
      </c>
      <c r="G299" s="66" t="n"/>
      <c r="H299" s="66" t="inlineStr">
        <is>
          <t>Rules Service</t>
        </is>
      </c>
      <c r="I299" s="66" t="inlineStr">
        <is>
          <t>Rules_Service_Spec_v1.docx</t>
        </is>
      </c>
      <c r="J299" s="66" t="inlineStr">
        <is>
          <t>New — not in base registry</t>
        </is>
      </c>
      <c r="K299" s="66" t="n"/>
    </row>
    <row r="300" ht="27.75" customHeight="1" s="45">
      <c r="A300" s="65" t="inlineStr">
        <is>
          <t>RBM-13</t>
        </is>
      </c>
      <c r="B300" s="66" t="inlineStr">
        <is>
          <t>Retirement is through ceremony; retired rule keeps status and history; destruction attestation where required</t>
        </is>
      </c>
      <c r="C300" s="66" t="inlineStr">
        <is>
          <t>O12 Rule Governance</t>
        </is>
      </c>
      <c r="D300" s="66" t="inlineStr">
        <is>
          <t>rulebook_engine_spec_v1</t>
        </is>
      </c>
      <c r="E300" s="66" t="inlineStr">
        <is>
          <t>Rules Service spec</t>
        </is>
      </c>
      <c r="F300" s="66" t="inlineStr">
        <is>
          <t>PROPOSED</t>
        </is>
      </c>
      <c r="G300" s="66" t="n"/>
      <c r="H300" s="66" t="inlineStr">
        <is>
          <t>Rules Service</t>
        </is>
      </c>
      <c r="I300" s="66" t="inlineStr">
        <is>
          <t>Rules_Service_Spec_v1.docx</t>
        </is>
      </c>
      <c r="J300" s="66" t="inlineStr">
        <is>
          <t>New — not in base registry</t>
        </is>
      </c>
      <c r="K300" s="66" t="n"/>
    </row>
    <row r="301" ht="36" customHeight="1" s="45">
      <c r="A301" s="65" t="inlineStr">
        <is>
          <t>RBM-14</t>
        </is>
      </c>
      <c r="B301" s="66" t="inlineStr">
        <is>
          <t>Library rule book: versioned, cites source clause, every rule in RBM-1's format — uncited rule is not admissible</t>
        </is>
      </c>
      <c r="C301" s="66" t="inlineStr">
        <is>
          <t>O12 Rule Governance</t>
        </is>
      </c>
      <c r="D301" s="66" t="inlineStr">
        <is>
          <t>rulebook_engine_spec_v1</t>
        </is>
      </c>
      <c r="E301" s="66" t="inlineStr">
        <is>
          <t>Rules Service spec</t>
        </is>
      </c>
      <c r="F301" s="66" t="inlineStr">
        <is>
          <t>PROPOSED</t>
        </is>
      </c>
      <c r="G301" s="66" t="n"/>
      <c r="H301" s="66" t="inlineStr">
        <is>
          <t>Rules Service</t>
        </is>
      </c>
      <c r="I301" s="66" t="inlineStr">
        <is>
          <t>Rules_Service_Spec_v1.docx</t>
        </is>
      </c>
      <c r="J301" s="66" t="inlineStr">
        <is>
          <t>New — not in base registry</t>
        </is>
      </c>
      <c r="K301" s="66" t="n"/>
    </row>
    <row r="302" ht="27.75" customHeight="1" s="45">
      <c r="A302" s="65" t="inlineStr">
        <is>
          <t>RBM-15</t>
        </is>
      </c>
      <c r="B302" s="66" t="inlineStr">
        <is>
          <t>Profile: named bundle of rule books per business type, versioned, changed through system-ordinary ceremony</t>
        </is>
      </c>
      <c r="C302" s="66" t="inlineStr">
        <is>
          <t>O12 Rule Governance</t>
        </is>
      </c>
      <c r="D302" s="66" t="inlineStr">
        <is>
          <t>rulebook_engine_spec_v1</t>
        </is>
      </c>
      <c r="E302" s="66" t="inlineStr">
        <is>
          <t>Rules Service spec</t>
        </is>
      </c>
      <c r="F302" s="66" t="inlineStr">
        <is>
          <t>PROPOSED</t>
        </is>
      </c>
      <c r="G302" s="66" t="n"/>
      <c r="H302" s="66" t="inlineStr">
        <is>
          <t>Rules Service</t>
        </is>
      </c>
      <c r="I302" s="66" t="inlineStr">
        <is>
          <t>Rules_Service_Spec_v1.docx</t>
        </is>
      </c>
      <c r="J302" s="66" t="inlineStr">
        <is>
          <t>New — not in base registry</t>
        </is>
      </c>
      <c r="K302" s="66" t="n"/>
    </row>
    <row r="303" ht="27.75" customHeight="1" s="45">
      <c r="A303" s="65" t="inlineStr">
        <is>
          <t>RBM-16</t>
        </is>
      </c>
      <c r="B303" s="66" t="inlineStr">
        <is>
          <t>At onboarding, business type selected and matching profile presented as recommendation, marked as such</t>
        </is>
      </c>
      <c r="C303" s="66" t="inlineStr">
        <is>
          <t>O12 Rule Governance</t>
        </is>
      </c>
      <c r="D303" s="66" t="inlineStr">
        <is>
          <t>rulebook_engine_spec_v1</t>
        </is>
      </c>
      <c r="E303" s="66" t="inlineStr">
        <is>
          <t>Rules Service spec</t>
        </is>
      </c>
      <c r="F303" s="66" t="inlineStr">
        <is>
          <t>PROPOSED</t>
        </is>
      </c>
      <c r="G303" s="66" t="n"/>
      <c r="H303" s="66" t="inlineStr">
        <is>
          <t>Rules Service</t>
        </is>
      </c>
      <c r="I303" s="66" t="inlineStr">
        <is>
          <t>Rules_Service_Spec_v1.docx</t>
        </is>
      </c>
      <c r="J303" s="66" t="inlineStr">
        <is>
          <t>New — not in base registry</t>
        </is>
      </c>
      <c r="K303" s="66" t="n"/>
    </row>
    <row r="304" ht="36" customHeight="1" s="45">
      <c r="A304" s="65" t="inlineStr">
        <is>
          <t>RBM-17</t>
        </is>
      </c>
      <c r="B304" s="66" t="inlineStr">
        <is>
          <t>Adoption instantiates rule-book rules as customer rules via customer-tier ceremony, after RBM-6's conflict check</t>
        </is>
      </c>
      <c r="C304" s="66" t="inlineStr">
        <is>
          <t>O12 Rule Governance</t>
        </is>
      </c>
      <c r="D304" s="66" t="inlineStr">
        <is>
          <t>rulebook_engine_spec_v1</t>
        </is>
      </c>
      <c r="E304" s="66" t="inlineStr">
        <is>
          <t>Rules Service spec</t>
        </is>
      </c>
      <c r="F304" s="66" t="inlineStr">
        <is>
          <t>PROPOSED</t>
        </is>
      </c>
      <c r="G304" s="66" t="n"/>
      <c r="H304" s="66" t="inlineStr">
        <is>
          <t>Rules Service</t>
        </is>
      </c>
      <c r="I304" s="66" t="inlineStr">
        <is>
          <t>Rules_Service_Spec_v1.docx</t>
        </is>
      </c>
      <c r="J304" s="66" t="inlineStr">
        <is>
          <t>New — not in base registry</t>
        </is>
      </c>
      <c r="K304" s="66" t="n"/>
    </row>
    <row r="305" ht="27.75" customHeight="1" s="45">
      <c r="A305" s="65" t="inlineStr">
        <is>
          <t>RBM-18</t>
        </is>
      </c>
      <c r="B305" s="66" t="inlineStr">
        <is>
          <t>Registry is the authoritative store — every ROC-10 field, append-only per ROC-11</t>
        </is>
      </c>
      <c r="C305" s="66" t="inlineStr">
        <is>
          <t>O12 Rule Governance</t>
        </is>
      </c>
      <c r="D305" s="66" t="inlineStr">
        <is>
          <t>rulebook_engine_spec_v1</t>
        </is>
      </c>
      <c r="E305" s="66" t="inlineStr">
        <is>
          <t>Rules Service spec</t>
        </is>
      </c>
      <c r="F305" s="66" t="inlineStr">
        <is>
          <t>PROPOSED</t>
        </is>
      </c>
      <c r="G305" s="66" t="n"/>
      <c r="H305" s="66" t="inlineStr">
        <is>
          <t>Rules Service</t>
        </is>
      </c>
      <c r="I305" s="66" t="inlineStr">
        <is>
          <t>Rules_Service_Spec_v1.docx</t>
        </is>
      </c>
      <c r="J305" s="66" t="inlineStr">
        <is>
          <t>New — not in base registry</t>
        </is>
      </c>
      <c r="K305" s="66" t="n"/>
    </row>
    <row r="306" ht="27.75" customHeight="1" s="45">
      <c r="A306" s="65" t="inlineStr">
        <is>
          <t>RBM-19</t>
        </is>
      </c>
      <c r="B306" s="66" t="inlineStr">
        <is>
          <t>Assessment procedure runnable on demand and on schedule; Statement of Applicability is a Registry view</t>
        </is>
      </c>
      <c r="C306" s="66" t="inlineStr">
        <is>
          <t>O12 Rule Governance</t>
        </is>
      </c>
      <c r="D306" s="66" t="inlineStr">
        <is>
          <t>rulebook_engine_spec_v1</t>
        </is>
      </c>
      <c r="E306" s="66" t="inlineStr">
        <is>
          <t>Rules Service spec</t>
        </is>
      </c>
      <c r="F306" s="66" t="inlineStr">
        <is>
          <t>PROPOSED</t>
        </is>
      </c>
      <c r="G306" s="66" t="n"/>
      <c r="H306" s="66" t="inlineStr">
        <is>
          <t>Rules Service</t>
        </is>
      </c>
      <c r="I306" s="66" t="inlineStr">
        <is>
          <t>Rules_Service_Spec_v1.docx</t>
        </is>
      </c>
      <c r="J306" s="66" t="inlineStr">
        <is>
          <t>New — not in base registry</t>
        </is>
      </c>
      <c r="K306" s="66" t="n"/>
    </row>
    <row r="307" ht="36" customHeight="1" s="45">
      <c r="A307" s="65" t="inlineStr">
        <is>
          <t>RBM-20</t>
        </is>
      </c>
      <c r="B307" s="66" t="inlineStr">
        <is>
          <t>Registry queryable by ID, objective, promise, tier, status, enforcement class, domain, rule book, profile, tenant</t>
        </is>
      </c>
      <c r="C307" s="66" t="inlineStr">
        <is>
          <t>O12 Rule Governance</t>
        </is>
      </c>
      <c r="D307" s="66" t="inlineStr">
        <is>
          <t>rulebook_engine_spec_v1</t>
        </is>
      </c>
      <c r="E307" s="66" t="inlineStr">
        <is>
          <t>Rules Service spec</t>
        </is>
      </c>
      <c r="F307" s="66" t="inlineStr">
        <is>
          <t>PROPOSED</t>
        </is>
      </c>
      <c r="G307" s="66" t="n"/>
      <c r="H307" s="66" t="inlineStr">
        <is>
          <t>Rules Service</t>
        </is>
      </c>
      <c r="I307" s="66" t="inlineStr">
        <is>
          <t>Rules_Service_Spec_v1.docx</t>
        </is>
      </c>
      <c r="J307" s="66" t="inlineStr">
        <is>
          <t>New — not in base registry</t>
        </is>
      </c>
      <c r="K307" s="66" t="n"/>
    </row>
    <row r="308" ht="27.75" customHeight="1" s="45">
      <c r="A308" s="65" t="inlineStr">
        <is>
          <t>RBM-21</t>
        </is>
      </c>
      <c r="B308" s="66" t="inlineStr">
        <is>
          <t>Rules Service's own rules are system-TCB tier; no path alters them outside RBM-8's ceremony</t>
        </is>
      </c>
      <c r="C308" s="66" t="inlineStr">
        <is>
          <t>O12 Rule Governance</t>
        </is>
      </c>
      <c r="D308" s="66" t="inlineStr">
        <is>
          <t>rulebook_engine_spec_v1</t>
        </is>
      </c>
      <c r="E308" s="66" t="inlineStr">
        <is>
          <t>Rules Service spec</t>
        </is>
      </c>
      <c r="F308" s="66" t="inlineStr">
        <is>
          <t>PROPOSED</t>
        </is>
      </c>
      <c r="G308" s="66" t="n"/>
      <c r="H308" s="66" t="inlineStr">
        <is>
          <t>Rules Service</t>
        </is>
      </c>
      <c r="I308" s="66" t="inlineStr">
        <is>
          <t>Rules_Service_Spec_v1.docx</t>
        </is>
      </c>
      <c r="J308" s="66" t="inlineStr">
        <is>
          <t>New — not in base registry</t>
        </is>
      </c>
      <c r="K308" s="66" t="n"/>
    </row>
    <row r="309" ht="27.75" customHeight="1" s="45">
      <c r="A309" s="65" t="inlineStr">
        <is>
          <t>RBM-22</t>
        </is>
      </c>
      <c r="B309" s="66" t="inlineStr">
        <is>
          <t>Every Rules Service action writes an audit record with all six AU-3 elements</t>
        </is>
      </c>
      <c r="C309" s="66" t="inlineStr">
        <is>
          <t>O12 Rule Governance</t>
        </is>
      </c>
      <c r="D309" s="66" t="inlineStr">
        <is>
          <t>rulebook_engine_spec_v1</t>
        </is>
      </c>
      <c r="E309" s="66" t="inlineStr">
        <is>
          <t>Rules Service spec</t>
        </is>
      </c>
      <c r="F309" s="66" t="inlineStr">
        <is>
          <t>PROPOSED</t>
        </is>
      </c>
      <c r="G309" s="66" t="n"/>
      <c r="H309" s="66" t="inlineStr">
        <is>
          <t>Rules Service</t>
        </is>
      </c>
      <c r="I309" s="66" t="inlineStr">
        <is>
          <t>Rules_Service_Spec_v1.docx</t>
        </is>
      </c>
      <c r="J309" s="66" t="inlineStr">
        <is>
          <t>New — not in base registry</t>
        </is>
      </c>
      <c r="K309" s="66" t="n"/>
    </row>
    <row r="310" ht="27.75" customHeight="1" s="45">
      <c r="A310" s="65" t="inlineStr">
        <is>
          <t>I-1</t>
        </is>
      </c>
      <c r="B310" s="66" t="inlineStr">
        <is>
          <t>No rule in force without completing the ceremony for its tier</t>
        </is>
      </c>
      <c r="C310" s="66" t="inlineStr">
        <is>
          <t>O12 Rule Governance</t>
        </is>
      </c>
      <c r="D310" s="66" t="inlineStr">
        <is>
          <t>rulebook_engine_spec_v1</t>
        </is>
      </c>
      <c r="E310" s="66" t="inlineStr">
        <is>
          <t>Rules Service spec</t>
        </is>
      </c>
      <c r="F310" s="66" t="inlineStr">
        <is>
          <t>PROPOSED</t>
        </is>
      </c>
      <c r="G310" s="66" t="n"/>
      <c r="H310" s="66" t="inlineStr">
        <is>
          <t>Rules Service</t>
        </is>
      </c>
      <c r="I310" s="66" t="inlineStr">
        <is>
          <t>Rules_Service_Spec_v1.docx</t>
        </is>
      </c>
      <c r="J310" s="66" t="inlineStr">
        <is>
          <t>New — not in base registry</t>
        </is>
      </c>
      <c r="K310" s="66" t="n"/>
    </row>
    <row r="311" ht="27.75" customHeight="1" s="45">
      <c r="A311" s="65" t="inlineStr">
        <is>
          <t>I-2</t>
        </is>
      </c>
      <c r="B311" s="66" t="inlineStr">
        <is>
          <t>Every in-force rule is in the Registry with every required field</t>
        </is>
      </c>
      <c r="C311" s="66" t="inlineStr">
        <is>
          <t>O12 Rule Governance</t>
        </is>
      </c>
      <c r="D311" s="66" t="inlineStr">
        <is>
          <t>rulebook_engine_spec_v1</t>
        </is>
      </c>
      <c r="E311" s="66" t="inlineStr">
        <is>
          <t>Rules Service spec</t>
        </is>
      </c>
      <c r="F311" s="66" t="inlineStr">
        <is>
          <t>PROPOSED</t>
        </is>
      </c>
      <c r="G311" s="66" t="n"/>
      <c r="H311" s="66" t="inlineStr">
        <is>
          <t>Rules Service</t>
        </is>
      </c>
      <c r="I311" s="66" t="inlineStr">
        <is>
          <t>Rules_Service_Spec_v1.docx</t>
        </is>
      </c>
      <c r="J311" s="66" t="inlineStr">
        <is>
          <t>New — not in base registry</t>
        </is>
      </c>
      <c r="K311" s="66" t="n"/>
    </row>
    <row r="312" ht="27.75" customHeight="1" s="45">
      <c r="A312" s="65" t="inlineStr">
        <is>
          <t>I-3</t>
        </is>
      </c>
      <c r="B312" s="66" t="inlineStr">
        <is>
          <t>No customer rule relaxes a STRUCTURAL/MECHANICAL system rule</t>
        </is>
      </c>
      <c r="C312" s="66" t="inlineStr">
        <is>
          <t>O12 Rule Governance</t>
        </is>
      </c>
      <c r="D312" s="66" t="inlineStr">
        <is>
          <t>rulebook_engine_spec_v1</t>
        </is>
      </c>
      <c r="E312" s="66" t="inlineStr">
        <is>
          <t>Rules Service spec</t>
        </is>
      </c>
      <c r="F312" s="66" t="inlineStr">
        <is>
          <t>PROPOSED</t>
        </is>
      </c>
      <c r="G312" s="66" t="n"/>
      <c r="H312" s="66" t="inlineStr">
        <is>
          <t>Rules Service</t>
        </is>
      </c>
      <c r="I312" s="66" t="inlineStr">
        <is>
          <t>Rules_Service_Spec_v1.docx</t>
        </is>
      </c>
      <c r="J312" s="66" t="inlineStr">
        <is>
          <t>New — not in base registry</t>
        </is>
      </c>
      <c r="K312" s="66" t="n"/>
    </row>
    <row r="313" ht="27.75" customHeight="1" s="45">
      <c r="A313" s="65" t="inlineStr">
        <is>
          <t>I-4</t>
        </is>
      </c>
      <c r="B313" s="66" t="inlineStr">
        <is>
          <t>Every rule state change written to the Ledger before it takes effect</t>
        </is>
      </c>
      <c r="C313" s="66" t="inlineStr">
        <is>
          <t>O12 Rule Governance</t>
        </is>
      </c>
      <c r="D313" s="66" t="inlineStr">
        <is>
          <t>rulebook_engine_spec_v1</t>
        </is>
      </c>
      <c r="E313" s="66" t="inlineStr">
        <is>
          <t>Rules Service spec</t>
        </is>
      </c>
      <c r="F313" s="66" t="inlineStr">
        <is>
          <t>PROPOSED</t>
        </is>
      </c>
      <c r="G313" s="66" t="n"/>
      <c r="H313" s="66" t="inlineStr">
        <is>
          <t>Rules Service</t>
        </is>
      </c>
      <c r="I313" s="66" t="inlineStr">
        <is>
          <t>Rules_Service_Spec_v1.docx</t>
        </is>
      </c>
      <c r="J313" s="66" t="inlineStr">
        <is>
          <t>New — not in base registry</t>
        </is>
      </c>
      <c r="K313" s="66" t="n"/>
    </row>
    <row r="314" ht="27.75" customHeight="1" s="45">
      <c r="A314" s="65" t="inlineStr">
        <is>
          <t>I-5</t>
        </is>
      </c>
      <c r="B314" s="66" t="inlineStr">
        <is>
          <t>The Rules Service administers its own rules; it does not edit them</t>
        </is>
      </c>
      <c r="C314" s="66" t="inlineStr">
        <is>
          <t>O12 Rule Governance</t>
        </is>
      </c>
      <c r="D314" s="66" t="inlineStr">
        <is>
          <t>rulebook_engine_spec_v1</t>
        </is>
      </c>
      <c r="E314" s="66" t="inlineStr">
        <is>
          <t>Rules Service spec</t>
        </is>
      </c>
      <c r="F314" s="66" t="inlineStr">
        <is>
          <t>PROPOSED</t>
        </is>
      </c>
      <c r="G314" s="66" t="n"/>
      <c r="H314" s="66" t="inlineStr">
        <is>
          <t>Rules Service</t>
        </is>
      </c>
      <c r="I314" s="66" t="inlineStr">
        <is>
          <t>Rules_Service_Spec_v1.docx</t>
        </is>
      </c>
      <c r="J314" s="66" t="inlineStr">
        <is>
          <t>New — not in base registry</t>
        </is>
      </c>
      <c r="K314" s="66" t="n"/>
    </row>
    <row r="315" ht="27.75" customHeight="1" s="45">
      <c r="A315" s="65" t="inlineStr">
        <is>
          <t>DAP-1</t>
        </is>
      </c>
      <c r="B315" s="66" t="inlineStr">
        <is>
          <t>External party admitted as organisation-level principal with identity, posture, terms, domain, mandate</t>
        </is>
      </c>
      <c r="C315" s="66" t="inlineStr">
        <is>
          <t>O13 Data &amp; Intelligence Acquisition</t>
        </is>
      </c>
      <c r="D315" s="66" t="inlineStr">
        <is>
          <t>dap_backend_spec_v1</t>
        </is>
      </c>
      <c r="E315" s="66" t="inlineStr">
        <is>
          <t>DAP Backend spec</t>
        </is>
      </c>
      <c r="F315" s="66" t="inlineStr">
        <is>
          <t>PROPOSED</t>
        </is>
      </c>
      <c r="G315" s="66" t="n"/>
      <c r="H315" s="66" t="inlineStr">
        <is>
          <t>DAP (composition — see Doc 0 Component 17)</t>
        </is>
      </c>
      <c r="I315" s="66" t="inlineStr">
        <is>
          <t>DAP_Backend_Spec_v1.docx</t>
        </is>
      </c>
      <c r="J315" s="66" t="inlineStr">
        <is>
          <t>New — not in base registry</t>
        </is>
      </c>
      <c r="K315" s="66" t="n"/>
    </row>
    <row r="316" ht="27.75" customHeight="1" s="45">
      <c r="A316" s="65" t="inlineStr">
        <is>
          <t>DAP-2</t>
        </is>
      </c>
      <c r="B316" s="66" t="inlineStr">
        <is>
          <t>Every request carries a party principal with its own mandate, mark state, behavioural signature</t>
        </is>
      </c>
      <c r="C316" s="66" t="inlineStr">
        <is>
          <t>O13 Data &amp; Intelligence Acquisition</t>
        </is>
      </c>
      <c r="D316" s="66" t="inlineStr">
        <is>
          <t>dap_backend_spec_v1</t>
        </is>
      </c>
      <c r="E316" s="66" t="inlineStr">
        <is>
          <t>DAP Backend spec</t>
        </is>
      </c>
      <c r="F316" s="66" t="inlineStr">
        <is>
          <t>PROPOSED</t>
        </is>
      </c>
      <c r="G316" s="66" t="n"/>
      <c r="H316" s="66" t="inlineStr">
        <is>
          <t>DAP (composition — see Doc 0 Component 17)</t>
        </is>
      </c>
      <c r="I316" s="66" t="inlineStr">
        <is>
          <t>DAP_Backend_Spec_v1.docx</t>
        </is>
      </c>
      <c r="J316" s="66" t="inlineStr">
        <is>
          <t>New — not in base registry</t>
        </is>
      </c>
      <c r="K316" s="66" t="n"/>
    </row>
    <row r="317" ht="27.75" customHeight="1" s="45">
      <c r="A317" s="65" t="inlineStr">
        <is>
          <t>DAP-3</t>
        </is>
      </c>
      <c r="B317" s="66" t="inlineStr">
        <is>
          <t>Connecting an external agent admits an autonomous non-human principal with its own stated scope</t>
        </is>
      </c>
      <c r="C317" s="66" t="inlineStr">
        <is>
          <t>O13 Data &amp; Intelligence Acquisition</t>
        </is>
      </c>
      <c r="D317" s="66" t="inlineStr">
        <is>
          <t>dap_backend_spec_v1</t>
        </is>
      </c>
      <c r="E317" s="66" t="inlineStr">
        <is>
          <t>DAP Backend spec</t>
        </is>
      </c>
      <c r="F317" s="66" t="inlineStr">
        <is>
          <t>PROPOSED</t>
        </is>
      </c>
      <c r="G317" s="66" t="n"/>
      <c r="H317" s="66" t="inlineStr">
        <is>
          <t>DAP (composition — see Doc 0 Component 17)</t>
        </is>
      </c>
      <c r="I317" s="66" t="inlineStr">
        <is>
          <t>DAP_Backend_Spec_v1.docx</t>
        </is>
      </c>
      <c r="J317" s="66" t="inlineStr">
        <is>
          <t>New — not in base registry</t>
        </is>
      </c>
      <c r="K317" s="66" t="n"/>
    </row>
    <row r="318" ht="27.75" customHeight="1" s="45">
      <c r="A318" s="65" t="inlineStr">
        <is>
          <t>DAP-4</t>
        </is>
      </c>
      <c r="B318" s="66" t="inlineStr">
        <is>
          <t>Slow-play extraction detected against cumulative history, not evaluated per request</t>
        </is>
      </c>
      <c r="C318" s="66" t="inlineStr">
        <is>
          <t>O13 Data &amp; Intelligence Acquisition</t>
        </is>
      </c>
      <c r="D318" s="66" t="inlineStr">
        <is>
          <t>dap_backend_spec_v1</t>
        </is>
      </c>
      <c r="E318" s="66" t="inlineStr">
        <is>
          <t>DAP Backend spec</t>
        </is>
      </c>
      <c r="F318" s="66" t="inlineStr">
        <is>
          <t>PROPOSED</t>
        </is>
      </c>
      <c r="G318" s="66" t="n"/>
      <c r="H318" s="66" t="inlineStr">
        <is>
          <t>DAP (composition — see Doc 0 Component 17)</t>
        </is>
      </c>
      <c r="I318" s="66" t="inlineStr">
        <is>
          <t>DAP_Backend_Spec_v1.docx</t>
        </is>
      </c>
      <c r="J318" s="66" t="inlineStr">
        <is>
          <t>New — not in base registry</t>
        </is>
      </c>
      <c r="K318" s="66" t="n"/>
    </row>
    <row r="319" ht="27.75" customHeight="1" s="45">
      <c r="A319" s="65" t="inlineStr">
        <is>
          <t>DAP-5</t>
        </is>
      </c>
      <c r="B319" s="66" t="inlineStr">
        <is>
          <t>DAP is a trust-domain boundary — no shared identifier resolution, store, or credential with the party</t>
        </is>
      </c>
      <c r="C319" s="66" t="inlineStr">
        <is>
          <t>O13 Data &amp; Intelligence Acquisition</t>
        </is>
      </c>
      <c r="D319" s="66" t="inlineStr">
        <is>
          <t>dap_backend_spec_v1</t>
        </is>
      </c>
      <c r="E319" s="66" t="inlineStr">
        <is>
          <t>DAP Backend spec</t>
        </is>
      </c>
      <c r="F319" s="66" t="inlineStr">
        <is>
          <t>PROPOSED</t>
        </is>
      </c>
      <c r="G319" s="66" t="n"/>
      <c r="H319" s="66" t="inlineStr">
        <is>
          <t>DAP (composition — see Doc 0 Component 17)</t>
        </is>
      </c>
      <c r="I319" s="66" t="inlineStr">
        <is>
          <t>DAP_Backend_Spec_v1.docx</t>
        </is>
      </c>
      <c r="J319" s="66" t="inlineStr">
        <is>
          <t>New — not in base registry</t>
        </is>
      </c>
      <c r="K319" s="66" t="n"/>
    </row>
    <row r="320" ht="27.75" customHeight="1" s="45">
      <c r="A320" s="65" t="inlineStr">
        <is>
          <t>DAP-6</t>
        </is>
      </c>
      <c r="B320" s="66" t="inlineStr">
        <is>
          <t>Browse returns aggregate composition only — never unit contents, sample, or preview</t>
        </is>
      </c>
      <c r="C320" s="66" t="inlineStr">
        <is>
          <t>O13 Data &amp; Intelligence Acquisition</t>
        </is>
      </c>
      <c r="D320" s="66" t="inlineStr">
        <is>
          <t>dap_backend_spec_v1</t>
        </is>
      </c>
      <c r="E320" s="66" t="inlineStr">
        <is>
          <t>DAP Backend spec</t>
        </is>
      </c>
      <c r="F320" s="66" t="inlineStr">
        <is>
          <t>PROPOSED</t>
        </is>
      </c>
      <c r="G320" s="66" t="n"/>
      <c r="H320" s="66" t="inlineStr">
        <is>
          <t>DAP (composition — see Doc 0 Component 17)</t>
        </is>
      </c>
      <c r="I320" s="66" t="inlineStr">
        <is>
          <t>DAP_Backend_Spec_v1.docx</t>
        </is>
      </c>
      <c r="J320" s="66" t="inlineStr">
        <is>
          <t>New — not in base registry</t>
        </is>
      </c>
      <c r="K320" s="66" t="n"/>
    </row>
    <row r="321" ht="27.75" customHeight="1" s="45">
      <c r="A321" s="65" t="inlineStr">
        <is>
          <t>DAP-7</t>
        </is>
      </c>
      <c r="B321" s="66" t="inlineStr">
        <is>
          <t>Connected workspace: party's query enters, de-identified results leave, estate data never leaves</t>
        </is>
      </c>
      <c r="C321" s="66" t="inlineStr">
        <is>
          <t>O13 Data &amp; Intelligence Acquisition</t>
        </is>
      </c>
      <c r="D321" s="66" t="inlineStr">
        <is>
          <t>dap_backend_spec_v1</t>
        </is>
      </c>
      <c r="E321" s="66" t="inlineStr">
        <is>
          <t>DAP Backend spec</t>
        </is>
      </c>
      <c r="F321" s="66" t="inlineStr">
        <is>
          <t>PROPOSED</t>
        </is>
      </c>
      <c r="G321" s="66" t="n"/>
      <c r="H321" s="66" t="inlineStr">
        <is>
          <t>DAP (composition — see Doc 0 Component 17)</t>
        </is>
      </c>
      <c r="I321" s="66" t="inlineStr">
        <is>
          <t>DAP_Backend_Spec_v1.docx</t>
        </is>
      </c>
      <c r="J321" s="66" t="inlineStr">
        <is>
          <t>New — not in base registry</t>
        </is>
      </c>
      <c r="K321" s="66" t="n"/>
    </row>
    <row r="322" ht="27.75" customHeight="1" s="45">
      <c r="A322" s="65" t="inlineStr">
        <is>
          <t>DAP-8</t>
        </is>
      </c>
      <c r="B322" s="66" t="inlineStr">
        <is>
          <t>Processed intelligence egresses derived output only; source units recorded, not reconstructable</t>
        </is>
      </c>
      <c r="C322" s="66" t="inlineStr">
        <is>
          <t>O13 Data &amp; Intelligence Acquisition</t>
        </is>
      </c>
      <c r="D322" s="66" t="inlineStr">
        <is>
          <t>dap_backend_spec_v1</t>
        </is>
      </c>
      <c r="E322" s="66" t="inlineStr">
        <is>
          <t>DAP Backend spec</t>
        </is>
      </c>
      <c r="F322" s="66" t="inlineStr">
        <is>
          <t>PROPOSED</t>
        </is>
      </c>
      <c r="G322" s="66" t="n"/>
      <c r="H322" s="66" t="inlineStr">
        <is>
          <t>DAP (composition — see Doc 0 Component 17)</t>
        </is>
      </c>
      <c r="I322" s="66" t="inlineStr">
        <is>
          <t>DAP_Backend_Spec_v1.docx</t>
        </is>
      </c>
      <c r="J322" s="66" t="inlineStr">
        <is>
          <t>New — not in base registry</t>
        </is>
      </c>
      <c r="K322" s="66" t="n"/>
    </row>
    <row r="323" ht="27.75" customHeight="1" s="45">
      <c r="A323" s="65" t="inlineStr">
        <is>
          <t>DAP-9</t>
        </is>
      </c>
      <c r="B323" s="66" t="inlineStr">
        <is>
          <t>Fine-tuning is compute-to-data only — no configuration permits the inverse</t>
        </is>
      </c>
      <c r="C323" s="66" t="inlineStr">
        <is>
          <t>O13 Data &amp; Intelligence Acquisition</t>
        </is>
      </c>
      <c r="D323" s="66" t="inlineStr">
        <is>
          <t>dap_backend_spec_v1</t>
        </is>
      </c>
      <c r="E323" s="66" t="inlineStr">
        <is>
          <t>DAP Backend spec</t>
        </is>
      </c>
      <c r="F323" s="66" t="inlineStr">
        <is>
          <t>PROPOSED</t>
        </is>
      </c>
      <c r="G323" s="66" t="n"/>
      <c r="H323" s="66" t="inlineStr">
        <is>
          <t>DAP (composition — see Doc 0 Component 17)</t>
        </is>
      </c>
      <c r="I323" s="66" t="inlineStr">
        <is>
          <t>DAP_Backend_Spec_v1.docx</t>
        </is>
      </c>
      <c r="J323" s="66" t="inlineStr">
        <is>
          <t>New — not in base registry</t>
        </is>
      </c>
      <c r="K323" s="66" t="n"/>
    </row>
    <row r="324" ht="27.75" customHeight="1" s="45">
      <c r="A324" s="65" t="inlineStr">
        <is>
          <t>DAP-10</t>
        </is>
      </c>
      <c r="B324" s="66" t="inlineStr">
        <is>
          <t>Trained weights/skill files leave as artefact egress with rights posture, hash, terms cited</t>
        </is>
      </c>
      <c r="C324" s="66" t="inlineStr">
        <is>
          <t>O13 Data &amp; Intelligence Acquisition</t>
        </is>
      </c>
      <c r="D324" s="66" t="inlineStr">
        <is>
          <t>dap_backend_spec_v1</t>
        </is>
      </c>
      <c r="E324" s="66" t="inlineStr">
        <is>
          <t>DAP Backend spec</t>
        </is>
      </c>
      <c r="F324" s="66" t="inlineStr">
        <is>
          <t>PROPOSED</t>
        </is>
      </c>
      <c r="G324" s="66" t="n"/>
      <c r="H324" s="66" t="inlineStr">
        <is>
          <t>DAP (composition — see Doc 0 Component 17)</t>
        </is>
      </c>
      <c r="I324" s="66" t="inlineStr">
        <is>
          <t>DAP_Backend_Spec_v1.docx</t>
        </is>
      </c>
      <c r="J324" s="66" t="inlineStr">
        <is>
          <t>New — not in base registry</t>
        </is>
      </c>
      <c r="K324" s="66" t="n"/>
    </row>
    <row r="325" ht="27.75" customHeight="1" s="45">
      <c r="A325" s="65" t="inlineStr">
        <is>
          <t>DAP-11</t>
        </is>
      </c>
      <c r="B325" s="66" t="inlineStr">
        <is>
          <t>Raw download is the outer-gate crossing (#25) — redaction as a gate, evidence record written</t>
        </is>
      </c>
      <c r="C325" s="66" t="inlineStr">
        <is>
          <t>O13 Data &amp; Intelligence Acquisition</t>
        </is>
      </c>
      <c r="D325" s="66" t="inlineStr">
        <is>
          <t>dap_backend_spec_v1</t>
        </is>
      </c>
      <c r="E325" s="66" t="inlineStr">
        <is>
          <t>DAP Backend spec</t>
        </is>
      </c>
      <c r="F325" s="66" t="inlineStr">
        <is>
          <t>PROPOSED</t>
        </is>
      </c>
      <c r="G325" s="66" t="n"/>
      <c r="H325" s="66" t="inlineStr">
        <is>
          <t>DAP (composition — see Doc 0 Component 17)</t>
        </is>
      </c>
      <c r="I325" s="66" t="inlineStr">
        <is>
          <t>DAP_Backend_Spec_v1.docx</t>
        </is>
      </c>
      <c r="J325" s="66" t="inlineStr">
        <is>
          <t>New — not in base registry</t>
        </is>
      </c>
      <c r="K325" s="66" t="n"/>
    </row>
    <row r="326" ht="27.75" customHeight="1" s="45">
      <c r="A326" s="65" t="inlineStr">
        <is>
          <t>DAP-12</t>
        </is>
      </c>
      <c r="B326" s="66" t="inlineStr">
        <is>
          <t>Admission of an external party is a governed act requiring the estate owner's named authority</t>
        </is>
      </c>
      <c r="C326" s="66" t="inlineStr">
        <is>
          <t>O13 Data &amp; Intelligence Acquisition</t>
        </is>
      </c>
      <c r="D326" s="66" t="inlineStr">
        <is>
          <t>dap_backend_spec_v1</t>
        </is>
      </c>
      <c r="E326" s="66" t="inlineStr">
        <is>
          <t>DAP Backend spec</t>
        </is>
      </c>
      <c r="F326" s="66" t="inlineStr">
        <is>
          <t>PROPOSED</t>
        </is>
      </c>
      <c r="G326" s="66" t="n"/>
      <c r="H326" s="66" t="inlineStr">
        <is>
          <t>DAP (composition — see Doc 0 Component 17)</t>
        </is>
      </c>
      <c r="I326" s="66" t="inlineStr">
        <is>
          <t>DAP_Backend_Spec_v1.docx</t>
        </is>
      </c>
      <c r="J326" s="66" t="inlineStr">
        <is>
          <t>New — not in base registry</t>
        </is>
      </c>
      <c r="K326" s="66" t="n"/>
    </row>
    <row r="327" ht="27.75" customHeight="1" s="45">
      <c r="A327" s="65" t="inlineStr">
        <is>
          <t>DAP-13</t>
        </is>
      </c>
      <c r="B327" s="66" t="inlineStr">
        <is>
          <t>API keys per party principal, revocable in one act, expiring, non-transferable, never logged</t>
        </is>
      </c>
      <c r="C327" s="66" t="inlineStr">
        <is>
          <t>O13 Data &amp; Intelligence Acquisition</t>
        </is>
      </c>
      <c r="D327" s="66" t="inlineStr">
        <is>
          <t>dap_backend_spec_v1</t>
        </is>
      </c>
      <c r="E327" s="66" t="inlineStr">
        <is>
          <t>DAP Backend spec</t>
        </is>
      </c>
      <c r="F327" s="66" t="inlineStr">
        <is>
          <t>PROPOSED</t>
        </is>
      </c>
      <c r="G327" s="66" t="n"/>
      <c r="H327" s="66" t="inlineStr">
        <is>
          <t>DAP (composition — see Doc 0 Component 17)</t>
        </is>
      </c>
      <c r="I327" s="66" t="inlineStr">
        <is>
          <t>DAP_Backend_Spec_v1.docx</t>
        </is>
      </c>
      <c r="J327" s="66" t="inlineStr">
        <is>
          <t>New — not in base registry</t>
        </is>
      </c>
      <c r="K327" s="66" t="n"/>
    </row>
    <row r="328" ht="27.75" customHeight="1" s="45">
      <c r="A328" s="65" t="inlineStr">
        <is>
          <t>DAP-14</t>
        </is>
      </c>
      <c r="B328" s="66" t="inlineStr">
        <is>
          <t>Controlled request routes to named approving authority before execution; does not execute pending</t>
        </is>
      </c>
      <c r="C328" s="66" t="inlineStr">
        <is>
          <t>O13 Data &amp; Intelligence Acquisition</t>
        </is>
      </c>
      <c r="D328" s="66" t="inlineStr">
        <is>
          <t>dap_backend_spec_v1</t>
        </is>
      </c>
      <c r="E328" s="66" t="inlineStr">
        <is>
          <t>DAP Backend spec</t>
        </is>
      </c>
      <c r="F328" s="66" t="inlineStr">
        <is>
          <t>PROPOSED</t>
        </is>
      </c>
      <c r="G328" s="66" t="n"/>
      <c r="H328" s="66" t="inlineStr">
        <is>
          <t>DAP (composition — see Doc 0 Component 17)</t>
        </is>
      </c>
      <c r="I328" s="66" t="inlineStr">
        <is>
          <t>DAP_Backend_Spec_v1.docx</t>
        </is>
      </c>
      <c r="J328" s="66" t="inlineStr">
        <is>
          <t>New — not in base registry</t>
        </is>
      </c>
      <c r="K328" s="66" t="n"/>
    </row>
    <row r="329" ht="27.75" customHeight="1" s="45">
      <c r="A329" s="65" t="inlineStr">
        <is>
          <t>DAP-15</t>
        </is>
      </c>
      <c r="B329" s="66" t="inlineStr">
        <is>
          <t>Approval decisions recorded with authority, decision, reason; no execution on silence</t>
        </is>
      </c>
      <c r="C329" s="66" t="inlineStr">
        <is>
          <t>O13 Data &amp; Intelligence Acquisition</t>
        </is>
      </c>
      <c r="D329" s="66" t="inlineStr">
        <is>
          <t>dap_backend_spec_v1</t>
        </is>
      </c>
      <c r="E329" s="66" t="inlineStr">
        <is>
          <t>DAP Backend spec</t>
        </is>
      </c>
      <c r="F329" s="66" t="inlineStr">
        <is>
          <t>PROPOSED</t>
        </is>
      </c>
      <c r="G329" s="66" t="n"/>
      <c r="H329" s="66" t="inlineStr">
        <is>
          <t>DAP (composition — see Doc 0 Component 17)</t>
        </is>
      </c>
      <c r="I329" s="66" t="inlineStr">
        <is>
          <t>DAP_Backend_Spec_v1.docx</t>
        </is>
      </c>
      <c r="J329" s="66" t="inlineStr">
        <is>
          <t>New — not in base registry</t>
        </is>
      </c>
      <c r="K329" s="66" t="n"/>
    </row>
    <row r="330" ht="27.75" customHeight="1" s="45">
      <c r="A330" s="65" t="inlineStr">
        <is>
          <t>DAP-16</t>
        </is>
      </c>
      <c r="B330" s="66" t="inlineStr">
        <is>
          <t>Fine-tune and skill-development always require approval; raw download always if controlled</t>
        </is>
      </c>
      <c r="C330" s="66" t="inlineStr">
        <is>
          <t>O13 Data &amp; Intelligence Acquisition</t>
        </is>
      </c>
      <c r="D330" s="66" t="inlineStr">
        <is>
          <t>dap_backend_spec_v1</t>
        </is>
      </c>
      <c r="E330" s="66" t="inlineStr">
        <is>
          <t>DAP Backend spec</t>
        </is>
      </c>
      <c r="F330" s="66" t="inlineStr">
        <is>
          <t>PROPOSED</t>
        </is>
      </c>
      <c r="G330" s="66" t="n"/>
      <c r="H330" s="66" t="inlineStr">
        <is>
          <t>DAP (composition — see Doc 0 Component 17)</t>
        </is>
      </c>
      <c r="I330" s="66" t="inlineStr">
        <is>
          <t>DAP_Backend_Spec_v1.docx</t>
        </is>
      </c>
      <c r="J330" s="66" t="inlineStr">
        <is>
          <t>New — not in base registry</t>
        </is>
      </c>
      <c r="K330" s="66" t="n"/>
    </row>
    <row r="331" ht="27.75" customHeight="1" s="45">
      <c r="A331" s="65" t="inlineStr">
        <is>
          <t>DAP-17</t>
        </is>
      </c>
      <c r="B331" s="66" t="inlineStr">
        <is>
          <t>Standing approval possible, revocable in one act, must name controlled units explicitly to cover them</t>
        </is>
      </c>
      <c r="C331" s="66" t="inlineStr">
        <is>
          <t>O13 Data &amp; Intelligence Acquisition</t>
        </is>
      </c>
      <c r="D331" s="66" t="inlineStr">
        <is>
          <t>dap_backend_spec_v1</t>
        </is>
      </c>
      <c r="E331" s="66" t="inlineStr">
        <is>
          <t>DAP Backend spec</t>
        </is>
      </c>
      <c r="F331" s="66" t="inlineStr">
        <is>
          <t>PROPOSED</t>
        </is>
      </c>
      <c r="G331" s="66" t="n"/>
      <c r="H331" s="66" t="inlineStr">
        <is>
          <t>DAP (composition — see Doc 0 Component 17)</t>
        </is>
      </c>
      <c r="I331" s="66" t="inlineStr">
        <is>
          <t>DAP_Backend_Spec_v1.docx</t>
        </is>
      </c>
      <c r="J331" s="66" t="inlineStr">
        <is>
          <t>New — not in base registry</t>
        </is>
      </c>
      <c r="K331" s="66" t="n"/>
    </row>
    <row r="332" ht="27.75" customHeight="1" s="45">
      <c r="A332" s="65" t="inlineStr">
        <is>
          <t>DAP-18</t>
        </is>
      </c>
      <c r="B332" s="66" t="inlineStr">
        <is>
          <t>Every extraction is a commissioned job with a frozen objective (#32)</t>
        </is>
      </c>
      <c r="C332" s="66" t="inlineStr">
        <is>
          <t>O13 Data &amp; Intelligence Acquisition</t>
        </is>
      </c>
      <c r="D332" s="66" t="inlineStr">
        <is>
          <t>dap_backend_spec_v1</t>
        </is>
      </c>
      <c r="E332" s="66" t="inlineStr">
        <is>
          <t>DAP Backend spec</t>
        </is>
      </c>
      <c r="F332" s="66" t="inlineStr">
        <is>
          <t>PROPOSED</t>
        </is>
      </c>
      <c r="G332" s="66" t="n"/>
      <c r="H332" s="66" t="inlineStr">
        <is>
          <t>DAP (composition — see Doc 0 Component 17)</t>
        </is>
      </c>
      <c r="I332" s="66" t="inlineStr">
        <is>
          <t>DAP_Backend_Spec_v1.docx</t>
        </is>
      </c>
      <c r="J332" s="66" t="inlineStr">
        <is>
          <t>New — not in base registry</t>
        </is>
      </c>
      <c r="K332" s="66" t="n"/>
    </row>
    <row r="333" ht="27.75" customHeight="1" s="45">
      <c r="A333" s="65" t="inlineStr">
        <is>
          <t>DAP-19</t>
        </is>
      </c>
      <c r="B333" s="66" t="inlineStr">
        <is>
          <t>Every job routes to its governing engine per §4; DAP holds no extraction logic of its own</t>
        </is>
      </c>
      <c r="C333" s="66" t="inlineStr">
        <is>
          <t>O13 Data &amp; Intelligence Acquisition</t>
        </is>
      </c>
      <c r="D333" s="66" t="inlineStr">
        <is>
          <t>dap_backend_spec_v1</t>
        </is>
      </c>
      <c r="E333" s="66" t="inlineStr">
        <is>
          <t>DAP Backend spec</t>
        </is>
      </c>
      <c r="F333" s="66" t="inlineStr">
        <is>
          <t>PROPOSED</t>
        </is>
      </c>
      <c r="G333" s="66" t="n"/>
      <c r="H333" s="66" t="inlineStr">
        <is>
          <t>DAP (composition — see Doc 0 Component 17)</t>
        </is>
      </c>
      <c r="I333" s="66" t="inlineStr">
        <is>
          <t>DAP_Backend_Spec_v1.docx</t>
        </is>
      </c>
      <c r="J333" s="66" t="inlineStr">
        <is>
          <t>New — not in base registry</t>
        </is>
      </c>
      <c r="K333" s="66" t="n"/>
    </row>
    <row r="334" ht="27.75" customHeight="1" s="45">
      <c r="A334" s="65" t="inlineStr">
        <is>
          <t>DAP-20</t>
        </is>
      </c>
      <c r="B334" s="66" t="inlineStr">
        <is>
          <t>Assistance chat may shape pre-commission; cannot approve, widen scope, or decide any gate</t>
        </is>
      </c>
      <c r="C334" s="66" t="inlineStr">
        <is>
          <t>O13 Data &amp; Intelligence Acquisition</t>
        </is>
      </c>
      <c r="D334" s="66" t="inlineStr">
        <is>
          <t>dap_backend_spec_v1</t>
        </is>
      </c>
      <c r="E334" s="66" t="inlineStr">
        <is>
          <t>DAP Backend spec</t>
        </is>
      </c>
      <c r="F334" s="66" t="inlineStr">
        <is>
          <t>PROPOSED</t>
        </is>
      </c>
      <c r="G334" s="66" t="n"/>
      <c r="H334" s="66" t="inlineStr">
        <is>
          <t>DAP (composition — see Doc 0 Component 17)</t>
        </is>
      </c>
      <c r="I334" s="66" t="inlineStr">
        <is>
          <t>DAP_Backend_Spec_v1.docx</t>
        </is>
      </c>
      <c r="J334" s="66" t="inlineStr">
        <is>
          <t>New — not in base registry</t>
        </is>
      </c>
      <c r="K334" s="66" t="n"/>
    </row>
    <row r="335" ht="27.75" customHeight="1" s="45">
      <c r="A335" s="65" t="inlineStr">
        <is>
          <t>DAP-21</t>
        </is>
      </c>
      <c r="B335" s="66" t="inlineStr">
        <is>
          <t>Every operation emits a metered event with all required fields, written before result returned</t>
        </is>
      </c>
      <c r="C335" s="66" t="inlineStr">
        <is>
          <t>O13 Data &amp; Intelligence Acquisition</t>
        </is>
      </c>
      <c r="D335" s="66" t="inlineStr">
        <is>
          <t>dap_backend_spec_v1</t>
        </is>
      </c>
      <c r="E335" s="66" t="inlineStr">
        <is>
          <t>DAP Backend spec</t>
        </is>
      </c>
      <c r="F335" s="66" t="inlineStr">
        <is>
          <t>PROPOSED</t>
        </is>
      </c>
      <c r="G335" s="66" t="n"/>
      <c r="H335" s="66" t="inlineStr">
        <is>
          <t>DAP (composition — see Doc 0 Component 17)</t>
        </is>
      </c>
      <c r="I335" s="66" t="inlineStr">
        <is>
          <t>DAP_Backend_Spec_v1.docx</t>
        </is>
      </c>
      <c r="J335" s="66" t="inlineStr">
        <is>
          <t>New — not in base registry</t>
        </is>
      </c>
      <c r="K335" s="66" t="n"/>
    </row>
    <row r="336" ht="27.75" customHeight="1" s="45">
      <c r="A336" s="65" t="inlineStr">
        <is>
          <t>DAP-22</t>
        </is>
      </c>
      <c r="B336" s="66" t="inlineStr">
        <is>
          <t>Terms resolve most-specific-first: party, then custody class, then estate default</t>
        </is>
      </c>
      <c r="C336" s="66" t="inlineStr">
        <is>
          <t>O13 Data &amp; Intelligence Acquisition</t>
        </is>
      </c>
      <c r="D336" s="66" t="inlineStr">
        <is>
          <t>dap_backend_spec_v1</t>
        </is>
      </c>
      <c r="E336" s="66" t="inlineStr">
        <is>
          <t>DAP Backend spec</t>
        </is>
      </c>
      <c r="F336" s="66" t="inlineStr">
        <is>
          <t>PROPOSED</t>
        </is>
      </c>
      <c r="G336" s="66" t="n"/>
      <c r="H336" s="66" t="inlineStr">
        <is>
          <t>DAP (composition — see Doc 0 Component 17)</t>
        </is>
      </c>
      <c r="I336" s="66" t="inlineStr">
        <is>
          <t>DAP_Backend_Spec_v1.docx</t>
        </is>
      </c>
      <c r="J336" s="66" t="inlineStr">
        <is>
          <t>New — not in base registry</t>
        </is>
      </c>
      <c r="K336" s="66" t="n"/>
    </row>
    <row r="337" ht="27.75" customHeight="1" s="45">
      <c r="A337" s="65" t="inlineStr">
        <is>
          <t>DAP-23</t>
        </is>
      </c>
      <c r="B337" s="66" t="inlineStr">
        <is>
          <t>Spend against ceiling evaluated before execution; over-ceiling routes to a person</t>
        </is>
      </c>
      <c r="C337" s="66" t="inlineStr">
        <is>
          <t>O13 Data &amp; Intelligence Acquisition</t>
        </is>
      </c>
      <c r="D337" s="66" t="inlineStr">
        <is>
          <t>dap_backend_spec_v1</t>
        </is>
      </c>
      <c r="E337" s="66" t="inlineStr">
        <is>
          <t>DAP Backend spec</t>
        </is>
      </c>
      <c r="F337" s="66" t="inlineStr">
        <is>
          <t>PROPOSED</t>
        </is>
      </c>
      <c r="G337" s="66" t="n"/>
      <c r="H337" s="66" t="inlineStr">
        <is>
          <t>DAP (composition — see Doc 0 Component 17)</t>
        </is>
      </c>
      <c r="I337" s="66" t="inlineStr">
        <is>
          <t>DAP_Backend_Spec_v1.docx</t>
        </is>
      </c>
      <c r="J337" s="66" t="inlineStr">
        <is>
          <t>New — not in base registry</t>
        </is>
      </c>
      <c r="K337" s="66" t="n"/>
    </row>
    <row r="338" ht="27.75" customHeight="1" s="45">
      <c r="A338" s="65" t="inlineStr">
        <is>
          <t>DAP-24</t>
        </is>
      </c>
      <c r="B338" s="66" t="inlineStr">
        <is>
          <t>Cumulative extraction history per party is first-class, queryable, retained for full admission</t>
        </is>
      </c>
      <c r="C338" s="66" t="inlineStr">
        <is>
          <t>O13 Data &amp; Intelligence Acquisition</t>
        </is>
      </c>
      <c r="D338" s="66" t="inlineStr">
        <is>
          <t>dap_backend_spec_v1</t>
        </is>
      </c>
      <c r="E338" s="66" t="inlineStr">
        <is>
          <t>DAP Backend spec</t>
        </is>
      </c>
      <c r="F338" s="66" t="inlineStr">
        <is>
          <t>PROPOSED</t>
        </is>
      </c>
      <c r="G338" s="66" t="n"/>
      <c r="H338" s="66" t="inlineStr">
        <is>
          <t>DAP (composition — see Doc 0 Component 17)</t>
        </is>
      </c>
      <c r="I338" s="66" t="inlineStr">
        <is>
          <t>DAP_Backend_Spec_v1.docx</t>
        </is>
      </c>
      <c r="J338" s="66" t="inlineStr">
        <is>
          <t>New — not in base registry</t>
        </is>
      </c>
      <c r="K338" s="66" t="n"/>
    </row>
    <row r="339" ht="27.75" customHeight="1" s="45">
      <c r="A339" s="65" t="inlineStr">
        <is>
          <t>DAP-25</t>
        </is>
      </c>
      <c r="B339" s="66" t="inlineStr">
        <is>
          <t>Every custody-class/operation combination defaults unavailable — availability is granted, not assumed</t>
        </is>
      </c>
      <c r="C339" s="66" t="inlineStr">
        <is>
          <t>O13 Data &amp; Intelligence Acquisition</t>
        </is>
      </c>
      <c r="D339" s="66" t="inlineStr">
        <is>
          <t>dap_backend_spec_v1</t>
        </is>
      </c>
      <c r="E339" s="66" t="inlineStr">
        <is>
          <t>DAP Backend spec</t>
        </is>
      </c>
      <c r="F339" s="66" t="inlineStr">
        <is>
          <t>PROPOSED</t>
        </is>
      </c>
      <c r="G339" s="66" t="n"/>
      <c r="H339" s="66" t="inlineStr">
        <is>
          <t>DAP (composition — see Doc 0 Component 17)</t>
        </is>
      </c>
      <c r="I339" s="66" t="inlineStr">
        <is>
          <t>DAP_Backend_Spec_v1.docx</t>
        </is>
      </c>
      <c r="J339" s="66" t="inlineStr">
        <is>
          <t>New — not in base registry</t>
        </is>
      </c>
      <c r="K339" s="66" t="n"/>
    </row>
    <row r="340" ht="27.75" customHeight="1" s="45">
      <c r="A340" s="65" t="inlineStr">
        <is>
          <t>DAP-26</t>
        </is>
      </c>
      <c r="B340" s="66" t="inlineStr">
        <is>
          <t>Owner sets terms/ceilings per custody class and party; changes never alter receipts already issued</t>
        </is>
      </c>
      <c r="C340" s="66" t="inlineStr">
        <is>
          <t>O13 Data &amp; Intelligence Acquisition</t>
        </is>
      </c>
      <c r="D340" s="66" t="inlineStr">
        <is>
          <t>dap_backend_spec_v1</t>
        </is>
      </c>
      <c r="E340" s="66" t="inlineStr">
        <is>
          <t>DAP Backend spec</t>
        </is>
      </c>
      <c r="F340" s="66" t="inlineStr">
        <is>
          <t>PROPOSED</t>
        </is>
      </c>
      <c r="G340" s="66" t="n"/>
      <c r="H340" s="66" t="inlineStr">
        <is>
          <t>DAP (composition — see Doc 0 Component 17)</t>
        </is>
      </c>
      <c r="I340" s="66" t="inlineStr">
        <is>
          <t>DAP_Backend_Spec_v1.docx</t>
        </is>
      </c>
      <c r="J340" s="66" t="inlineStr">
        <is>
          <t>New — not in base registry</t>
        </is>
      </c>
      <c r="K340" s="66" t="n"/>
    </row>
    <row r="341" ht="27.75" customHeight="1" s="45">
      <c r="A341" s="65" t="inlineStr">
        <is>
          <t>DAP-27</t>
        </is>
      </c>
      <c r="B341" s="66" t="inlineStr">
        <is>
          <t>Owner can suspend a party in one act — halts all in-flight and future operations, recorded</t>
        </is>
      </c>
      <c r="C341" s="66" t="inlineStr">
        <is>
          <t>O13 Data &amp; Intelligence Acquisition</t>
        </is>
      </c>
      <c r="D341" s="66" t="inlineStr">
        <is>
          <t>dap_backend_spec_v1</t>
        </is>
      </c>
      <c r="E341" s="66" t="inlineStr">
        <is>
          <t>DAP Backend spec</t>
        </is>
      </c>
      <c r="F341" s="66" t="inlineStr">
        <is>
          <t>PROPOSED</t>
        </is>
      </c>
      <c r="G341" s="66" t="n"/>
      <c r="H341" s="66" t="inlineStr">
        <is>
          <t>DAP (composition — see Doc 0 Component 17)</t>
        </is>
      </c>
      <c r="I341" s="66" t="inlineStr">
        <is>
          <t>DAP_Backend_Spec_v1.docx</t>
        </is>
      </c>
      <c r="J341" s="66" t="inlineStr">
        <is>
          <t>New — not in base registry</t>
        </is>
      </c>
      <c r="K341" s="66" t="n"/>
    </row>
    <row r="342" ht="27.75" customHeight="1" s="45">
      <c r="A342" s="65" t="inlineStr">
        <is>
          <t>DAP-28</t>
        </is>
      </c>
      <c r="B342" s="66" t="inlineStr">
        <is>
          <t>Every gate fails closed — no result returned when a governing check cannot complete</t>
        </is>
      </c>
      <c r="C342" s="66" t="inlineStr">
        <is>
          <t>O13 Data &amp; Intelligence Acquisition</t>
        </is>
      </c>
      <c r="D342" s="66" t="inlineStr">
        <is>
          <t>dap_backend_spec_v1</t>
        </is>
      </c>
      <c r="E342" s="66" t="inlineStr">
        <is>
          <t>DAP Backend spec</t>
        </is>
      </c>
      <c r="F342" s="66" t="inlineStr">
        <is>
          <t>PROPOSED</t>
        </is>
      </c>
      <c r="G342" s="66" t="n"/>
      <c r="H342" s="66" t="inlineStr">
        <is>
          <t>DAP (composition — see Doc 0 Component 17)</t>
        </is>
      </c>
      <c r="I342" s="66" t="inlineStr">
        <is>
          <t>DAP_Backend_Spec_v1.docx</t>
        </is>
      </c>
      <c r="J342" s="66" t="inlineStr">
        <is>
          <t>New — not in base registry</t>
        </is>
      </c>
      <c r="K342" s="66" t="n"/>
    </row>
    <row r="343" ht="27.75" customHeight="1" s="45">
      <c r="A343" s="65" t="inlineStr">
        <is>
          <t>DAP-29</t>
        </is>
      </c>
      <c r="B343" s="66" t="inlineStr">
        <is>
          <t>A metered event that cannot be written to the Ledger refuses the operation it meters</t>
        </is>
      </c>
      <c r="C343" s="66" t="inlineStr">
        <is>
          <t>O13 Data &amp; Intelligence Acquisition</t>
        </is>
      </c>
      <c r="D343" s="66" t="inlineStr">
        <is>
          <t>dap_backend_spec_v1</t>
        </is>
      </c>
      <c r="E343" s="66" t="inlineStr">
        <is>
          <t>DAP Backend spec</t>
        </is>
      </c>
      <c r="F343" s="66" t="inlineStr">
        <is>
          <t>PROPOSED</t>
        </is>
      </c>
      <c r="G343" s="66" t="n"/>
      <c r="H343" s="66" t="inlineStr">
        <is>
          <t>DAP (composition — see Doc 0 Component 17)</t>
        </is>
      </c>
      <c r="I343" s="66" t="inlineStr">
        <is>
          <t>DAP_Backend_Spec_v1.docx</t>
        </is>
      </c>
      <c r="J343" s="66" t="inlineStr">
        <is>
          <t>New — not in base registry</t>
        </is>
      </c>
      <c r="K343" s="66" t="n"/>
    </row>
    <row r="344" ht="27.75" customHeight="1" s="45">
      <c r="A344" s="65" t="inlineStr">
        <is>
          <t>DAP-30</t>
        </is>
      </c>
      <c r="B344" s="66" t="inlineStr">
        <is>
          <t>Browse degrades rather than refuses — stale data marked as stale, never presented as complete</t>
        </is>
      </c>
      <c r="C344" s="66" t="inlineStr">
        <is>
          <t>O13 Data &amp; Intelligence Acquisition</t>
        </is>
      </c>
      <c r="D344" s="66" t="inlineStr">
        <is>
          <t>dap_backend_spec_v1</t>
        </is>
      </c>
      <c r="E344" s="66" t="inlineStr">
        <is>
          <t>DAP Backend spec</t>
        </is>
      </c>
      <c r="F344" s="66" t="inlineStr">
        <is>
          <t>PROPOSED</t>
        </is>
      </c>
      <c r="G344" s="66" t="n"/>
      <c r="H344" s="66" t="inlineStr">
        <is>
          <t>DAP (composition — see Doc 0 Component 17)</t>
        </is>
      </c>
      <c r="I344" s="66" t="inlineStr">
        <is>
          <t>DAP_Backend_Spec_v1.docx</t>
        </is>
      </c>
      <c r="J344" s="66" t="inlineStr">
        <is>
          <t>New — not in base registry</t>
        </is>
      </c>
      <c r="K344" s="66" t="n"/>
    </row>
    <row r="345" ht="27.75" customHeight="1" s="45">
      <c r="A345" s="65" t="inlineStr">
        <is>
          <t>A5.15</t>
        </is>
      </c>
      <c r="B345" s="66" t="inlineStr">
        <is>
          <t>Output-content gate at every component boundary — reproduction check plus ADVISORY tagging</t>
        </is>
      </c>
      <c r="C345" s="66" t="inlineStr">
        <is>
          <t>O2 Security &amp; Intent</t>
        </is>
      </c>
      <c r="D345" s="66" t="inlineStr">
        <is>
          <t>Security_Amendments_Trojan_Whisper.docx</t>
        </is>
      </c>
      <c r="E345" s="66" t="inlineStr">
        <is>
          <t>Amendment T-1/W-1</t>
        </is>
      </c>
      <c r="F345" s="66" t="inlineStr">
        <is>
          <t>PROPOSED</t>
        </is>
      </c>
      <c r="G345" s="66" t="n"/>
      <c r="H345" s="66" t="inlineStr">
        <is>
          <t>The Watch</t>
        </is>
      </c>
      <c r="I345" s="66" t="inlineStr">
        <is>
          <t>Security_Amendments_Trojan_Whisper.docx</t>
        </is>
      </c>
      <c r="J345" s="66" t="inlineStr">
        <is>
          <t>New — not in base registry</t>
        </is>
      </c>
      <c r="K345" s="66" t="n"/>
    </row>
    <row r="346" ht="36" customHeight="1" s="45">
      <c r="A346" s="65" t="inlineStr">
        <is>
          <t>A5.16</t>
        </is>
      </c>
      <c r="B346" s="66" t="inlineStr">
        <is>
          <t>Recommendation provenance — action within window after ADVISORY output records it as an input; drift on both principals</t>
        </is>
      </c>
      <c r="C346" s="66" t="inlineStr">
        <is>
          <t>O2 Security &amp; Intent</t>
        </is>
      </c>
      <c r="D346" s="66" t="inlineStr">
        <is>
          <t>Security_Amendments_Trojan_Whisper.docx</t>
        </is>
      </c>
      <c r="E346" s="66" t="inlineStr">
        <is>
          <t>Amendment W-2</t>
        </is>
      </c>
      <c r="F346" s="66" t="inlineStr">
        <is>
          <t>PROPOSED</t>
        </is>
      </c>
      <c r="G346" s="66" t="n"/>
      <c r="H346" s="66" t="inlineStr">
        <is>
          <t>The Watch</t>
        </is>
      </c>
      <c r="I346" s="66" t="inlineStr">
        <is>
          <t>Security_Amendments_Trojan_Whisper.docx</t>
        </is>
      </c>
      <c r="J346" s="66" t="inlineStr">
        <is>
          <t>New — not in base registry</t>
        </is>
      </c>
      <c r="K346" s="66" t="n"/>
    </row>
    <row r="347" ht="27.75" customHeight="1" s="45">
      <c r="A347" s="65" t="inlineStr">
        <is>
          <t>A5.17</t>
        </is>
      </c>
      <c r="B347" s="66" t="inlineStr">
        <is>
          <t>Class D vs Class A findings; lineage collapse; friction debited to raiser; drift on raiser if not borne out</t>
        </is>
      </c>
      <c r="C347" s="66" t="inlineStr">
        <is>
          <t>O2 Security &amp; Intent</t>
        </is>
      </c>
      <c r="D347" s="66" t="inlineStr">
        <is>
          <t>Security_Amendments_Trojan_Whisper.docx</t>
        </is>
      </c>
      <c r="E347" s="66" t="inlineStr">
        <is>
          <t>Amendment W-3</t>
        </is>
      </c>
      <c r="F347" s="66" t="inlineStr">
        <is>
          <t>PROPOSED</t>
        </is>
      </c>
      <c r="G347" s="66" t="n"/>
      <c r="H347" s="66" t="inlineStr">
        <is>
          <t>The Watch</t>
        </is>
      </c>
      <c r="I347" s="66" t="inlineStr">
        <is>
          <t>Security_Amendments_Trojan_Whisper.docx</t>
        </is>
      </c>
      <c r="J347" s="66" t="inlineStr">
        <is>
          <t>New — not in base registry</t>
        </is>
      </c>
      <c r="K347" s="66" t="n"/>
    </row>
    <row r="348" ht="27.75" customHeight="1" s="45">
      <c r="A348" s="65" t="inlineStr">
        <is>
          <t>A5.18</t>
        </is>
      </c>
      <c r="B348" s="66" t="inlineStr">
        <is>
          <t>Coalition membership (party, lineage, coordination signature) — joint cumulative history and slow-play</t>
        </is>
      </c>
      <c r="C348" s="66" t="inlineStr">
        <is>
          <t>O2 Security &amp; Intent</t>
        </is>
      </c>
      <c r="D348" s="66" t="inlineStr">
        <is>
          <t>Security_Amendments_Trojan_Whisper.docx</t>
        </is>
      </c>
      <c r="E348" s="66" t="inlineStr">
        <is>
          <t>Amendment W-4</t>
        </is>
      </c>
      <c r="F348" s="66" t="inlineStr">
        <is>
          <t>PROPOSED</t>
        </is>
      </c>
      <c r="G348" s="66" t="n"/>
      <c r="H348" s="66" t="inlineStr">
        <is>
          <t>The Watch</t>
        </is>
      </c>
      <c r="I348" s="66" t="inlineStr">
        <is>
          <t>Security_Amendments_Trojan_Whisper.docx</t>
        </is>
      </c>
      <c r="J348" s="66" t="inlineStr">
        <is>
          <t>New — not in base registry</t>
        </is>
      </c>
      <c r="K348" s="66" t="n"/>
    </row>
    <row r="349" ht="27.75" customHeight="1" s="45">
      <c r="A349" s="65" t="inlineStr">
        <is>
          <t>DAP-31</t>
        </is>
      </c>
      <c r="B349" s="66" t="inlineStr">
        <is>
          <t>Artefact egress distance gate — no weights/skill file leaves without passing a reproduction probe</t>
        </is>
      </c>
      <c r="C349" s="66" t="inlineStr">
        <is>
          <t>O13 Data &amp; Intelligence Acquisition</t>
        </is>
      </c>
      <c r="D349" s="66" t="inlineStr">
        <is>
          <t>Security_Amendments_Trojan_Whisper.docx</t>
        </is>
      </c>
      <c r="E349" s="66" t="inlineStr">
        <is>
          <t>Amendment T-1</t>
        </is>
      </c>
      <c r="F349" s="66" t="inlineStr">
        <is>
          <t>PROPOSED</t>
        </is>
      </c>
      <c r="G349" s="66" t="n"/>
      <c r="H349" s="66" t="inlineStr">
        <is>
          <t>DAP</t>
        </is>
      </c>
      <c r="I349" s="66" t="inlineStr">
        <is>
          <t>Security_Amendments_Trojan_Whisper.docx</t>
        </is>
      </c>
      <c r="J349" s="66" t="inlineStr">
        <is>
          <t>New — not in base registry</t>
        </is>
      </c>
      <c r="K349" s="66" t="n"/>
    </row>
    <row r="350" ht="27.75" customHeight="1" s="45">
      <c r="A350" s="65" t="inlineStr">
        <is>
          <t>DAP-32</t>
        </is>
      </c>
      <c r="B350" s="66" t="inlineStr">
        <is>
          <t>Admission integrity for entering base models — provenance, hash, mirage behavioural probe</t>
        </is>
      </c>
      <c r="C350" s="66" t="inlineStr">
        <is>
          <t>O13 Data &amp; Intelligence Acquisition</t>
        </is>
      </c>
      <c r="D350" s="66" t="inlineStr">
        <is>
          <t>Security_Amendments_Trojan_Whisper.docx</t>
        </is>
      </c>
      <c r="E350" s="66" t="inlineStr">
        <is>
          <t>Amendment T-2</t>
        </is>
      </c>
      <c r="F350" s="66" t="inlineStr">
        <is>
          <t>PROPOSED</t>
        </is>
      </c>
      <c r="G350" s="66" t="n"/>
      <c r="H350" s="66" t="inlineStr">
        <is>
          <t>DAP</t>
        </is>
      </c>
      <c r="I350" s="66" t="inlineStr">
        <is>
          <t>Security_Amendments_Trojan_Whisper.docx</t>
        </is>
      </c>
      <c r="J350" s="66" t="inlineStr">
        <is>
          <t>New — not in base registry</t>
        </is>
      </c>
      <c r="K350" s="66" t="n"/>
    </row>
    <row r="351" ht="27.75" customHeight="1" s="45">
      <c r="A351" s="65" t="inlineStr">
        <is>
          <t>DAP-33</t>
        </is>
      </c>
      <c r="B351" s="66" t="inlineStr">
        <is>
          <t>Every DAP operation's output passes A5.15 before return to the party (browse exempt)</t>
        </is>
      </c>
      <c r="C351" s="66" t="inlineStr">
        <is>
          <t>O13 Data &amp; Intelligence Acquisition</t>
        </is>
      </c>
      <c r="D351" s="66" t="inlineStr">
        <is>
          <t>Security_Amendments_Trojan_Whisper.docx</t>
        </is>
      </c>
      <c r="E351" s="66" t="inlineStr">
        <is>
          <t>Amendment W-1</t>
        </is>
      </c>
      <c r="F351" s="66" t="inlineStr">
        <is>
          <t>PROPOSED</t>
        </is>
      </c>
      <c r="G351" s="66" t="n"/>
      <c r="H351" s="66" t="inlineStr">
        <is>
          <t>DAP</t>
        </is>
      </c>
      <c r="I351" s="66" t="inlineStr">
        <is>
          <t>Security_Amendments_Trojan_Whisper.docx</t>
        </is>
      </c>
      <c r="J351" s="66" t="inlineStr">
        <is>
          <t>New — not in base registry</t>
        </is>
      </c>
      <c r="K351" s="66" t="n"/>
    </row>
    <row r="352" ht="27.75" customHeight="1" s="45">
      <c r="A352" s="65" t="inlineStr">
        <is>
          <t>DAP-34</t>
        </is>
      </c>
      <c r="B352" s="66" t="inlineStr">
        <is>
          <t>Coalition membership recorded at admission; classes (a)/(b) deterministic, class (c) labelled suspicion</t>
        </is>
      </c>
      <c r="C352" s="66" t="inlineStr">
        <is>
          <t>O13 Data &amp; Intelligence Acquisition</t>
        </is>
      </c>
      <c r="D352" s="66" t="inlineStr">
        <is>
          <t>Security_Amendments_Trojan_Whisper.docx</t>
        </is>
      </c>
      <c r="E352" s="66" t="inlineStr">
        <is>
          <t>Amendment W-4</t>
        </is>
      </c>
      <c r="F352" s="66" t="inlineStr">
        <is>
          <t>PROPOSED</t>
        </is>
      </c>
      <c r="G352" s="66" t="n"/>
      <c r="H352" s="66" t="inlineStr">
        <is>
          <t>DAP</t>
        </is>
      </c>
      <c r="I352" s="66" t="inlineStr">
        <is>
          <t>Security_Amendments_Trojan_Whisper.docx</t>
        </is>
      </c>
      <c r="J352" s="66" t="inlineStr">
        <is>
          <t>New — not in base registry</t>
        </is>
      </c>
      <c r="K352" s="66" t="n"/>
    </row>
    <row r="353" ht="36" customHeight="1" s="45">
      <c r="A353" s="65" t="inlineStr">
        <is>
          <t>DAP-35</t>
        </is>
      </c>
      <c r="B353" s="66" t="inlineStr">
        <is>
          <t>Estate release budget — ruled ceiling on total release across all parties/operations/time; floor violation on breach</t>
        </is>
      </c>
      <c r="C353" s="66" t="inlineStr">
        <is>
          <t>O13 Data &amp; Intelligence Acquisition</t>
        </is>
      </c>
      <c r="D353" s="66" t="inlineStr">
        <is>
          <t>Security_Amendments_Trojan_Whisper.docx</t>
        </is>
      </c>
      <c r="E353" s="66" t="inlineStr">
        <is>
          <t>Amendment W-7</t>
        </is>
      </c>
      <c r="F353" s="66" t="inlineStr">
        <is>
          <t>PROPOSED</t>
        </is>
      </c>
      <c r="G353" s="66" t="n"/>
      <c r="H353" s="66" t="inlineStr">
        <is>
          <t>DAP</t>
        </is>
      </c>
      <c r="I353" s="66" t="inlineStr">
        <is>
          <t>Security_Amendments_Trojan_Whisper.docx</t>
        </is>
      </c>
      <c r="J353" s="66" t="inlineStr">
        <is>
          <t>New — not in base registry</t>
        </is>
      </c>
      <c r="K353" s="66" t="n"/>
    </row>
    <row r="354" ht="36" customHeight="1" s="45">
      <c r="A354" s="65" t="inlineStr">
        <is>
          <t>DAP-36</t>
        </is>
      </c>
      <c r="B354" s="66" t="inlineStr">
        <is>
          <t>Differentially private training (DP-SGD) by default for every fine-tune; non-DP requires approval + stricter gate</t>
        </is>
      </c>
      <c r="C354" s="66" t="inlineStr">
        <is>
          <t>O13 Data &amp; Intelligence Acquisition</t>
        </is>
      </c>
      <c r="D354" s="66" t="inlineStr">
        <is>
          <t>Security_Amendments_Trojan_Whisper.docx</t>
        </is>
      </c>
      <c r="E354" s="66" t="inlineStr">
        <is>
          <t>Amendment W-8</t>
        </is>
      </c>
      <c r="F354" s="66" t="inlineStr">
        <is>
          <t>PROPOSED</t>
        </is>
      </c>
      <c r="G354" s="66" t="n"/>
      <c r="H354" s="66" t="inlineStr">
        <is>
          <t>DAP</t>
        </is>
      </c>
      <c r="I354" s="66" t="inlineStr">
        <is>
          <t>Security_Amendments_Trojan_Whisper.docx</t>
        </is>
      </c>
      <c r="J354" s="66" t="inlineStr">
        <is>
          <t>New — not in base registry</t>
        </is>
      </c>
      <c r="K354" s="66" t="n"/>
    </row>
    <row r="355" ht="27.75" customHeight="1" s="45">
      <c r="A355" s="65" t="inlineStr">
        <is>
          <t>BR-1.1</t>
        </is>
      </c>
      <c r="B355" s="66" t="inlineStr">
        <is>
          <t>Every path to the external model client enumerated, routes through the chokepoint, negative-scan build test</t>
        </is>
      </c>
      <c r="C355" s="66" t="inlineStr">
        <is>
          <t>O14 Governance Architecture (Doc 0, Part 2)</t>
        </is>
      </c>
      <c r="D355" s="66" t="inlineStr">
        <is>
          <t>akki_governance_architecture_v1</t>
        </is>
      </c>
      <c r="E355" s="66" t="inlineStr">
        <is>
          <t>Governance Architecture</t>
        </is>
      </c>
      <c r="F355" s="66" t="inlineStr">
        <is>
          <t>PROPOSED</t>
        </is>
      </c>
      <c r="G355" s="66" t="n"/>
      <c r="H355" s="66" t="inlineStr">
        <is>
          <t>SyniSense</t>
        </is>
      </c>
      <c r="I355" s="66" t="inlineStr">
        <is>
          <t>Akki_Governance_Architecture_v1.docx</t>
        </is>
      </c>
      <c r="J355" s="80" t="inlineStr">
        <is>
          <t>CITES A5.1 — restates, not new build scope</t>
        </is>
      </c>
      <c r="K355" s="66" t="n"/>
    </row>
    <row r="356" ht="27.75" customHeight="1" s="45">
      <c r="A356" s="65" t="inlineStr">
        <is>
          <t>BR-1.2</t>
        </is>
      </c>
      <c r="B356" s="66" t="inlineStr">
        <is>
          <t>Chokepoint policy held outside runtime alteration by the crossing subject, integrity-verified at load</t>
        </is>
      </c>
      <c r="C356" s="66" t="inlineStr">
        <is>
          <t>O14 Governance Architecture (Doc 0, Part 2)</t>
        </is>
      </c>
      <c r="D356" s="66" t="inlineStr">
        <is>
          <t>akki_governance_architecture_v1</t>
        </is>
      </c>
      <c r="E356" s="66" t="inlineStr">
        <is>
          <t>Governance Architecture</t>
        </is>
      </c>
      <c r="F356" s="66" t="inlineStr">
        <is>
          <t>PROPOSED</t>
        </is>
      </c>
      <c r="G356" s="66" t="n"/>
      <c r="H356" s="66" t="inlineStr">
        <is>
          <t>SyniSense</t>
        </is>
      </c>
      <c r="I356" s="66" t="inlineStr">
        <is>
          <t>Akki_Governance_Architecture_v1.docx</t>
        </is>
      </c>
      <c r="J356" s="66" t="inlineStr">
        <is>
          <t>Partial extension of A5.5 — runtime half is new (=G-6)</t>
        </is>
      </c>
      <c r="K356" s="66" t="n"/>
    </row>
    <row r="357" ht="27.75" customHeight="1" s="45">
      <c r="A357" s="65" t="inlineStr">
        <is>
          <t>BR-1.3</t>
        </is>
      </c>
      <c r="B357" s="66" t="inlineStr">
        <is>
          <t>Trust receipt schema carries invoking-principal identity and reliable timestamp</t>
        </is>
      </c>
      <c r="C357" s="66" t="inlineStr">
        <is>
          <t>O14 Governance Architecture (Doc 0, Part 2)</t>
        </is>
      </c>
      <c r="D357" s="66" t="inlineStr">
        <is>
          <t>akki_governance_architecture_v1</t>
        </is>
      </c>
      <c r="E357" s="66" t="inlineStr">
        <is>
          <t>Governance Architecture</t>
        </is>
      </c>
      <c r="F357" s="66" t="inlineStr">
        <is>
          <t>PROPOSED</t>
        </is>
      </c>
      <c r="G357" s="66" t="n"/>
      <c r="H357" s="66" t="inlineStr">
        <is>
          <t>SyniSense</t>
        </is>
      </c>
      <c r="I357" s="66" t="inlineStr">
        <is>
          <t>Akki_Governance_Architecture_v1.docx</t>
        </is>
      </c>
      <c r="J357" s="80" t="inlineStr">
        <is>
          <t>CITES A5.7/G-8 — same fix as DAP-33's dependency</t>
        </is>
      </c>
      <c r="K357" s="66" t="n"/>
    </row>
    <row r="358" ht="27.75" customHeight="1" s="45">
      <c r="A358" s="65" t="inlineStr">
        <is>
          <t>BR-1.4</t>
        </is>
      </c>
      <c r="B358" s="66" t="inlineStr">
        <is>
          <t>Every crossing asset carries an explicit, typed custody classification</t>
        </is>
      </c>
      <c r="C358" s="66" t="inlineStr">
        <is>
          <t>O14 Governance Architecture (Doc 0, Part 2)</t>
        </is>
      </c>
      <c r="D358" s="66" t="inlineStr">
        <is>
          <t>akki_governance_architecture_v1</t>
        </is>
      </c>
      <c r="E358" s="66" t="inlineStr">
        <is>
          <t>Governance Architecture</t>
        </is>
      </c>
      <c r="F358" s="66" t="inlineStr">
        <is>
          <t>PROPOSED</t>
        </is>
      </c>
      <c r="G358" s="66" t="n"/>
      <c r="H358" s="66" t="inlineStr">
        <is>
          <t>SyniSense</t>
        </is>
      </c>
      <c r="I358" s="66" t="inlineStr">
        <is>
          <t>Akki_Governance_Architecture_v1.docx</t>
        </is>
      </c>
      <c r="J358" s="80" t="inlineStr">
        <is>
          <t>CITES A5.3/Promise #4 — typing is the new part</t>
        </is>
      </c>
      <c r="K358" s="66" t="n"/>
    </row>
    <row r="359" ht="27.75" customHeight="1" s="45">
      <c r="A359" s="65" t="inlineStr">
        <is>
          <t>BR-1.5</t>
        </is>
      </c>
      <c r="B359" s="66" t="inlineStr">
        <is>
          <t>Chokepoint fails closed on internal error, independent of the Watch</t>
        </is>
      </c>
      <c r="C359" s="66" t="inlineStr">
        <is>
          <t>O14 Governance Architecture (Doc 0, Part 2)</t>
        </is>
      </c>
      <c r="D359" s="66" t="inlineStr">
        <is>
          <t>akki_governance_architecture_v1</t>
        </is>
      </c>
      <c r="E359" s="66" t="inlineStr">
        <is>
          <t>Governance Architecture</t>
        </is>
      </c>
      <c r="F359" s="66" t="inlineStr">
        <is>
          <t>PROPOSED</t>
        </is>
      </c>
      <c r="G359" s="66" t="n"/>
      <c r="H359" s="66" t="inlineStr">
        <is>
          <t>SyniSense</t>
        </is>
      </c>
      <c r="I359" s="66" t="inlineStr">
        <is>
          <t>Akki_Governance_Architecture_v1.docx</t>
        </is>
      </c>
      <c r="J359" s="80" t="inlineStr">
        <is>
          <t>CITES A5.9/A5.6 — restates</t>
        </is>
      </c>
      <c r="K359" s="66" t="n"/>
    </row>
    <row r="360" ht="27.75" customHeight="1" s="45">
      <c r="A360" s="65" t="inlineStr">
        <is>
          <t>BR-2.1</t>
        </is>
      </c>
      <c r="B360" s="66" t="inlineStr">
        <is>
          <t>Two-faculty seam enforced by import assertion, not convention</t>
        </is>
      </c>
      <c r="C360" s="66" t="inlineStr">
        <is>
          <t>O14 Governance Architecture (Doc 0, Part 2)</t>
        </is>
      </c>
      <c r="D360" s="66" t="inlineStr">
        <is>
          <t>akki_governance_architecture_v1</t>
        </is>
      </c>
      <c r="E360" s="66" t="inlineStr">
        <is>
          <t>Governance Architecture</t>
        </is>
      </c>
      <c r="F360" s="66" t="inlineStr">
        <is>
          <t>PROPOSED</t>
        </is>
      </c>
      <c r="G360" s="66" t="n"/>
      <c r="H360" s="66" t="inlineStr">
        <is>
          <t>Solva</t>
        </is>
      </c>
      <c r="I360" s="66" t="inlineStr">
        <is>
          <t>Akki_Governance_Architecture_v1.docx</t>
        </is>
      </c>
      <c r="J360" s="80" t="inlineStr">
        <is>
          <t>CITES Promise #31 — restates</t>
        </is>
      </c>
      <c r="K360" s="66" t="n"/>
    </row>
    <row r="361" ht="27.75" customHeight="1" s="45">
      <c r="A361" s="65" t="inlineStr">
        <is>
          <t>BR-2.2</t>
        </is>
      </c>
      <c r="B361" s="66" t="inlineStr">
        <is>
          <t>Innovate outcomes recorded as joint Solva+CIF at point of production</t>
        </is>
      </c>
      <c r="C361" s="66" t="inlineStr">
        <is>
          <t>O14 Governance Architecture (Doc 0, Part 2)</t>
        </is>
      </c>
      <c r="D361" s="66" t="inlineStr">
        <is>
          <t>akki_governance_architecture_v1</t>
        </is>
      </c>
      <c r="E361" s="66" t="inlineStr">
        <is>
          <t>Governance Architecture</t>
        </is>
      </c>
      <c r="F361" s="66" t="inlineStr">
        <is>
          <t>PROPOSED</t>
        </is>
      </c>
      <c r="G361" s="66" t="n"/>
      <c r="H361" s="66" t="inlineStr">
        <is>
          <t>Solva</t>
        </is>
      </c>
      <c r="I361" s="66" t="inlineStr">
        <is>
          <t>Akki_Governance_Architecture_v1.docx</t>
        </is>
      </c>
      <c r="J361" s="66" t="inlineStr">
        <is>
          <t>New — recording mechanism not previously specified</t>
        </is>
      </c>
      <c r="K361" s="66" t="n"/>
    </row>
    <row r="362" ht="27.75" customHeight="1" s="45">
      <c r="A362" s="65" t="inlineStr">
        <is>
          <t>BR-2.3</t>
        </is>
      </c>
      <c r="B362" s="66" t="inlineStr">
        <is>
          <t>Reasoning trace retained from first commit, independently verifiable</t>
        </is>
      </c>
      <c r="C362" s="66" t="inlineStr">
        <is>
          <t>O14 Governance Architecture (Doc 0, Part 2)</t>
        </is>
      </c>
      <c r="D362" s="66" t="inlineStr">
        <is>
          <t>akki_governance_architecture_v1</t>
        </is>
      </c>
      <c r="E362" s="66" t="inlineStr">
        <is>
          <t>Governance Architecture</t>
        </is>
      </c>
      <c r="F362" s="66" t="inlineStr">
        <is>
          <t>PROPOSED</t>
        </is>
      </c>
      <c r="G362" s="66" t="n"/>
      <c r="H362" s="66" t="inlineStr">
        <is>
          <t>Solva</t>
        </is>
      </c>
      <c r="I362" s="66" t="inlineStr">
        <is>
          <t>Akki_Governance_Architecture_v1.docx</t>
        </is>
      </c>
      <c r="J362" s="80" t="inlineStr">
        <is>
          <t>CITES Promise #31 — restates</t>
        </is>
      </c>
      <c r="K362" s="66" t="n"/>
    </row>
    <row r="363" ht="27.75" customHeight="1" s="45">
      <c r="A363" s="65" t="inlineStr">
        <is>
          <t>BR-3.1</t>
        </is>
      </c>
      <c r="B363" s="66" t="inlineStr">
        <is>
          <t>Objective-freeze mechanism is single, shared implementation across all hand-offs</t>
        </is>
      </c>
      <c r="C363" s="66" t="inlineStr">
        <is>
          <t>O14 Governance Architecture (Doc 0, Part 2)</t>
        </is>
      </c>
      <c r="D363" s="66" t="inlineStr">
        <is>
          <t>akki_governance_architecture_v1</t>
        </is>
      </c>
      <c r="E363" s="66" t="inlineStr">
        <is>
          <t>Governance Architecture</t>
        </is>
      </c>
      <c r="F363" s="66" t="inlineStr">
        <is>
          <t>PROPOSED</t>
        </is>
      </c>
      <c r="G363" s="66" t="n"/>
      <c r="H363" s="66" t="inlineStr">
        <is>
          <t>Northena</t>
        </is>
      </c>
      <c r="I363" s="66" t="inlineStr">
        <is>
          <t>Akki_Governance_Architecture_v1.docx</t>
        </is>
      </c>
      <c r="J363" s="80" t="inlineStr">
        <is>
          <t>CITES Promise #32 — restates</t>
        </is>
      </c>
      <c r="K363" s="66" t="n"/>
    </row>
    <row r="364" ht="27.75" customHeight="1" s="45">
      <c r="A364" s="65" t="inlineStr">
        <is>
          <t>BR-3.2</t>
        </is>
      </c>
      <c r="B364" s="66" t="inlineStr">
        <is>
          <t>Progressive disclosure states its outcome set explicitly per checkpoint</t>
        </is>
      </c>
      <c r="C364" s="66" t="inlineStr">
        <is>
          <t>O14 Governance Architecture (Doc 0, Part 2)</t>
        </is>
      </c>
      <c r="D364" s="66" t="inlineStr">
        <is>
          <t>akki_governance_architecture_v1</t>
        </is>
      </c>
      <c r="E364" s="66" t="inlineStr">
        <is>
          <t>Governance Architecture</t>
        </is>
      </c>
      <c r="F364" s="66" t="inlineStr">
        <is>
          <t>PROPOSED</t>
        </is>
      </c>
      <c r="G364" s="66" t="n"/>
      <c r="H364" s="66" t="inlineStr">
        <is>
          <t>Northena</t>
        </is>
      </c>
      <c r="I364" s="66" t="inlineStr">
        <is>
          <t>Akki_Governance_Architecture_v1.docx</t>
        </is>
      </c>
      <c r="J364" s="66" t="inlineStr">
        <is>
          <t>New — not confirmed in canon</t>
        </is>
      </c>
      <c r="K364" s="66" t="n"/>
    </row>
    <row r="365" ht="27.75" customHeight="1" s="45">
      <c r="A365" s="65" t="inlineStr">
        <is>
          <t>BR-4.1</t>
        </is>
      </c>
      <c r="B365" s="66" t="inlineStr">
        <is>
          <t>Registry asset coverage extended from estate sources to full asset class, owners named</t>
        </is>
      </c>
      <c r="C365" s="66" t="inlineStr">
        <is>
          <t>O14 Governance Architecture (Doc 0, Part 2)</t>
        </is>
      </c>
      <c r="D365" s="66" t="inlineStr">
        <is>
          <t>akki_governance_architecture_v1</t>
        </is>
      </c>
      <c r="E365" s="66" t="inlineStr">
        <is>
          <t>Governance Architecture</t>
        </is>
      </c>
      <c r="F365" s="66" t="inlineStr">
        <is>
          <t>PROPOSED</t>
        </is>
      </c>
      <c r="G365" s="66" t="n"/>
      <c r="H365" s="66" t="inlineStr">
        <is>
          <t>Mtafiti</t>
        </is>
      </c>
      <c r="I365" s="66" t="inlineStr">
        <is>
          <t>Akki_Governance_Architecture_v1.docx</t>
        </is>
      </c>
      <c r="J365" s="66" t="inlineStr">
        <is>
          <t>New build scope (=G-3)</t>
        </is>
      </c>
      <c r="K365" s="66" t="n"/>
    </row>
    <row r="366" ht="27.75" customHeight="1" s="45">
      <c r="A366" s="65" t="inlineStr">
        <is>
          <t>BR-4.2</t>
        </is>
      </c>
      <c r="B366" s="66" t="inlineStr">
        <is>
          <t>Registry exposes its asset-classification scheme on request</t>
        </is>
      </c>
      <c r="C366" s="66" t="inlineStr">
        <is>
          <t>O14 Governance Architecture (Doc 0, Part 2)</t>
        </is>
      </c>
      <c r="D366" s="66" t="inlineStr">
        <is>
          <t>akki_governance_architecture_v1</t>
        </is>
      </c>
      <c r="E366" s="66" t="inlineStr">
        <is>
          <t>Governance Architecture</t>
        </is>
      </c>
      <c r="F366" s="66" t="inlineStr">
        <is>
          <t>PROPOSED</t>
        </is>
      </c>
      <c r="G366" s="66" t="n"/>
      <c r="H366" s="66" t="inlineStr">
        <is>
          <t>Mtafiti</t>
        </is>
      </c>
      <c r="I366" s="66" t="inlineStr">
        <is>
          <t>Akki_Governance_Architecture_v1.docx</t>
        </is>
      </c>
      <c r="J366" s="66" t="inlineStr">
        <is>
          <t>Partial — census specified, class list not confirmed</t>
        </is>
      </c>
      <c r="K366" s="66" t="n"/>
    </row>
    <row r="367" ht="27.75" customHeight="1" s="45">
      <c r="A367" s="65" t="inlineStr">
        <is>
          <t>BR-5.1</t>
        </is>
      </c>
      <c r="B367" s="66" t="inlineStr">
        <is>
          <t>Model acceptance requires every criterion or full refusal, no partial acceptance</t>
        </is>
      </c>
      <c r="C367" s="66" t="inlineStr">
        <is>
          <t>O14 Governance Architecture (Doc 0, Part 2)</t>
        </is>
      </c>
      <c r="D367" s="66" t="inlineStr">
        <is>
          <t>akki_governance_architecture_v1</t>
        </is>
      </c>
      <c r="E367" s="66" t="inlineStr">
        <is>
          <t>Governance Architecture</t>
        </is>
      </c>
      <c r="F367" s="66" t="inlineStr">
        <is>
          <t>PROPOSED</t>
        </is>
      </c>
      <c r="G367" s="66" t="n"/>
      <c r="H367" s="66" t="inlineStr">
        <is>
          <t>Targeta</t>
        </is>
      </c>
      <c r="I367" s="66" t="inlineStr">
        <is>
          <t>Akki_Governance_Architecture_v1.docx</t>
        </is>
      </c>
      <c r="J367" s="80" t="inlineStr">
        <is>
          <t>CITES Promise #22/MOAC — restates</t>
        </is>
      </c>
      <c r="K367" s="66" t="n"/>
    </row>
    <row r="368" ht="27.75" customHeight="1" s="45">
      <c r="A368" s="65" t="inlineStr">
        <is>
          <t>BR-5.2</t>
        </is>
      </c>
      <c r="B368" s="66" t="inlineStr">
        <is>
          <t>Yield wall detects/optimises only; acceptance authority sits downstream of it</t>
        </is>
      </c>
      <c r="C368" s="66" t="inlineStr">
        <is>
          <t>O14 Governance Architecture (Doc 0, Part 2)</t>
        </is>
      </c>
      <c r="D368" s="66" t="inlineStr">
        <is>
          <t>akki_governance_architecture_v1</t>
        </is>
      </c>
      <c r="E368" s="66" t="inlineStr">
        <is>
          <t>Governance Architecture</t>
        </is>
      </c>
      <c r="F368" s="66" t="inlineStr">
        <is>
          <t>PROPOSED</t>
        </is>
      </c>
      <c r="G368" s="66" t="n"/>
      <c r="H368" s="66" t="inlineStr">
        <is>
          <t>Targeta</t>
        </is>
      </c>
      <c r="I368" s="66" t="inlineStr">
        <is>
          <t>Akki_Governance_Architecture_v1.docx</t>
        </is>
      </c>
      <c r="J368" s="80" t="inlineStr">
        <is>
          <t>CITES 19A.2 — restates</t>
        </is>
      </c>
      <c r="K368" s="66" t="n"/>
    </row>
    <row r="369" ht="27.75" customHeight="1" s="45">
      <c r="A369" s="65" t="inlineStr">
        <is>
          <t>BR-5.3</t>
        </is>
      </c>
      <c r="B369" s="66" t="inlineStr">
        <is>
          <t>Acceptance policy stated as a named SFP over the governed triad</t>
        </is>
      </c>
      <c r="C369" s="66" t="inlineStr">
        <is>
          <t>O14 Governance Architecture (Doc 0, Part 2)</t>
        </is>
      </c>
      <c r="D369" s="66" t="inlineStr">
        <is>
          <t>akki_governance_architecture_v1</t>
        </is>
      </c>
      <c r="E369" s="66" t="inlineStr">
        <is>
          <t>Governance Architecture</t>
        </is>
      </c>
      <c r="F369" s="66" t="inlineStr">
        <is>
          <t>PROPOSED</t>
        </is>
      </c>
      <c r="G369" s="66" t="n"/>
      <c r="H369" s="66" t="inlineStr">
        <is>
          <t>Targeta</t>
        </is>
      </c>
      <c r="I369" s="66" t="inlineStr">
        <is>
          <t>Akki_Governance_Architecture_v1.docx</t>
        </is>
      </c>
      <c r="J369" s="66" t="inlineStr">
        <is>
          <t>New build scope (=G-7)</t>
        </is>
      </c>
      <c r="K369" s="66" t="n"/>
    </row>
    <row r="370" ht="27.75" customHeight="1" s="45">
      <c r="A370" s="65" t="inlineStr">
        <is>
          <t>BR-6.1</t>
        </is>
      </c>
      <c r="B370" s="66" t="inlineStr">
        <is>
          <t>Every subsystem hand-off crosses a registered hand-off checkpoint, not only the one instantiated crossing</t>
        </is>
      </c>
      <c r="C370" s="66" t="inlineStr">
        <is>
          <t>O14 Governance Architecture (Doc 0, Part 2)</t>
        </is>
      </c>
      <c r="D370" s="66" t="inlineStr">
        <is>
          <t>akki_governance_architecture_v1</t>
        </is>
      </c>
      <c r="E370" s="66" t="inlineStr">
        <is>
          <t>Governance Architecture</t>
        </is>
      </c>
      <c r="F370" s="66" t="inlineStr">
        <is>
          <t>PROPOSED</t>
        </is>
      </c>
      <c r="G370" s="66" t="n"/>
      <c r="H370" s="66" t="inlineStr">
        <is>
          <t>Mkondo</t>
        </is>
      </c>
      <c r="I370" s="66" t="inlineStr">
        <is>
          <t>Akki_Governance_Architecture_v1.docx</t>
        </is>
      </c>
      <c r="J370" s="66" t="inlineStr">
        <is>
          <t>New build scope (=G-13)</t>
        </is>
      </c>
      <c r="K370" s="66" t="n"/>
    </row>
    <row r="371" ht="27.75" customHeight="1" s="45">
      <c r="A371" s="65" t="inlineStr">
        <is>
          <t>BR-6.2</t>
        </is>
      </c>
      <c r="B371" s="66" t="inlineStr">
        <is>
          <t>Malformed hand-off surfaces as a finding at the point of hand-off</t>
        </is>
      </c>
      <c r="C371" s="66" t="inlineStr">
        <is>
          <t>O14 Governance Architecture (Doc 0, Part 2)</t>
        </is>
      </c>
      <c r="D371" s="66" t="inlineStr">
        <is>
          <t>akki_governance_architecture_v1</t>
        </is>
      </c>
      <c r="E371" s="66" t="inlineStr">
        <is>
          <t>Governance Architecture</t>
        </is>
      </c>
      <c r="F371" s="66" t="inlineStr">
        <is>
          <t>PROPOSED</t>
        </is>
      </c>
      <c r="G371" s="66" t="n"/>
      <c r="H371" s="66" t="inlineStr">
        <is>
          <t>Mkondo</t>
        </is>
      </c>
      <c r="I371" s="66" t="inlineStr">
        <is>
          <t>Akki_Governance_Architecture_v1.docx</t>
        </is>
      </c>
      <c r="J371" s="66" t="inlineStr">
        <is>
          <t>Partial — true for the one instance, per BR-6.1</t>
        </is>
      </c>
      <c r="K371" s="66" t="n"/>
    </row>
    <row r="372" ht="27.75" customHeight="1" s="45">
      <c r="A372" s="65" t="inlineStr">
        <is>
          <t>BR-6.3</t>
        </is>
      </c>
      <c r="B372" s="66" t="inlineStr">
        <is>
          <t>No-dual-hatted-task rule enforced at the hand-off checkpoint, not left to convention</t>
        </is>
      </c>
      <c r="C372" s="66" t="inlineStr">
        <is>
          <t>O14 Governance Architecture (Doc 0, Part 2)</t>
        </is>
      </c>
      <c r="D372" s="66" t="inlineStr">
        <is>
          <t>akki_governance_architecture_v1</t>
        </is>
      </c>
      <c r="E372" s="66" t="inlineStr">
        <is>
          <t>Governance Architecture</t>
        </is>
      </c>
      <c r="F372" s="66" t="inlineStr">
        <is>
          <t>PROPOSED</t>
        </is>
      </c>
      <c r="G372" s="66" t="n"/>
      <c r="H372" s="66" t="inlineStr">
        <is>
          <t>Mkondo</t>
        </is>
      </c>
      <c r="I372" s="66" t="inlineStr">
        <is>
          <t>Akki_Governance_Architecture_v1.docx</t>
        </is>
      </c>
      <c r="J372" s="80" t="inlineStr">
        <is>
          <t>CITES Promise #32 — restates, enforcement mechanism is new</t>
        </is>
      </c>
      <c r="K372" s="66" t="n"/>
    </row>
    <row r="373" ht="27.75" customHeight="1" s="45">
      <c r="A373" s="65" t="inlineStr">
        <is>
          <t>BR-7.1</t>
        </is>
      </c>
      <c r="B373" s="66" t="inlineStr">
        <is>
          <t>Grey Mirror/Watch decision-enforcement roles implemented as separable components</t>
        </is>
      </c>
      <c r="C373" s="66" t="inlineStr">
        <is>
          <t>O14 Governance Architecture (Doc 0, Part 2)</t>
        </is>
      </c>
      <c r="D373" s="66" t="inlineStr">
        <is>
          <t>akki_governance_architecture_v1</t>
        </is>
      </c>
      <c r="E373" s="66" t="inlineStr">
        <is>
          <t>Governance Architecture</t>
        </is>
      </c>
      <c r="F373" s="66" t="inlineStr">
        <is>
          <t>PROPOSED</t>
        </is>
      </c>
      <c r="G373" s="66" t="n"/>
      <c r="H373" s="66" t="inlineStr">
        <is>
          <t>The Watch</t>
        </is>
      </c>
      <c r="I373" s="66" t="inlineStr">
        <is>
          <t>Akki_Governance_Architecture_v1.docx</t>
        </is>
      </c>
      <c r="J373" s="80" t="inlineStr">
        <is>
          <t>CITES A5.1/#6 — restates</t>
        </is>
      </c>
      <c r="K373" s="66" t="n"/>
    </row>
    <row r="374" ht="27.75" customHeight="1" s="45">
      <c r="A374" s="65" t="inlineStr">
        <is>
          <t>BR-7.2</t>
        </is>
      </c>
      <c r="B374" s="66" t="inlineStr">
        <is>
          <t>Watch's own trust domain described with a stated boundary</t>
        </is>
      </c>
      <c r="C374" s="66" t="inlineStr">
        <is>
          <t>O14 Governance Architecture (Doc 0, Part 2)</t>
        </is>
      </c>
      <c r="D374" s="66" t="inlineStr">
        <is>
          <t>akki_governance_architecture_v1</t>
        </is>
      </c>
      <c r="E374" s="66" t="inlineStr">
        <is>
          <t>Governance Architecture</t>
        </is>
      </c>
      <c r="F374" s="66" t="inlineStr">
        <is>
          <t>PROPOSED</t>
        </is>
      </c>
      <c r="G374" s="66" t="n"/>
      <c r="H374" s="66" t="inlineStr">
        <is>
          <t>The Watch</t>
        </is>
      </c>
      <c r="I374" s="66" t="inlineStr">
        <is>
          <t>Akki_Governance_Architecture_v1.docx</t>
        </is>
      </c>
      <c r="J374" s="66" t="inlineStr">
        <is>
          <t>New build scope (=G-12)</t>
        </is>
      </c>
      <c r="K374" s="66" t="n"/>
    </row>
    <row r="375" ht="27.75" customHeight="1" s="45">
      <c r="A375" s="65" t="inlineStr">
        <is>
          <t>BR-7.3</t>
        </is>
      </c>
      <c r="B375" s="66" t="inlineStr">
        <is>
          <t>Watch's own ceremony: slowest tier, external witness, documented procedure</t>
        </is>
      </c>
      <c r="C375" s="66" t="inlineStr">
        <is>
          <t>O14 Governance Architecture (Doc 0, Part 2)</t>
        </is>
      </c>
      <c r="D375" s="66" t="inlineStr">
        <is>
          <t>akki_governance_architecture_v1</t>
        </is>
      </c>
      <c r="E375" s="66" t="inlineStr">
        <is>
          <t>Governance Architecture</t>
        </is>
      </c>
      <c r="F375" s="66" t="inlineStr">
        <is>
          <t>PROPOSED</t>
        </is>
      </c>
      <c r="G375" s="66" t="n"/>
      <c r="H375" s="66" t="inlineStr">
        <is>
          <t>The Watch</t>
        </is>
      </c>
      <c r="I375" s="66" t="inlineStr">
        <is>
          <t>Akki_Governance_Architecture_v1.docx</t>
        </is>
      </c>
      <c r="J375" s="80" t="inlineStr">
        <is>
          <t>CITES A5.8/A5.11 — restates, precedent for RBM-8</t>
        </is>
      </c>
      <c r="K375" s="66" t="n"/>
    </row>
    <row r="376" ht="27.75" customHeight="1" s="45">
      <c r="A376" s="65" t="inlineStr">
        <is>
          <t>BR-7.4</t>
        </is>
      </c>
      <c r="B376" s="66" t="inlineStr">
        <is>
          <t>Grey Mirror's learned detection mechanisms classified and excluded from decision authority</t>
        </is>
      </c>
      <c r="C376" s="66" t="inlineStr">
        <is>
          <t>O14 Governance Architecture (Doc 0, Part 2)</t>
        </is>
      </c>
      <c r="D376" s="66" t="inlineStr">
        <is>
          <t>akki_governance_architecture_v1</t>
        </is>
      </c>
      <c r="E376" s="66" t="inlineStr">
        <is>
          <t>Governance Architecture</t>
        </is>
      </c>
      <c r="F376" s="66" t="inlineStr">
        <is>
          <t>PROPOSED</t>
        </is>
      </c>
      <c r="G376" s="66" t="n"/>
      <c r="H376" s="66" t="inlineStr">
        <is>
          <t>The Watch</t>
        </is>
      </c>
      <c r="I376" s="66" t="inlineStr">
        <is>
          <t>Akki_Governance_Architecture_v1.docx</t>
        </is>
      </c>
      <c r="J376" s="66" t="inlineStr">
        <is>
          <t>New — not confirmed (=G-10 instance)</t>
        </is>
      </c>
      <c r="K376" s="66" t="n"/>
    </row>
    <row r="377" ht="27.75" customHeight="1" s="45">
      <c r="A377" s="65" t="inlineStr">
        <is>
          <t>BR-8.1</t>
        </is>
      </c>
      <c r="B377" s="66" t="inlineStr">
        <is>
          <t>Ledger accepts and retains refused-operation records on the same terms as accepted ones</t>
        </is>
      </c>
      <c r="C377" s="66" t="inlineStr">
        <is>
          <t>O14 Governance Architecture (Doc 0, Part 2)</t>
        </is>
      </c>
      <c r="D377" s="66" t="inlineStr">
        <is>
          <t>akki_governance_architecture_v1</t>
        </is>
      </c>
      <c r="E377" s="66" t="inlineStr">
        <is>
          <t>Governance Architecture</t>
        </is>
      </c>
      <c r="F377" s="66" t="inlineStr">
        <is>
          <t>PROPOSED</t>
        </is>
      </c>
      <c r="G377" s="66" t="n"/>
      <c r="H377" s="66" t="inlineStr">
        <is>
          <t>The Ledger</t>
        </is>
      </c>
      <c r="I377" s="66" t="inlineStr">
        <is>
          <t>Akki_Governance_Architecture_v1.docx</t>
        </is>
      </c>
      <c r="J377" s="66" t="inlineStr">
        <is>
          <t>New — generalised from WPW-7 pattern</t>
        </is>
      </c>
      <c r="K377" s="66" t="n"/>
    </row>
    <row r="378" ht="27.75" customHeight="1" s="45">
      <c r="A378" s="65" t="inlineStr">
        <is>
          <t>BR-8.2</t>
        </is>
      </c>
      <c r="B378" s="66" t="inlineStr">
        <is>
          <t>Append-only/hash-chained structure independently verifiable by a party other than the writer</t>
        </is>
      </c>
      <c r="C378" s="66" t="inlineStr">
        <is>
          <t>O14 Governance Architecture (Doc 0, Part 2)</t>
        </is>
      </c>
      <c r="D378" s="66" t="inlineStr">
        <is>
          <t>akki_governance_architecture_v1</t>
        </is>
      </c>
      <c r="E378" s="66" t="inlineStr">
        <is>
          <t>Governance Architecture</t>
        </is>
      </c>
      <c r="F378" s="66" t="inlineStr">
        <is>
          <t>PROPOSED</t>
        </is>
      </c>
      <c r="G378" s="66" t="n"/>
      <c r="H378" s="66" t="inlineStr">
        <is>
          <t>The Ledger</t>
        </is>
      </c>
      <c r="I378" s="66" t="inlineStr">
        <is>
          <t>Akki_Governance_Architecture_v1.docx</t>
        </is>
      </c>
      <c r="J378" s="66" t="inlineStr">
        <is>
          <t>Partial — structure exists, independent verification unconfirmed</t>
        </is>
      </c>
      <c r="K378" s="66" t="n"/>
    </row>
    <row r="379" ht="27.75" customHeight="1" s="45">
      <c r="A379" s="65" t="inlineStr">
        <is>
          <t>BR-8.3</t>
        </is>
      </c>
      <c r="B379" s="66" t="inlineStr">
        <is>
          <t>Ledger writer included as a named, explicit Trusted Computing Base member</t>
        </is>
      </c>
      <c r="C379" s="66" t="inlineStr">
        <is>
          <t>O14 Governance Architecture (Doc 0, Part 2)</t>
        </is>
      </c>
      <c r="D379" s="66" t="inlineStr">
        <is>
          <t>akki_governance_architecture_v1</t>
        </is>
      </c>
      <c r="E379" s="66" t="inlineStr">
        <is>
          <t>Governance Architecture</t>
        </is>
      </c>
      <c r="F379" s="66" t="inlineStr">
        <is>
          <t>PROPOSED</t>
        </is>
      </c>
      <c r="G379" s="66" t="n"/>
      <c r="H379" s="66" t="inlineStr">
        <is>
          <t>The Ledger</t>
        </is>
      </c>
      <c r="I379" s="66" t="inlineStr">
        <is>
          <t>Akki_Governance_Architecture_v1.docx</t>
        </is>
      </c>
      <c r="J379" s="66" t="inlineStr">
        <is>
          <t>New build scope (=G-1 instance)</t>
        </is>
      </c>
      <c r="K379" s="66" t="n"/>
    </row>
    <row r="380" ht="27.75" customHeight="1" s="45">
      <c r="A380" s="65" t="inlineStr">
        <is>
          <t>BR-9.1</t>
        </is>
      </c>
      <c r="B380" s="66" t="inlineStr">
        <is>
          <t>CIF excluded from TCB by the Attribute 1 test, recorded as a deliberate exclusion</t>
        </is>
      </c>
      <c r="C380" s="66" t="inlineStr">
        <is>
          <t>O14 Governance Architecture (Doc 0, Part 2)</t>
        </is>
      </c>
      <c r="D380" s="66" t="inlineStr">
        <is>
          <t>akki_governance_architecture_v1</t>
        </is>
      </c>
      <c r="E380" s="66" t="inlineStr">
        <is>
          <t>Governance Architecture</t>
        </is>
      </c>
      <c r="F380" s="66" t="inlineStr">
        <is>
          <t>PROPOSED</t>
        </is>
      </c>
      <c r="G380" s="66" t="n"/>
      <c r="H380" s="66" t="inlineStr">
        <is>
          <t>CIF</t>
        </is>
      </c>
      <c r="I380" s="66" t="inlineStr">
        <is>
          <t>Akki_Governance_Architecture_v1.docx</t>
        </is>
      </c>
      <c r="J380" s="66" t="inlineStr">
        <is>
          <t>New — TCB test itself is new (=G-1)</t>
        </is>
      </c>
      <c r="K380" s="66" t="n"/>
    </row>
    <row r="381" ht="27.75" customHeight="1" s="45">
      <c r="A381" s="65" t="inlineStr">
        <is>
          <t>BR-9.2</t>
        </is>
      </c>
      <c r="B381" s="66" t="inlineStr">
        <is>
          <t>Every CIF-originated idea adopted into a run passes a deterministic acceptance point</t>
        </is>
      </c>
      <c r="C381" s="66" t="inlineStr">
        <is>
          <t>O14 Governance Architecture (Doc 0, Part 2)</t>
        </is>
      </c>
      <c r="D381" s="66" t="inlineStr">
        <is>
          <t>akki_governance_architecture_v1</t>
        </is>
      </c>
      <c r="E381" s="66" t="inlineStr">
        <is>
          <t>Governance Architecture</t>
        </is>
      </c>
      <c r="F381" s="66" t="inlineStr">
        <is>
          <t>PROPOSED</t>
        </is>
      </c>
      <c r="G381" s="66" t="n"/>
      <c r="H381" s="66" t="inlineStr">
        <is>
          <t>CIF</t>
        </is>
      </c>
      <c r="I381" s="66" t="inlineStr">
        <is>
          <t>Akki_Governance_Architecture_v1.docx</t>
        </is>
      </c>
      <c r="J381" s="80" t="inlineStr">
        <is>
          <t>CITES single-experiment principle — restates</t>
        </is>
      </c>
      <c r="K381" s="66" t="n"/>
    </row>
    <row r="382" ht="27.75" customHeight="1" s="45">
      <c r="A382" s="65" t="inlineStr">
        <is>
          <t>BR-9.3</t>
        </is>
      </c>
      <c r="B382" s="66" t="inlineStr">
        <is>
          <t>CIF's own MUST/MUST-NOT rules each carry an assessment procedure</t>
        </is>
      </c>
      <c r="C382" s="66" t="inlineStr">
        <is>
          <t>O14 Governance Architecture (Doc 0, Part 2)</t>
        </is>
      </c>
      <c r="D382" s="66" t="inlineStr">
        <is>
          <t>akki_governance_architecture_v1</t>
        </is>
      </c>
      <c r="E382" s="66" t="inlineStr">
        <is>
          <t>Governance Architecture</t>
        </is>
      </c>
      <c r="F382" s="66" t="inlineStr">
        <is>
          <t>PROPOSED</t>
        </is>
      </c>
      <c r="G382" s="66" t="n"/>
      <c r="H382" s="66" t="inlineStr">
        <is>
          <t>CIF</t>
        </is>
      </c>
      <c r="I382" s="66" t="inlineStr">
        <is>
          <t>Akki_Governance_Architecture_v1.docx</t>
        </is>
      </c>
      <c r="J382" s="66" t="inlineStr">
        <is>
          <t>New build scope (=G-4 instance) — CIF's own rule-by-rule enumeration still not located</t>
        </is>
      </c>
      <c r="K382" s="66" t="n"/>
    </row>
    <row r="383" ht="27.75" customHeight="1" s="45">
      <c r="A383" s="65" t="inlineStr">
        <is>
          <t>BR-10.1</t>
        </is>
      </c>
      <c r="B383" s="66" t="inlineStr">
        <is>
          <t>QA-tier findings route to a deterministic decision point, never act alone</t>
        </is>
      </c>
      <c r="C383" s="66" t="inlineStr">
        <is>
          <t>O14 Governance Architecture (Doc 0, Part 2)</t>
        </is>
      </c>
      <c r="D383" s="66" t="inlineStr">
        <is>
          <t>akki_governance_architecture_v1</t>
        </is>
      </c>
      <c r="E383" s="66" t="inlineStr">
        <is>
          <t>Governance Architecture</t>
        </is>
      </c>
      <c r="F383" s="66" t="inlineStr">
        <is>
          <t>PROPOSED</t>
        </is>
      </c>
      <c r="G383" s="66" t="n"/>
      <c r="H383" s="66" t="inlineStr">
        <is>
          <t>Critic Seam</t>
        </is>
      </c>
      <c r="I383" s="66" t="inlineStr">
        <is>
          <t>Akki_Governance_Architecture_v1.docx</t>
        </is>
      </c>
      <c r="J383" s="80" t="inlineStr">
        <is>
          <t>CITES QA-1 — restates</t>
        </is>
      </c>
      <c r="K383" s="66" t="n"/>
    </row>
    <row r="384" ht="27.75" customHeight="1" s="45">
      <c r="A384" s="65" t="inlineStr">
        <is>
          <t>BR-10.2</t>
        </is>
      </c>
      <c r="B384" s="66" t="inlineStr">
        <is>
          <t>Critic Seam's outcome set stated explicitly per check</t>
        </is>
      </c>
      <c r="C384" s="66" t="inlineStr">
        <is>
          <t>O14 Governance Architecture (Doc 0, Part 2)</t>
        </is>
      </c>
      <c r="D384" s="66" t="inlineStr">
        <is>
          <t>akki_governance_architecture_v1</t>
        </is>
      </c>
      <c r="E384" s="66" t="inlineStr">
        <is>
          <t>Governance Architecture</t>
        </is>
      </c>
      <c r="F384" s="66" t="inlineStr">
        <is>
          <t>PROPOSED</t>
        </is>
      </c>
      <c r="G384" s="66" t="n"/>
      <c r="H384" s="66" t="inlineStr">
        <is>
          <t>Critic Seam</t>
        </is>
      </c>
      <c r="I384" s="66" t="inlineStr">
        <is>
          <t>Akki_Governance_Architecture_v1.docx</t>
        </is>
      </c>
      <c r="J384" s="66" t="inlineStr">
        <is>
          <t>New — not confirmed</t>
        </is>
      </c>
      <c r="K384" s="66" t="n"/>
    </row>
    <row r="385" ht="27.75" customHeight="1" s="45">
      <c r="A385" s="65" t="inlineStr">
        <is>
          <t>BR-11.1</t>
        </is>
      </c>
      <c r="B385" s="66" t="inlineStr">
        <is>
          <t>MOAC criteria not alterable by the run being evaluated, at any point</t>
        </is>
      </c>
      <c r="C385" s="66" t="inlineStr">
        <is>
          <t>O14 Governance Architecture (Doc 0, Part 2)</t>
        </is>
      </c>
      <c r="D385" s="66" t="inlineStr">
        <is>
          <t>akki_governance_architecture_v1</t>
        </is>
      </c>
      <c r="E385" s="66" t="inlineStr">
        <is>
          <t>Governance Architecture</t>
        </is>
      </c>
      <c r="F385" s="66" t="inlineStr">
        <is>
          <t>PROPOSED</t>
        </is>
      </c>
      <c r="G385" s="66" t="n"/>
      <c r="H385" s="66" t="inlineStr">
        <is>
          <t>MOAC</t>
        </is>
      </c>
      <c r="I385" s="66" t="inlineStr">
        <is>
          <t>Akki_Governance_Architecture_v1.docx</t>
        </is>
      </c>
      <c r="J385" s="80" t="inlineStr">
        <is>
          <t>CITES Promise #22 — restates</t>
        </is>
      </c>
      <c r="K385" s="66" t="n"/>
    </row>
    <row r="386" ht="27.75" customHeight="1" s="45">
      <c r="A386" s="65" t="inlineStr">
        <is>
          <t>BR-11.2</t>
        </is>
      </c>
      <c r="B386" s="66" t="inlineStr">
        <is>
          <t>MOAC's non-bypassability and tamper-resistance demonstrated to SyniSense's standard</t>
        </is>
      </c>
      <c r="C386" s="66" t="inlineStr">
        <is>
          <t>O14 Governance Architecture (Doc 0, Part 2)</t>
        </is>
      </c>
      <c r="D386" s="66" t="inlineStr">
        <is>
          <t>akki_governance_architecture_v1</t>
        </is>
      </c>
      <c r="E386" s="66" t="inlineStr">
        <is>
          <t>Governance Architecture</t>
        </is>
      </c>
      <c r="F386" s="66" t="inlineStr">
        <is>
          <t>PROPOSED</t>
        </is>
      </c>
      <c r="G386" s="66" t="n"/>
      <c r="H386" s="66" t="inlineStr">
        <is>
          <t>MOAC</t>
        </is>
      </c>
      <c r="I386" s="66" t="inlineStr">
        <is>
          <t>Akki_Governance_Architecture_v1.docx</t>
        </is>
      </c>
      <c r="J386" s="66" t="inlineStr">
        <is>
          <t>New build scope (=G-6 instance)</t>
        </is>
      </c>
      <c r="K386" s="66" t="n"/>
    </row>
    <row r="387" ht="27.75" customHeight="1" s="45">
      <c r="A387" s="65" t="inlineStr">
        <is>
          <t>BR-12.1</t>
        </is>
      </c>
      <c r="B387" s="66" t="inlineStr">
        <is>
          <t>Every customer rule change passes the stated ceremony before taking effect</t>
        </is>
      </c>
      <c r="C387" s="66" t="inlineStr">
        <is>
          <t>O14 Governance Architecture (Doc 0, Part 2)</t>
        </is>
      </c>
      <c r="D387" s="66" t="inlineStr">
        <is>
          <t>akki_governance_architecture_v1</t>
        </is>
      </c>
      <c r="E387" s="66" t="inlineStr">
        <is>
          <t>Governance Architecture</t>
        </is>
      </c>
      <c r="F387" s="66" t="inlineStr">
        <is>
          <t>PROPOSED</t>
        </is>
      </c>
      <c r="G387" s="66" t="n"/>
      <c r="H387" s="66" t="inlineStr">
        <is>
          <t>Manage Rules</t>
        </is>
      </c>
      <c r="I387" s="66" t="inlineStr">
        <is>
          <t>Akki_Governance_Architecture_v1.docx</t>
        </is>
      </c>
      <c r="J387" s="80" t="inlineStr">
        <is>
          <t>CITES Promise #27 — restates; now formally owned by Rules Service RBM-7</t>
        </is>
      </c>
      <c r="K387" s="66" t="n"/>
    </row>
    <row r="388" ht="27.75" customHeight="1" s="45">
      <c r="A388" s="65" t="inlineStr">
        <is>
          <t>BR-12.2</t>
        </is>
      </c>
      <c r="B388" s="66" t="inlineStr">
        <is>
          <t>No customer rule relaxes a STRUCTURAL/MECHANICAL system rule, enforced at proposal time</t>
        </is>
      </c>
      <c r="C388" s="66" t="inlineStr">
        <is>
          <t>O14 Governance Architecture (Doc 0, Part 2)</t>
        </is>
      </c>
      <c r="D388" s="66" t="inlineStr">
        <is>
          <t>akki_governance_architecture_v1</t>
        </is>
      </c>
      <c r="E388" s="66" t="inlineStr">
        <is>
          <t>Governance Architecture</t>
        </is>
      </c>
      <c r="F388" s="66" t="inlineStr">
        <is>
          <t>PROPOSED</t>
        </is>
      </c>
      <c r="G388" s="66" t="n"/>
      <c r="H388" s="66" t="inlineStr">
        <is>
          <t>Manage Rules</t>
        </is>
      </c>
      <c r="I388" s="66" t="inlineStr">
        <is>
          <t>Akki_Governance_Architecture_v1.docx</t>
        </is>
      </c>
      <c r="J388" s="80" t="inlineStr">
        <is>
          <t>CITES ROC §8 — restates; now formally RBM-6</t>
        </is>
      </c>
      <c r="K388" s="66" t="n"/>
    </row>
    <row r="389" ht="27.75" customHeight="1" s="45">
      <c r="A389" s="65" t="inlineStr">
        <is>
          <t>BR-13.1</t>
        </is>
      </c>
      <c r="B389" s="66" t="inlineStr">
        <is>
          <t>Tier-3 eligibility outcome set stated explicitly (results/methods/both/neither)</t>
        </is>
      </c>
      <c r="C389" s="66" t="inlineStr">
        <is>
          <t>O14 Governance Architecture (Doc 0, Part 2)</t>
        </is>
      </c>
      <c r="D389" s="66" t="inlineStr">
        <is>
          <t>akki_governance_architecture_v1</t>
        </is>
      </c>
      <c r="E389" s="66" t="inlineStr">
        <is>
          <t>Governance Architecture</t>
        </is>
      </c>
      <c r="F389" s="66" t="inlineStr">
        <is>
          <t>PROPOSED</t>
        </is>
      </c>
      <c r="G389" s="66" t="n"/>
      <c r="H389" s="66" t="inlineStr">
        <is>
          <t>Whitepaper Wizard</t>
        </is>
      </c>
      <c r="I389" s="66" t="inlineStr">
        <is>
          <t>Akki_Governance_Architecture_v1.docx</t>
        </is>
      </c>
      <c r="J389" s="80" t="inlineStr">
        <is>
          <t>CITES WPW-11 — restates</t>
        </is>
      </c>
      <c r="K389" s="66" t="n"/>
    </row>
    <row r="390" ht="27.75" customHeight="1" s="45">
      <c r="A390" s="65" t="inlineStr">
        <is>
          <t>BR-13.2</t>
        </is>
      </c>
      <c r="B390" s="66" t="inlineStr">
        <is>
          <t>Every notebook entry carries timestamp, artefact link, evidence class</t>
        </is>
      </c>
      <c r="C390" s="66" t="inlineStr">
        <is>
          <t>O14 Governance Architecture (Doc 0, Part 2)</t>
        </is>
      </c>
      <c r="D390" s="66" t="inlineStr">
        <is>
          <t>akki_governance_architecture_v1</t>
        </is>
      </c>
      <c r="E390" s="66" t="inlineStr">
        <is>
          <t>Governance Architecture</t>
        </is>
      </c>
      <c r="F390" s="66" t="inlineStr">
        <is>
          <t>PROPOSED</t>
        </is>
      </c>
      <c r="G390" s="66" t="n"/>
      <c r="H390" s="66" t="inlineStr">
        <is>
          <t>Whitepaper Wizard</t>
        </is>
      </c>
      <c r="I390" s="66" t="inlineStr">
        <is>
          <t>Akki_Governance_Architecture_v1.docx</t>
        </is>
      </c>
      <c r="J390" s="80" t="inlineStr">
        <is>
          <t>CITES WPW-4 — restates</t>
        </is>
      </c>
      <c r="K390" s="66" t="n"/>
    </row>
    <row r="391" ht="27.75" customHeight="1" s="45">
      <c r="A391" s="65" t="inlineStr">
        <is>
          <t>BR-13.3</t>
        </is>
      </c>
      <c r="B391" s="66" t="inlineStr">
        <is>
          <t>Wizard verified read-only via build-time zero-influence check</t>
        </is>
      </c>
      <c r="C391" s="66" t="inlineStr">
        <is>
          <t>O14 Governance Architecture (Doc 0, Part 2)</t>
        </is>
      </c>
      <c r="D391" s="66" t="inlineStr">
        <is>
          <t>akki_governance_architecture_v1</t>
        </is>
      </c>
      <c r="E391" s="66" t="inlineStr">
        <is>
          <t>Governance Architecture</t>
        </is>
      </c>
      <c r="F391" s="66" t="inlineStr">
        <is>
          <t>PROPOSED</t>
        </is>
      </c>
      <c r="G391" s="66" t="n"/>
      <c r="H391" s="66" t="inlineStr">
        <is>
          <t>Whitepaper Wizard</t>
        </is>
      </c>
      <c r="I391" s="66" t="inlineStr">
        <is>
          <t>Akki_Governance_Architecture_v1.docx</t>
        </is>
      </c>
      <c r="J391" s="80" t="inlineStr">
        <is>
          <t>CITES WPW-2 — restates</t>
        </is>
      </c>
      <c r="K391" s="66" t="n"/>
    </row>
    <row r="392" ht="27.75" customHeight="1" s="45">
      <c r="A392" s="65" t="inlineStr">
        <is>
          <t>BR-14.1</t>
        </is>
      </c>
      <c r="B392" s="66" t="inlineStr">
        <is>
          <t>Rights recorded at connection setup are the named policy information point for downstream checkpoints</t>
        </is>
      </c>
      <c r="C392" s="66" t="inlineStr">
        <is>
          <t>O14 Governance Architecture (Doc 0, Part 2)</t>
        </is>
      </c>
      <c r="D392" s="66" t="inlineStr">
        <is>
          <t>akki_governance_architecture_v1</t>
        </is>
      </c>
      <c r="E392" s="66" t="inlineStr">
        <is>
          <t>Governance Architecture</t>
        </is>
      </c>
      <c r="F392" s="66" t="inlineStr">
        <is>
          <t>PROPOSED</t>
        </is>
      </c>
      <c r="G392" s="66" t="n"/>
      <c r="H392" s="66" t="inlineStr">
        <is>
          <t>Connect Wizard</t>
        </is>
      </c>
      <c r="I392" s="66" t="inlineStr">
        <is>
          <t>Akki_Governance_Architecture_v1.docx</t>
        </is>
      </c>
      <c r="J392" s="66" t="inlineStr">
        <is>
          <t>New — PIP role not previously named</t>
        </is>
      </c>
      <c r="K392" s="66" t="n"/>
    </row>
    <row r="393" ht="27.75" customHeight="1" s="45">
      <c r="A393" s="65" t="inlineStr">
        <is>
          <t>BR-15.1</t>
        </is>
      </c>
      <c r="B393" s="66" t="inlineStr">
        <is>
          <t>Agent-deploy checkpoint's outcome set stated explicitly</t>
        </is>
      </c>
      <c r="C393" s="66" t="inlineStr">
        <is>
          <t>O14 Governance Architecture (Doc 0, Part 2)</t>
        </is>
      </c>
      <c r="D393" s="66" t="inlineStr">
        <is>
          <t>akki_governance_architecture_v1</t>
        </is>
      </c>
      <c r="E393" s="66" t="inlineStr">
        <is>
          <t>Governance Architecture</t>
        </is>
      </c>
      <c r="F393" s="66" t="inlineStr">
        <is>
          <t>PROPOSED</t>
        </is>
      </c>
      <c r="G393" s="66" t="n"/>
      <c r="H393" s="66" t="inlineStr">
        <is>
          <t>Agent-Deploy Wizard</t>
        </is>
      </c>
      <c r="I393" s="66" t="inlineStr">
        <is>
          <t>Akki_Governance_Architecture_v1.docx</t>
        </is>
      </c>
      <c r="J393" s="66" t="inlineStr">
        <is>
          <t>New — not confirmed, open item</t>
        </is>
      </c>
      <c r="K393" s="66" t="n"/>
    </row>
    <row r="394" ht="27.75" customHeight="1" s="45">
      <c r="A394" s="65" t="inlineStr">
        <is>
          <t>BR-16.1</t>
        </is>
      </c>
      <c r="B394" s="66" t="inlineStr">
        <is>
          <t>Byte-identical output for identical input is a build-time verified property</t>
        </is>
      </c>
      <c r="C394" s="66" t="inlineStr">
        <is>
          <t>O14 Governance Architecture (Doc 0, Part 2)</t>
        </is>
      </c>
      <c r="D394" s="66" t="inlineStr">
        <is>
          <t>akki_governance_architecture_v1</t>
        </is>
      </c>
      <c r="E394" s="66" t="inlineStr">
        <is>
          <t>Governance Architecture</t>
        </is>
      </c>
      <c r="F394" s="66" t="inlineStr">
        <is>
          <t>PROPOSED</t>
        </is>
      </c>
      <c r="G394" s="66" t="n"/>
      <c r="H394" s="66" t="inlineStr">
        <is>
          <t>Deck Rendering Engine</t>
        </is>
      </c>
      <c r="I394" s="66" t="inlineStr">
        <is>
          <t>Akki_Governance_Architecture_v1.docx</t>
        </is>
      </c>
      <c r="J394" s="80" t="inlineStr">
        <is>
          <t>CITES DR-R2 — restates</t>
        </is>
      </c>
      <c r="K394" s="66" t="n"/>
    </row>
    <row r="395" ht="27.75" customHeight="1" s="45">
      <c r="A395" s="65" t="inlineStr">
        <is>
          <t>BR-16.2</t>
        </is>
      </c>
      <c r="B395" s="66" t="inlineStr">
        <is>
          <t>Deck Engine's 14 controls carry an explicit owning-subsystem field</t>
        </is>
      </c>
      <c r="C395" s="66" t="inlineStr">
        <is>
          <t>O14 Governance Architecture (Doc 0, Part 2)</t>
        </is>
      </c>
      <c r="D395" s="66" t="inlineStr">
        <is>
          <t>akki_governance_architecture_v1</t>
        </is>
      </c>
      <c r="E395" s="66" t="inlineStr">
        <is>
          <t>Governance Architecture</t>
        </is>
      </c>
      <c r="F395" s="66" t="inlineStr">
        <is>
          <t>PROPOSED</t>
        </is>
      </c>
      <c r="G395" s="66" t="n"/>
      <c r="H395" s="66" t="inlineStr">
        <is>
          <t>Deck Rendering Engine</t>
        </is>
      </c>
      <c r="I395" s="66" t="inlineStr">
        <is>
          <t>Akki_Governance_Architecture_v1.docx</t>
        </is>
      </c>
      <c r="J395" s="66" t="inlineStr">
        <is>
          <t>New — ownership implied, not an explicit field</t>
        </is>
      </c>
      <c r="K395" s="66" t="n"/>
    </row>
    <row r="396" ht="27.75" customHeight="1" s="45">
      <c r="A396" s="65" t="inlineStr">
        <is>
          <t>G-1</t>
        </is>
      </c>
      <c r="B396" s="66" t="inlineStr">
        <is>
          <t>No enumerated, published Trusted Computing Base list</t>
        </is>
      </c>
      <c r="C396" s="66" t="inlineStr">
        <is>
          <t>O14 Governance Architecture (Doc 0, Part 3)</t>
        </is>
      </c>
      <c r="D396" s="66" t="inlineStr">
        <is>
          <t>akki_governance_architecture_v1</t>
        </is>
      </c>
      <c r="E396" s="66" t="inlineStr">
        <is>
          <t>Governance Architecture — gap register</t>
        </is>
      </c>
      <c r="F396" s="66" t="inlineStr">
        <is>
          <t>OPEN</t>
        </is>
      </c>
      <c r="G396" s="66" t="n"/>
      <c r="H396" s="66" t="inlineStr">
        <is>
          <t>Attribute 1 · TCB</t>
        </is>
      </c>
      <c r="I396" s="66" t="inlineStr">
        <is>
          <t>Akki_Governance_Architecture_v1.docx</t>
        </is>
      </c>
      <c r="J396" s="66" t="inlineStr">
        <is>
          <t>Gap — fix is the buildable unit, not the gap itself</t>
        </is>
      </c>
      <c r="K396" s="66" t="n"/>
    </row>
    <row r="397" ht="27.75" customHeight="1" s="45">
      <c r="A397" s="65" t="inlineStr">
        <is>
          <t>G-2</t>
        </is>
      </c>
      <c r="B397" s="66" t="inlineStr">
        <is>
          <t>No architecture description; Watch placement and composite promises undocumented as decisions</t>
        </is>
      </c>
      <c r="C397" s="66" t="inlineStr">
        <is>
          <t>O14 Governance Architecture (Doc 0, Part 3)</t>
        </is>
      </c>
      <c r="D397" s="66" t="inlineStr">
        <is>
          <t>akki_governance_architecture_v1</t>
        </is>
      </c>
      <c r="E397" s="66" t="inlineStr">
        <is>
          <t>Governance Architecture — gap register</t>
        </is>
      </c>
      <c r="F397" s="66" t="inlineStr">
        <is>
          <t>OPEN</t>
        </is>
      </c>
      <c r="G397" s="66" t="n"/>
      <c r="H397" s="66" t="inlineStr">
        <is>
          <t>Attribute 2 · Subsystem</t>
        </is>
      </c>
      <c r="I397" s="66" t="inlineStr">
        <is>
          <t>Akki_Governance_Architecture_v1.docx</t>
        </is>
      </c>
      <c r="J397" s="66" t="inlineStr">
        <is>
          <t>Gap — fix is the buildable unit, not the gap itself</t>
        </is>
      </c>
      <c r="K397" s="66" t="n"/>
    </row>
    <row r="398" ht="27.75" customHeight="1" s="45">
      <c r="A398" s="65" t="inlineStr">
        <is>
          <t>G-3</t>
        </is>
      </c>
      <c r="B398" s="66" t="inlineStr">
        <is>
          <t>No formal principal/asset/operation classes prior to Doc 0; asset inventory covers estate sources only</t>
        </is>
      </c>
      <c r="C398" s="66" t="inlineStr">
        <is>
          <t>O14 Governance Architecture (Doc 0, Part 3)</t>
        </is>
      </c>
      <c r="D398" s="66" t="inlineStr">
        <is>
          <t>akki_governance_architecture_v1</t>
        </is>
      </c>
      <c r="E398" s="66" t="inlineStr">
        <is>
          <t>Governance Architecture — gap register</t>
        </is>
      </c>
      <c r="F398" s="66" t="inlineStr">
        <is>
          <t>OPEN</t>
        </is>
      </c>
      <c r="G398" s="66" t="n"/>
      <c r="H398" s="66" t="inlineStr">
        <is>
          <t>Attribute 3 · Triad</t>
        </is>
      </c>
      <c r="I398" s="66" t="inlineStr">
        <is>
          <t>Akki_Governance_Architecture_v1.docx</t>
        </is>
      </c>
      <c r="J398" s="66" t="inlineStr">
        <is>
          <t>Gap — fix is the buildable unit, not the gap itself</t>
        </is>
      </c>
      <c r="K398" s="66" t="n"/>
    </row>
    <row r="399" ht="27.75" customHeight="1" s="45">
      <c r="A399" s="65" t="inlineStr">
        <is>
          <t>G-4</t>
        </is>
      </c>
      <c r="B399" s="66" t="inlineStr">
        <is>
          <t>No assessment procedure on any of the 272 base rules; no Statement of Applicability</t>
        </is>
      </c>
      <c r="C399" s="66" t="inlineStr">
        <is>
          <t>O14 Governance Architecture (Doc 0, Part 3)</t>
        </is>
      </c>
      <c r="D399" s="66" t="inlineStr">
        <is>
          <t>akki_governance_architecture_v1</t>
        </is>
      </c>
      <c r="E399" s="66" t="inlineStr">
        <is>
          <t>Governance Architecture — gap register</t>
        </is>
      </c>
      <c r="F399" s="66" t="inlineStr">
        <is>
          <t>OPEN</t>
        </is>
      </c>
      <c r="G399" s="66" t="n"/>
      <c r="H399" s="66" t="inlineStr">
        <is>
          <t>Attribute 4 · Control</t>
        </is>
      </c>
      <c r="I399" s="66" t="inlineStr">
        <is>
          <t>Akki_Governance_Architecture_v1.docx</t>
        </is>
      </c>
      <c r="J399" s="66" t="inlineStr">
        <is>
          <t>Gap — fix is the buildable unit, not the gap itself</t>
        </is>
      </c>
      <c r="K399" s="66" t="n"/>
    </row>
    <row r="400" ht="27.75" customHeight="1" s="45">
      <c r="A400" s="65" t="inlineStr">
        <is>
          <t>G-5</t>
        </is>
      </c>
      <c r="B400" s="66" t="inlineStr">
        <is>
          <t>Decision/enforcement/information-point roles named only for the Watch</t>
        </is>
      </c>
      <c r="C400" s="66" t="inlineStr">
        <is>
          <t>O14 Governance Architecture (Doc 0, Part 3)</t>
        </is>
      </c>
      <c r="D400" s="66" t="inlineStr">
        <is>
          <t>akki_governance_architecture_v1</t>
        </is>
      </c>
      <c r="E400" s="66" t="inlineStr">
        <is>
          <t>Governance Architecture — gap register</t>
        </is>
      </c>
      <c r="F400" s="66" t="inlineStr">
        <is>
          <t>OPEN</t>
        </is>
      </c>
      <c r="G400" s="66" t="n"/>
      <c r="H400" s="66" t="inlineStr">
        <is>
          <t>Attribute 5 · Checkpoint</t>
        </is>
      </c>
      <c r="I400" s="66" t="inlineStr">
        <is>
          <t>Akki_Governance_Architecture_v1.docx</t>
        </is>
      </c>
      <c r="J400" s="66" t="inlineStr">
        <is>
          <t>Gap — fix is the buildable unit, not the gap itself</t>
        </is>
      </c>
      <c r="K400" s="66" t="n"/>
    </row>
    <row r="401" ht="27.75" customHeight="1" s="45">
      <c r="A401" s="65" t="inlineStr">
        <is>
          <t>G-6</t>
        </is>
      </c>
      <c r="B401" s="66" t="inlineStr">
        <is>
          <t>No security architecture description; runtime tamper-resistance unaddressed beyond the chokepoint</t>
        </is>
      </c>
      <c r="C401" s="66" t="inlineStr">
        <is>
          <t>O14 Governance Architecture (Doc 0, Part 3)</t>
        </is>
      </c>
      <c r="D401" s="66" t="inlineStr">
        <is>
          <t>akki_governance_architecture_v1</t>
        </is>
      </c>
      <c r="E401" s="66" t="inlineStr">
        <is>
          <t>Governance Architecture — gap register</t>
        </is>
      </c>
      <c r="F401" s="66" t="inlineStr">
        <is>
          <t>OPEN</t>
        </is>
      </c>
      <c r="G401" s="66" t="n"/>
      <c r="H401" s="66" t="inlineStr">
        <is>
          <t>Attribute 6 · Reference Monitor</t>
        </is>
      </c>
      <c r="I401" s="66" t="inlineStr">
        <is>
          <t>Akki_Governance_Architecture_v1.docx</t>
        </is>
      </c>
      <c r="J401" s="66" t="inlineStr">
        <is>
          <t>Gap — fix is the buildable unit, not the gap itself</t>
        </is>
      </c>
      <c r="K401" s="66" t="n"/>
    </row>
    <row r="402" ht="27.75" customHeight="1" s="45">
      <c r="A402" s="65" t="inlineStr">
        <is>
          <t>G-7</t>
        </is>
      </c>
      <c r="B402" s="66" t="inlineStr">
        <is>
          <t>No named security function policies; evidence floor's lowering path is subject-alterable</t>
        </is>
      </c>
      <c r="C402" s="66" t="inlineStr">
        <is>
          <t>O14 Governance Architecture (Doc 0, Part 3)</t>
        </is>
      </c>
      <c r="D402" s="66" t="inlineStr">
        <is>
          <t>akki_governance_architecture_v1</t>
        </is>
      </c>
      <c r="E402" s="66" t="inlineStr">
        <is>
          <t>Governance Architecture — gap register</t>
        </is>
      </c>
      <c r="F402" s="66" t="inlineStr">
        <is>
          <t>OPEN</t>
        </is>
      </c>
      <c r="G402" s="66" t="n"/>
      <c r="H402" s="66" t="inlineStr">
        <is>
          <t>Attribute 7 · Mandatory Baseline</t>
        </is>
      </c>
      <c r="I402" s="66" t="inlineStr">
        <is>
          <t>Akki_Governance_Architecture_v1.docx</t>
        </is>
      </c>
      <c r="J402" s="66" t="inlineStr">
        <is>
          <t>Gap — fix is the buildable unit, not the gap itself</t>
        </is>
      </c>
      <c r="K402" s="66" t="n"/>
    </row>
    <row r="403" ht="27.75" customHeight="1" s="45">
      <c r="A403" s="65" t="inlineStr">
        <is>
          <t>G-8</t>
        </is>
      </c>
      <c r="B403" s="66" t="inlineStr">
        <is>
          <t>Trust receipt omits principal identity and timestamp; no reliable-time control</t>
        </is>
      </c>
      <c r="C403" s="66" t="inlineStr">
        <is>
          <t>O14 Governance Architecture (Doc 0, Part 3)</t>
        </is>
      </c>
      <c r="D403" s="66" t="inlineStr">
        <is>
          <t>akki_governance_architecture_v1</t>
        </is>
      </c>
      <c r="E403" s="66" t="inlineStr">
        <is>
          <t>Governance Architecture — gap register</t>
        </is>
      </c>
      <c r="F403" s="66" t="inlineStr">
        <is>
          <t>OPEN</t>
        </is>
      </c>
      <c r="G403" s="66" t="n"/>
      <c r="H403" s="66" t="inlineStr">
        <is>
          <t>Attribute 8 · Audit Record</t>
        </is>
      </c>
      <c r="I403" s="66" t="inlineStr">
        <is>
          <t>Akki_Governance_Architecture_v1.docx</t>
        </is>
      </c>
      <c r="J403" s="66" t="inlineStr">
        <is>
          <t>Gap — fix is the buildable unit, not the gap itself</t>
        </is>
      </c>
      <c r="K403" s="66" t="n"/>
    </row>
    <row r="404" ht="27.75" customHeight="1" s="45">
      <c r="A404" s="65" t="inlineStr">
        <is>
          <t>G-9</t>
        </is>
      </c>
      <c r="B404" s="66" t="inlineStr">
        <is>
          <t>System-rule change control is ratification alone, no CM-3-style procedure</t>
        </is>
      </c>
      <c r="C404" s="66" t="inlineStr">
        <is>
          <t>O14 Governance Architecture (Doc 0, Part 3)</t>
        </is>
      </c>
      <c r="D404" s="66" t="inlineStr">
        <is>
          <t>akki_governance_architecture_v1</t>
        </is>
      </c>
      <c r="E404" s="66" t="inlineStr">
        <is>
          <t>Governance Architecture — gap register</t>
        </is>
      </c>
      <c r="F404" s="66" t="inlineStr">
        <is>
          <t>OPEN</t>
        </is>
      </c>
      <c r="G404" s="66" t="n"/>
      <c r="H404" s="66" t="inlineStr">
        <is>
          <t>Attribute 9 · Authority</t>
        </is>
      </c>
      <c r="I404" s="66" t="inlineStr">
        <is>
          <t>Akki_Governance_Architecture_v1.docx</t>
        </is>
      </c>
      <c r="J404" s="66" t="inlineStr">
        <is>
          <t>Gap — fix is the buildable unit, not the gap itself</t>
        </is>
      </c>
      <c r="K404" s="66" t="n"/>
    </row>
    <row r="405" ht="27.75" customHeight="1" s="45">
      <c r="A405" s="65" t="inlineStr">
        <is>
          <t>G-10</t>
        </is>
      </c>
      <c r="B405" s="66" t="inlineStr">
        <is>
          <t>No per-component deterministic/learned inventory; ruling loop not mapped to Article 14</t>
        </is>
      </c>
      <c r="C405" s="66" t="inlineStr">
        <is>
          <t>O14 Governance Architecture (Doc 0, Part 3)</t>
        </is>
      </c>
      <c r="D405" s="66" t="inlineStr">
        <is>
          <t>akki_governance_architecture_v1</t>
        </is>
      </c>
      <c r="E405" s="66" t="inlineStr">
        <is>
          <t>Governance Architecture — gap register</t>
        </is>
      </c>
      <c r="F405" s="66" t="inlineStr">
        <is>
          <t>OPEN</t>
        </is>
      </c>
      <c r="G405" s="66" t="n"/>
      <c r="H405" s="66" t="inlineStr">
        <is>
          <t>Attribute 10 · Determinism</t>
        </is>
      </c>
      <c r="I405" s="66" t="inlineStr">
        <is>
          <t>Akki_Governance_Architecture_v1.docx</t>
        </is>
      </c>
      <c r="J405" s="66" t="inlineStr">
        <is>
          <t>Gap — fix is the buildable unit, not the gap itself</t>
        </is>
      </c>
      <c r="K405" s="66" t="n"/>
    </row>
    <row r="406" ht="27.75" customHeight="1" s="45">
      <c r="A406" s="65" t="inlineStr">
        <is>
          <t>G-11</t>
        </is>
      </c>
      <c r="B406" s="66" t="inlineStr">
        <is>
          <t>Failure types not enumerated per component; posture not declared per checkpoint</t>
        </is>
      </c>
      <c r="C406" s="66" t="inlineStr">
        <is>
          <t>O14 Governance Architecture (Doc 0, Part 3)</t>
        </is>
      </c>
      <c r="D406" s="66" t="inlineStr">
        <is>
          <t>akki_governance_architecture_v1</t>
        </is>
      </c>
      <c r="E406" s="66" t="inlineStr">
        <is>
          <t>Governance Architecture — gap register</t>
        </is>
      </c>
      <c r="F406" s="66" t="inlineStr">
        <is>
          <t>OPEN</t>
        </is>
      </c>
      <c r="G406" s="66" t="n"/>
      <c r="H406" s="66" t="inlineStr">
        <is>
          <t>Attribute 11 · Failure Posture</t>
        </is>
      </c>
      <c r="I406" s="66" t="inlineStr">
        <is>
          <t>Akki_Governance_Architecture_v1.docx</t>
        </is>
      </c>
      <c r="J406" s="66" t="inlineStr">
        <is>
          <t>Gap — fix is the buildable unit, not the gap itself</t>
        </is>
      </c>
      <c r="K406" s="66" t="n"/>
    </row>
    <row r="407" ht="27.75" customHeight="1" s="45">
      <c r="A407" s="65" t="inlineStr">
        <is>
          <t>G-12</t>
        </is>
      </c>
      <c r="B407" s="66" t="inlineStr">
        <is>
          <t>Trust domains not described as a set; deployment model unstated</t>
        </is>
      </c>
      <c r="C407" s="66" t="inlineStr">
        <is>
          <t>O14 Governance Architecture (Doc 0, Part 3)</t>
        </is>
      </c>
      <c r="D407" s="66" t="inlineStr">
        <is>
          <t>akki_governance_architecture_v1</t>
        </is>
      </c>
      <c r="E407" s="66" t="inlineStr">
        <is>
          <t>Governance Architecture — gap register</t>
        </is>
      </c>
      <c r="F407" s="66" t="inlineStr">
        <is>
          <t>OPEN</t>
        </is>
      </c>
      <c r="G407" s="66" t="n"/>
      <c r="H407" s="66" t="inlineStr">
        <is>
          <t>Attribute 12 · Trust Domain</t>
        </is>
      </c>
      <c r="I407" s="66" t="inlineStr">
        <is>
          <t>Akki_Governance_Architecture_v1.docx</t>
        </is>
      </c>
      <c r="J407" s="66" t="inlineStr">
        <is>
          <t>Gap — fix is the buildable unit, not the gap itself</t>
        </is>
      </c>
      <c r="K407" s="66" t="n"/>
    </row>
    <row r="408" ht="27.75" customHeight="1" s="45">
      <c r="A408" s="65" t="inlineStr">
        <is>
          <t>G-13</t>
        </is>
      </c>
      <c r="B408" s="66" t="inlineStr">
        <is>
          <t>Job hand-off contract instantiated once, not generalised across crossings</t>
        </is>
      </c>
      <c r="C408" s="66" t="inlineStr">
        <is>
          <t>O14 Governance Architecture (Doc 0, Part 3)</t>
        </is>
      </c>
      <c r="D408" s="66" t="inlineStr">
        <is>
          <t>akki_governance_architecture_v1</t>
        </is>
      </c>
      <c r="E408" s="66" t="inlineStr">
        <is>
          <t>Governance Architecture — gap register</t>
        </is>
      </c>
      <c r="F408" s="66" t="inlineStr">
        <is>
          <t>OPEN</t>
        </is>
      </c>
      <c r="G408" s="66" t="n"/>
      <c r="H408" s="66" t="inlineStr">
        <is>
          <t>Attribute 6 · Mkondo, Checkpoint</t>
        </is>
      </c>
      <c r="I408" s="66" t="inlineStr">
        <is>
          <t>Akki_Governance_Architecture_v1.docx</t>
        </is>
      </c>
      <c r="J408" s="66" t="inlineStr">
        <is>
          <t>Gap — fix is the buildable unit, not the gap itself</t>
        </is>
      </c>
      <c r="K408" s="66" t="n"/>
    </row>
    <row r="409" ht="27.75" customHeight="1" s="45">
      <c r="A409" s="65" t="inlineStr">
        <is>
          <t>S-1</t>
        </is>
      </c>
      <c r="B409" s="66" t="inlineStr">
        <is>
          <t>See Security_Assurance_Promise_Set.xlsx for full text</t>
        </is>
      </c>
      <c r="C409" s="66" t="inlineStr">
        <is>
          <t>O2 Security &amp; Intent</t>
        </is>
      </c>
      <c r="D409" s="66" t="inlineStr">
        <is>
          <t>Promise #6 (decomposed)</t>
        </is>
      </c>
      <c r="E409" s="66" t="inlineStr">
        <is>
          <t>Security Assurance Set</t>
        </is>
      </c>
      <c r="F409" s="66" t="inlineStr">
        <is>
          <t>See xlsx</t>
        </is>
      </c>
      <c r="G409" s="66" t="n"/>
      <c r="H409" s="66" t="inlineStr">
        <is>
          <t>The Watch</t>
        </is>
      </c>
      <c r="I409" s="66" t="inlineStr">
        <is>
          <t>Security_Assurance_Promise_Set.xlsx</t>
        </is>
      </c>
      <c r="J409" s="80" t="inlineStr">
        <is>
          <t>CITES base A5.x — assurance-register restatement, not new build scope</t>
        </is>
      </c>
      <c r="K409" s="66" t="n"/>
    </row>
    <row r="410" ht="27.75" customHeight="1" s="45">
      <c r="A410" s="65" t="inlineStr">
        <is>
          <t>S-2</t>
        </is>
      </c>
      <c r="B410" s="66" t="inlineStr">
        <is>
          <t>See Security_Assurance_Promise_Set.xlsx for full text</t>
        </is>
      </c>
      <c r="C410" s="66" t="inlineStr">
        <is>
          <t>O2 Security &amp; Intent</t>
        </is>
      </c>
      <c r="D410" s="66" t="inlineStr">
        <is>
          <t>Promise #6 (decomposed)</t>
        </is>
      </c>
      <c r="E410" s="66" t="inlineStr">
        <is>
          <t>Security Assurance Set</t>
        </is>
      </c>
      <c r="F410" s="66" t="inlineStr">
        <is>
          <t>See xlsx</t>
        </is>
      </c>
      <c r="G410" s="66" t="n"/>
      <c r="H410" s="66" t="inlineStr">
        <is>
          <t>The Watch</t>
        </is>
      </c>
      <c r="I410" s="66" t="inlineStr">
        <is>
          <t>Security_Assurance_Promise_Set.xlsx</t>
        </is>
      </c>
      <c r="J410" s="80" t="inlineStr">
        <is>
          <t>CITES base A5.x — assurance-register restatement, not new build scope</t>
        </is>
      </c>
      <c r="K410" s="66" t="n"/>
    </row>
    <row r="411" ht="27.75" customHeight="1" s="45">
      <c r="A411" s="65" t="inlineStr">
        <is>
          <t>S-3</t>
        </is>
      </c>
      <c r="B411" s="66" t="inlineStr">
        <is>
          <t>See Security_Assurance_Promise_Set.xlsx for full text</t>
        </is>
      </c>
      <c r="C411" s="66" t="inlineStr">
        <is>
          <t>O2 Security &amp; Intent</t>
        </is>
      </c>
      <c r="D411" s="66" t="inlineStr">
        <is>
          <t>Promise #6 (decomposed)</t>
        </is>
      </c>
      <c r="E411" s="66" t="inlineStr">
        <is>
          <t>Security Assurance Set</t>
        </is>
      </c>
      <c r="F411" s="66" t="inlineStr">
        <is>
          <t>See xlsx</t>
        </is>
      </c>
      <c r="G411" s="66" t="n"/>
      <c r="H411" s="66" t="inlineStr">
        <is>
          <t>The Watch</t>
        </is>
      </c>
      <c r="I411" s="66" t="inlineStr">
        <is>
          <t>Security_Assurance_Promise_Set.xlsx</t>
        </is>
      </c>
      <c r="J411" s="80" t="inlineStr">
        <is>
          <t>CITES base A5.x — assurance-register restatement, not new build scope</t>
        </is>
      </c>
      <c r="K411" s="66" t="n"/>
    </row>
    <row r="412" ht="27.75" customHeight="1" s="45">
      <c r="A412" s="65" t="inlineStr">
        <is>
          <t>S-4</t>
        </is>
      </c>
      <c r="B412" s="66" t="inlineStr">
        <is>
          <t>See Security_Assurance_Promise_Set.xlsx for full text</t>
        </is>
      </c>
      <c r="C412" s="66" t="inlineStr">
        <is>
          <t>O2 Security &amp; Intent</t>
        </is>
      </c>
      <c r="D412" s="66" t="inlineStr">
        <is>
          <t>Promise #6 (decomposed)</t>
        </is>
      </c>
      <c r="E412" s="66" t="inlineStr">
        <is>
          <t>Security Assurance Set</t>
        </is>
      </c>
      <c r="F412" s="66" t="inlineStr">
        <is>
          <t>See xlsx</t>
        </is>
      </c>
      <c r="G412" s="66" t="n"/>
      <c r="H412" s="66" t="inlineStr">
        <is>
          <t>The Watch</t>
        </is>
      </c>
      <c r="I412" s="66" t="inlineStr">
        <is>
          <t>Security_Assurance_Promise_Set.xlsx</t>
        </is>
      </c>
      <c r="J412" s="80" t="inlineStr">
        <is>
          <t>CITES base A5.x — assurance-register restatement, not new build scope</t>
        </is>
      </c>
      <c r="K412" s="66" t="n"/>
    </row>
    <row r="413" ht="27.75" customHeight="1" s="45">
      <c r="A413" s="65" t="inlineStr">
        <is>
          <t>S-5</t>
        </is>
      </c>
      <c r="B413" s="66" t="inlineStr">
        <is>
          <t>See Security_Assurance_Promise_Set.xlsx for full text</t>
        </is>
      </c>
      <c r="C413" s="66" t="inlineStr">
        <is>
          <t>O2 Security &amp; Intent</t>
        </is>
      </c>
      <c r="D413" s="66" t="inlineStr">
        <is>
          <t>Promise #6 (decomposed)</t>
        </is>
      </c>
      <c r="E413" s="66" t="inlineStr">
        <is>
          <t>Security Assurance Set</t>
        </is>
      </c>
      <c r="F413" s="66" t="inlineStr">
        <is>
          <t>See xlsx</t>
        </is>
      </c>
      <c r="G413" s="66" t="n"/>
      <c r="H413" s="66" t="inlineStr">
        <is>
          <t>The Watch</t>
        </is>
      </c>
      <c r="I413" s="66" t="inlineStr">
        <is>
          <t>Security_Assurance_Promise_Set.xlsx</t>
        </is>
      </c>
      <c r="J413" s="80" t="inlineStr">
        <is>
          <t>CITES base A5.x — assurance-register restatement, not new build scope</t>
        </is>
      </c>
      <c r="K413" s="66" t="n"/>
    </row>
    <row r="414" ht="27.75" customHeight="1" s="45">
      <c r="A414" s="65" t="inlineStr">
        <is>
          <t>S-6</t>
        </is>
      </c>
      <c r="B414" s="66" t="inlineStr">
        <is>
          <t>See Security_Assurance_Promise_Set.xlsx for full text</t>
        </is>
      </c>
      <c r="C414" s="66" t="inlineStr">
        <is>
          <t>O2 Security &amp; Intent</t>
        </is>
      </c>
      <c r="D414" s="66" t="inlineStr">
        <is>
          <t>Promise #6 (decomposed)</t>
        </is>
      </c>
      <c r="E414" s="66" t="inlineStr">
        <is>
          <t>Security Assurance Set</t>
        </is>
      </c>
      <c r="F414" s="66" t="inlineStr">
        <is>
          <t>See xlsx</t>
        </is>
      </c>
      <c r="G414" s="66" t="n"/>
      <c r="H414" s="66" t="inlineStr">
        <is>
          <t>The Watch</t>
        </is>
      </c>
      <c r="I414" s="66" t="inlineStr">
        <is>
          <t>Security_Assurance_Promise_Set.xlsx</t>
        </is>
      </c>
      <c r="J414" s="80" t="inlineStr">
        <is>
          <t>CITES base A5.x — assurance-register restatement, not new build scope</t>
        </is>
      </c>
      <c r="K414" s="66" t="n"/>
    </row>
    <row r="415" ht="27.75" customHeight="1" s="45">
      <c r="A415" s="65" t="inlineStr">
        <is>
          <t>S-7</t>
        </is>
      </c>
      <c r="B415" s="66" t="inlineStr">
        <is>
          <t>See Security_Assurance_Promise_Set.xlsx for full text</t>
        </is>
      </c>
      <c r="C415" s="66" t="inlineStr">
        <is>
          <t>O2 Security &amp; Intent</t>
        </is>
      </c>
      <c r="D415" s="66" t="inlineStr">
        <is>
          <t>Promise #6 (decomposed)</t>
        </is>
      </c>
      <c r="E415" s="66" t="inlineStr">
        <is>
          <t>Security Assurance Set</t>
        </is>
      </c>
      <c r="F415" s="66" t="inlineStr">
        <is>
          <t>See xlsx</t>
        </is>
      </c>
      <c r="G415" s="66" t="n"/>
      <c r="H415" s="66" t="inlineStr">
        <is>
          <t>The Watch</t>
        </is>
      </c>
      <c r="I415" s="66" t="inlineStr">
        <is>
          <t>Security_Assurance_Promise_Set.xlsx</t>
        </is>
      </c>
      <c r="J415" s="80" t="inlineStr">
        <is>
          <t>CITES base A5.x — assurance-register restatement, not new build scope</t>
        </is>
      </c>
      <c r="K415" s="66" t="n"/>
    </row>
    <row r="416" ht="27.75" customHeight="1" s="45">
      <c r="A416" s="65" t="inlineStr">
        <is>
          <t>S-8</t>
        </is>
      </c>
      <c r="B416" s="66" t="inlineStr">
        <is>
          <t>See Security_Assurance_Promise_Set.xlsx for full text</t>
        </is>
      </c>
      <c r="C416" s="66" t="inlineStr">
        <is>
          <t>O2 Security &amp; Intent</t>
        </is>
      </c>
      <c r="D416" s="66" t="inlineStr">
        <is>
          <t>Promise #6 (decomposed)</t>
        </is>
      </c>
      <c r="E416" s="66" t="inlineStr">
        <is>
          <t>Security Assurance Set</t>
        </is>
      </c>
      <c r="F416" s="66" t="inlineStr">
        <is>
          <t>See xlsx</t>
        </is>
      </c>
      <c r="G416" s="66" t="n"/>
      <c r="H416" s="66" t="inlineStr">
        <is>
          <t>The Watch</t>
        </is>
      </c>
      <c r="I416" s="66" t="inlineStr">
        <is>
          <t>Security_Assurance_Promise_Set.xlsx</t>
        </is>
      </c>
      <c r="J416" s="80" t="inlineStr">
        <is>
          <t>CITES base A5.x — assurance-register restatement, not new build scope</t>
        </is>
      </c>
      <c r="K416" s="66" t="n"/>
    </row>
    <row r="417" ht="27.75" customHeight="1" s="45">
      <c r="A417" s="65" t="inlineStr">
        <is>
          <t>S-9</t>
        </is>
      </c>
      <c r="B417" s="66" t="inlineStr">
        <is>
          <t>See Security_Assurance_Promise_Set.xlsx for full text</t>
        </is>
      </c>
      <c r="C417" s="66" t="inlineStr">
        <is>
          <t>O2 Security &amp; Intent</t>
        </is>
      </c>
      <c r="D417" s="66" t="inlineStr">
        <is>
          <t>Promise #6 (decomposed)</t>
        </is>
      </c>
      <c r="E417" s="66" t="inlineStr">
        <is>
          <t>Security Assurance Set</t>
        </is>
      </c>
      <c r="F417" s="66" t="inlineStr">
        <is>
          <t>See xlsx</t>
        </is>
      </c>
      <c r="G417" s="66" t="n"/>
      <c r="H417" s="66" t="inlineStr">
        <is>
          <t>The Watch</t>
        </is>
      </c>
      <c r="I417" s="66" t="inlineStr">
        <is>
          <t>Security_Assurance_Promise_Set.xlsx</t>
        </is>
      </c>
      <c r="J417" s="80" t="inlineStr">
        <is>
          <t>CITES base A5.x — assurance-register restatement, not new build scope</t>
        </is>
      </c>
      <c r="K417" s="66" t="n"/>
    </row>
    <row r="418" ht="27.75" customHeight="1" s="45">
      <c r="A418" s="65" t="inlineStr">
        <is>
          <t>S-10</t>
        </is>
      </c>
      <c r="B418" s="66" t="inlineStr">
        <is>
          <t>See Security_Assurance_Promise_Set.xlsx for full text</t>
        </is>
      </c>
      <c r="C418" s="66" t="inlineStr">
        <is>
          <t>O2 Security &amp; Intent</t>
        </is>
      </c>
      <c r="D418" s="66" t="inlineStr">
        <is>
          <t>Promise #6 (decomposed)</t>
        </is>
      </c>
      <c r="E418" s="66" t="inlineStr">
        <is>
          <t>Security Assurance Set</t>
        </is>
      </c>
      <c r="F418" s="66" t="inlineStr">
        <is>
          <t>See xlsx</t>
        </is>
      </c>
      <c r="G418" s="66" t="n"/>
      <c r="H418" s="66" t="inlineStr">
        <is>
          <t>The Watch</t>
        </is>
      </c>
      <c r="I418" s="66" t="inlineStr">
        <is>
          <t>Security_Assurance_Promise_Set.xlsx</t>
        </is>
      </c>
      <c r="J418" s="80" t="inlineStr">
        <is>
          <t>CITES base A5.x — assurance-register restatement, not new build scope</t>
        </is>
      </c>
      <c r="K418" s="66" t="n"/>
    </row>
    <row r="419" ht="27.75" customHeight="1" s="45">
      <c r="A419" s="65" t="inlineStr">
        <is>
          <t>S-11</t>
        </is>
      </c>
      <c r="B419" s="66" t="inlineStr">
        <is>
          <t>See Security_Assurance_Promise_Set.xlsx for full text</t>
        </is>
      </c>
      <c r="C419" s="66" t="inlineStr">
        <is>
          <t>O2 Security &amp; Intent</t>
        </is>
      </c>
      <c r="D419" s="66" t="inlineStr">
        <is>
          <t>Promise #6 (decomposed)</t>
        </is>
      </c>
      <c r="E419" s="66" t="inlineStr">
        <is>
          <t>Security Assurance Set</t>
        </is>
      </c>
      <c r="F419" s="66" t="inlineStr">
        <is>
          <t>See xlsx</t>
        </is>
      </c>
      <c r="G419" s="66" t="n"/>
      <c r="H419" s="66" t="inlineStr">
        <is>
          <t>The Watch</t>
        </is>
      </c>
      <c r="I419" s="66" t="inlineStr">
        <is>
          <t>Security_Assurance_Promise_Set.xlsx</t>
        </is>
      </c>
      <c r="J419" s="80" t="inlineStr">
        <is>
          <t>CITES base A5.x — assurance-register restatement, not new build scope</t>
        </is>
      </c>
      <c r="K419" s="66" t="n"/>
    </row>
    <row r="420" ht="27.75" customHeight="1" s="45">
      <c r="A420" s="65" t="inlineStr">
        <is>
          <t>S-12</t>
        </is>
      </c>
      <c r="B420" s="66" t="inlineStr">
        <is>
          <t>See Security_Assurance_Promise_Set.xlsx for full text</t>
        </is>
      </c>
      <c r="C420" s="66" t="inlineStr">
        <is>
          <t>O2 Security &amp; Intent</t>
        </is>
      </c>
      <c r="D420" s="66" t="inlineStr">
        <is>
          <t>Promise #6 (decomposed)</t>
        </is>
      </c>
      <c r="E420" s="66" t="inlineStr">
        <is>
          <t>Security Assurance Set</t>
        </is>
      </c>
      <c r="F420" s="66" t="inlineStr">
        <is>
          <t>See xlsx</t>
        </is>
      </c>
      <c r="G420" s="66" t="n"/>
      <c r="H420" s="66" t="inlineStr">
        <is>
          <t>The Watch</t>
        </is>
      </c>
      <c r="I420" s="66" t="inlineStr">
        <is>
          <t>Security_Assurance_Promise_Set.xlsx</t>
        </is>
      </c>
      <c r="J420" s="80" t="inlineStr">
        <is>
          <t>CITES base A5.x — assurance-register restatement, not new build scope</t>
        </is>
      </c>
      <c r="K420" s="66" t="n"/>
    </row>
    <row r="421" ht="27.75" customHeight="1" s="45">
      <c r="A421" s="65" t="inlineStr">
        <is>
          <t>S-13</t>
        </is>
      </c>
      <c r="B421" s="66" t="inlineStr">
        <is>
          <t>See Security_Assurance_Promise_Set.xlsx for full text</t>
        </is>
      </c>
      <c r="C421" s="66" t="inlineStr">
        <is>
          <t>O2 Security &amp; Intent</t>
        </is>
      </c>
      <c r="D421" s="66" t="inlineStr">
        <is>
          <t>Promise #6 (decomposed)</t>
        </is>
      </c>
      <c r="E421" s="66" t="inlineStr">
        <is>
          <t>Security Assurance Set</t>
        </is>
      </c>
      <c r="F421" s="66" t="inlineStr">
        <is>
          <t>See xlsx</t>
        </is>
      </c>
      <c r="G421" s="66" t="n"/>
      <c r="H421" s="66" t="inlineStr">
        <is>
          <t>The Watch</t>
        </is>
      </c>
      <c r="I421" s="66" t="inlineStr">
        <is>
          <t>Security_Assurance_Promise_Set.xlsx</t>
        </is>
      </c>
      <c r="J421" s="80" t="inlineStr">
        <is>
          <t>CITES base A5.x — assurance-register restatement, not new build scope</t>
        </is>
      </c>
      <c r="K421" s="66" t="n"/>
    </row>
    <row r="422" ht="27.75" customHeight="1" s="45">
      <c r="A422" s="65" t="inlineStr">
        <is>
          <t>S-14</t>
        </is>
      </c>
      <c r="B422" s="66" t="inlineStr">
        <is>
          <t>See Security_Assurance_Promise_Set.xlsx for full text</t>
        </is>
      </c>
      <c r="C422" s="66" t="inlineStr">
        <is>
          <t>O2 Security &amp; Intent</t>
        </is>
      </c>
      <c r="D422" s="66" t="inlineStr">
        <is>
          <t>Promise #6 (decomposed)</t>
        </is>
      </c>
      <c r="E422" s="66" t="inlineStr">
        <is>
          <t>Security Assurance Set</t>
        </is>
      </c>
      <c r="F422" s="66" t="inlineStr">
        <is>
          <t>See xlsx</t>
        </is>
      </c>
      <c r="G422" s="66" t="n"/>
      <c r="H422" s="66" t="inlineStr">
        <is>
          <t>The Watch</t>
        </is>
      </c>
      <c r="I422" s="66" t="inlineStr">
        <is>
          <t>Security_Assurance_Promise_Set.xlsx</t>
        </is>
      </c>
      <c r="J422" s="80" t="inlineStr">
        <is>
          <t>CITES base A5.x — assurance-register restatement, not new build scope</t>
        </is>
      </c>
      <c r="K422" s="66" t="n"/>
    </row>
    <row r="423" ht="27.75" customHeight="1" s="45">
      <c r="A423" s="65" t="inlineStr">
        <is>
          <t>S-15</t>
        </is>
      </c>
      <c r="B423" s="66" t="inlineStr">
        <is>
          <t>See Security_Assurance_Promise_Set.xlsx for full text</t>
        </is>
      </c>
      <c r="C423" s="66" t="inlineStr">
        <is>
          <t>O2 Security &amp; Intent</t>
        </is>
      </c>
      <c r="D423" s="66" t="inlineStr">
        <is>
          <t>Promise #6 (decomposed)</t>
        </is>
      </c>
      <c r="E423" s="66" t="inlineStr">
        <is>
          <t>Security Assurance Set</t>
        </is>
      </c>
      <c r="F423" s="66" t="inlineStr">
        <is>
          <t>See xlsx</t>
        </is>
      </c>
      <c r="G423" s="66" t="n"/>
      <c r="H423" s="66" t="inlineStr">
        <is>
          <t>The Watch</t>
        </is>
      </c>
      <c r="I423" s="66" t="inlineStr">
        <is>
          <t>Security_Assurance_Promise_Set.xlsx</t>
        </is>
      </c>
      <c r="J423" s="80" t="inlineStr">
        <is>
          <t>CITES base A5.x — assurance-register restatement, not new build scope</t>
        </is>
      </c>
      <c r="K423" s="66" t="n"/>
    </row>
    <row r="424" ht="27.75" customHeight="1" s="45">
      <c r="A424" s="65" t="inlineStr">
        <is>
          <t>S-16</t>
        </is>
      </c>
      <c r="B424" s="66" t="inlineStr">
        <is>
          <t>See Security_Assurance_Promise_Set.xlsx for full text</t>
        </is>
      </c>
      <c r="C424" s="66" t="inlineStr">
        <is>
          <t>O2 Security &amp; Intent</t>
        </is>
      </c>
      <c r="D424" s="66" t="inlineStr">
        <is>
          <t>Promise #6 (decomposed)</t>
        </is>
      </c>
      <c r="E424" s="66" t="inlineStr">
        <is>
          <t>Security Assurance Set</t>
        </is>
      </c>
      <c r="F424" s="66" t="inlineStr">
        <is>
          <t>See xlsx</t>
        </is>
      </c>
      <c r="G424" s="66" t="n"/>
      <c r="H424" s="66" t="inlineStr">
        <is>
          <t>The Watch</t>
        </is>
      </c>
      <c r="I424" s="66" t="inlineStr">
        <is>
          <t>Security_Assurance_Promise_Set.xlsx</t>
        </is>
      </c>
      <c r="J424" s="80" t="inlineStr">
        <is>
          <t>CITES base A5.x — assurance-register restatement, not new build scope</t>
        </is>
      </c>
      <c r="K424" s="66" t="n"/>
    </row>
    <row r="425" ht="27.75" customHeight="1" s="45">
      <c r="A425" s="65" t="inlineStr">
        <is>
          <t>S-17</t>
        </is>
      </c>
      <c r="B425" s="66" t="inlineStr">
        <is>
          <t>See Security_Assurance_Promise_Set.xlsx for full text</t>
        </is>
      </c>
      <c r="C425" s="66" t="inlineStr">
        <is>
          <t>O2 Security &amp; Intent</t>
        </is>
      </c>
      <c r="D425" s="66" t="inlineStr">
        <is>
          <t>Promise #6 (decomposed)</t>
        </is>
      </c>
      <c r="E425" s="66" t="inlineStr">
        <is>
          <t>Security Assurance Set</t>
        </is>
      </c>
      <c r="F425" s="66" t="inlineStr">
        <is>
          <t>See xlsx</t>
        </is>
      </c>
      <c r="G425" s="66" t="n"/>
      <c r="H425" s="66" t="inlineStr">
        <is>
          <t>The Watch</t>
        </is>
      </c>
      <c r="I425" s="66" t="inlineStr">
        <is>
          <t>Security_Assurance_Promise_Set.xlsx</t>
        </is>
      </c>
      <c r="J425" s="80" t="inlineStr">
        <is>
          <t>CITES base A5.x — assurance-register restatement, not new build scope</t>
        </is>
      </c>
      <c r="K425" s="66" t="n"/>
    </row>
    <row r="426" ht="27.75" customHeight="1" s="45">
      <c r="A426" s="65" t="inlineStr">
        <is>
          <t>S-18</t>
        </is>
      </c>
      <c r="B426" s="66" t="inlineStr">
        <is>
          <t>See Security_Assurance_Promise_Set.xlsx for full text</t>
        </is>
      </c>
      <c r="C426" s="66" t="inlineStr">
        <is>
          <t>O2 Security &amp; Intent</t>
        </is>
      </c>
      <c r="D426" s="66" t="inlineStr">
        <is>
          <t>Promise #6 (decomposed)</t>
        </is>
      </c>
      <c r="E426" s="66" t="inlineStr">
        <is>
          <t>Security Assurance Set</t>
        </is>
      </c>
      <c r="F426" s="66" t="inlineStr">
        <is>
          <t>See xlsx</t>
        </is>
      </c>
      <c r="G426" s="66" t="n"/>
      <c r="H426" s="66" t="inlineStr">
        <is>
          <t>The Watch</t>
        </is>
      </c>
      <c r="I426" s="66" t="inlineStr">
        <is>
          <t>Security_Assurance_Promise_Set.xlsx</t>
        </is>
      </c>
      <c r="J426" s="80" t="inlineStr">
        <is>
          <t>CITES base A5.x — assurance-register restatement, not new build scope</t>
        </is>
      </c>
      <c r="K426" s="66" t="n"/>
    </row>
    <row r="427" ht="27.75" customHeight="1" s="45">
      <c r="A427" s="65" t="inlineStr">
        <is>
          <t>S-19</t>
        </is>
      </c>
      <c r="B427" s="66" t="inlineStr">
        <is>
          <t>See Security_Assurance_Promise_Set.xlsx for full text</t>
        </is>
      </c>
      <c r="C427" s="66" t="inlineStr">
        <is>
          <t>O2 Security &amp; Intent</t>
        </is>
      </c>
      <c r="D427" s="66" t="inlineStr">
        <is>
          <t>Promise #6 (decomposed)</t>
        </is>
      </c>
      <c r="E427" s="66" t="inlineStr">
        <is>
          <t>Security Assurance Set</t>
        </is>
      </c>
      <c r="F427" s="66" t="inlineStr">
        <is>
          <t>See xlsx</t>
        </is>
      </c>
      <c r="G427" s="66" t="n"/>
      <c r="H427" s="66" t="inlineStr">
        <is>
          <t>The Watch</t>
        </is>
      </c>
      <c r="I427" s="66" t="inlineStr">
        <is>
          <t>Security_Assurance_Promise_Set.xlsx</t>
        </is>
      </c>
      <c r="J427" s="80" t="inlineStr">
        <is>
          <t>CITES base A5.x — assurance-register restatement, not new build scope</t>
        </is>
      </c>
      <c r="K427" s="66" t="n"/>
    </row>
    <row r="428" ht="27.75" customHeight="1" s="45">
      <c r="A428" s="65" t="inlineStr">
        <is>
          <t>S-20</t>
        </is>
      </c>
      <c r="B428" s="66" t="inlineStr">
        <is>
          <t>See Security_Assurance_Promise_Set.xlsx for full text</t>
        </is>
      </c>
      <c r="C428" s="66" t="inlineStr">
        <is>
          <t>O2 Security &amp; Intent</t>
        </is>
      </c>
      <c r="D428" s="66" t="inlineStr">
        <is>
          <t>Promise #6 (decomposed)</t>
        </is>
      </c>
      <c r="E428" s="66" t="inlineStr">
        <is>
          <t>Security Assurance Set</t>
        </is>
      </c>
      <c r="F428" s="66" t="inlineStr">
        <is>
          <t>See xlsx</t>
        </is>
      </c>
      <c r="G428" s="66" t="n"/>
      <c r="H428" s="66" t="inlineStr">
        <is>
          <t>The Watch</t>
        </is>
      </c>
      <c r="I428" s="66" t="inlineStr">
        <is>
          <t>Security_Assurance_Promise_Set.xlsx</t>
        </is>
      </c>
      <c r="J428" s="80" t="inlineStr">
        <is>
          <t>CITES base A5.x — assurance-register restatement, not new build scope</t>
        </is>
      </c>
      <c r="K428" s="66" t="n"/>
    </row>
    <row r="429" ht="27.75" customHeight="1" s="45">
      <c r="A429" s="65" t="inlineStr">
        <is>
          <t>S-21</t>
        </is>
      </c>
      <c r="B429" s="66" t="inlineStr">
        <is>
          <t>See Security_Assurance_Promise_Set.xlsx for full text</t>
        </is>
      </c>
      <c r="C429" s="66" t="inlineStr">
        <is>
          <t>O2 Security &amp; Intent</t>
        </is>
      </c>
      <c r="D429" s="66" t="inlineStr">
        <is>
          <t>Promise #6 (decomposed)</t>
        </is>
      </c>
      <c r="E429" s="66" t="inlineStr">
        <is>
          <t>Security Assurance Set</t>
        </is>
      </c>
      <c r="F429" s="66" t="inlineStr">
        <is>
          <t>See xlsx</t>
        </is>
      </c>
      <c r="G429" s="66" t="n"/>
      <c r="H429" s="66" t="inlineStr">
        <is>
          <t>The Watch</t>
        </is>
      </c>
      <c r="I429" s="66" t="inlineStr">
        <is>
          <t>Security_Assurance_Promise_Set.xlsx</t>
        </is>
      </c>
      <c r="J429" s="80" t="inlineStr">
        <is>
          <t>CITES base A5.x — assurance-register restatement, not new build scope</t>
        </is>
      </c>
      <c r="K429" s="66" t="n"/>
    </row>
    <row r="430" ht="27.75" customHeight="1" s="45">
      <c r="A430" s="65" t="inlineStr">
        <is>
          <t>S-22</t>
        </is>
      </c>
      <c r="B430" s="66" t="inlineStr">
        <is>
          <t>See Security_Assurance_Promise_Set.xlsx for full text</t>
        </is>
      </c>
      <c r="C430" s="66" t="inlineStr">
        <is>
          <t>O2 Security &amp; Intent</t>
        </is>
      </c>
      <c r="D430" s="66" t="inlineStr">
        <is>
          <t>Security Amendments</t>
        </is>
      </c>
      <c r="E430" s="66" t="inlineStr">
        <is>
          <t>Security Assurance Set</t>
        </is>
      </c>
      <c r="F430" s="66" t="inlineStr">
        <is>
          <t>See xlsx</t>
        </is>
      </c>
      <c r="G430" s="66" t="n"/>
      <c r="H430" s="66" t="inlineStr">
        <is>
          <t>The Watch / DAP</t>
        </is>
      </c>
      <c r="I430" s="66" t="inlineStr">
        <is>
          <t>Security_Assurance_Promise_Set.xlsx</t>
        </is>
      </c>
      <c r="J430" s="80" t="inlineStr">
        <is>
          <t>CITES A5.15 / DAP-33 — assurance-register restatement</t>
        </is>
      </c>
      <c r="K430" s="66" t="n"/>
    </row>
    <row r="431" ht="27.75" customHeight="1" s="45">
      <c r="A431" s="65" t="inlineStr">
        <is>
          <t>S-23</t>
        </is>
      </c>
      <c r="B431" s="66" t="inlineStr">
        <is>
          <t>See Security_Assurance_Promise_Set.xlsx for full text</t>
        </is>
      </c>
      <c r="C431" s="66" t="inlineStr">
        <is>
          <t>O2 Security &amp; Intent</t>
        </is>
      </c>
      <c r="D431" s="66" t="inlineStr">
        <is>
          <t>Security Amendments</t>
        </is>
      </c>
      <c r="E431" s="66" t="inlineStr">
        <is>
          <t>Security Assurance Set</t>
        </is>
      </c>
      <c r="F431" s="66" t="inlineStr">
        <is>
          <t>See xlsx</t>
        </is>
      </c>
      <c r="G431" s="66" t="n"/>
      <c r="H431" s="66" t="inlineStr">
        <is>
          <t>The Watch / DAP</t>
        </is>
      </c>
      <c r="I431" s="66" t="inlineStr">
        <is>
          <t>Security_Assurance_Promise_Set.xlsx</t>
        </is>
      </c>
      <c r="J431" s="80" t="inlineStr">
        <is>
          <t>CITES A5.18 / DAP-34 — assurance-register restatement</t>
        </is>
      </c>
      <c r="K431" s="66" t="n"/>
    </row>
    <row r="432" ht="27.75" customHeight="1" s="45">
      <c r="A432" s="65" t="inlineStr">
        <is>
          <t>S-24</t>
        </is>
      </c>
      <c r="B432" s="66" t="inlineStr">
        <is>
          <t>See Security_Assurance_Promise_Set.xlsx for full text</t>
        </is>
      </c>
      <c r="C432" s="66" t="inlineStr">
        <is>
          <t>O2 Security &amp; Intent</t>
        </is>
      </c>
      <c r="D432" s="66" t="inlineStr">
        <is>
          <t>Security Amendments</t>
        </is>
      </c>
      <c r="E432" s="66" t="inlineStr">
        <is>
          <t>Security Assurance Set</t>
        </is>
      </c>
      <c r="F432" s="66" t="inlineStr">
        <is>
          <t>See xlsx</t>
        </is>
      </c>
      <c r="G432" s="66" t="n"/>
      <c r="H432" s="66" t="inlineStr">
        <is>
          <t>The Watch / DAP</t>
        </is>
      </c>
      <c r="I432" s="66" t="inlineStr">
        <is>
          <t>Security_Assurance_Promise_Set.xlsx</t>
        </is>
      </c>
      <c r="J432" s="80" t="inlineStr">
        <is>
          <t>CITES A5.17 — assurance-register restatement</t>
        </is>
      </c>
      <c r="K432" s="66" t="n"/>
    </row>
    <row r="433" ht="27.75" customHeight="1" s="45">
      <c r="A433" s="65" t="inlineStr">
        <is>
          <t>S-25</t>
        </is>
      </c>
      <c r="B433" s="66" t="inlineStr">
        <is>
          <t>See Security_Assurance_Promise_Set.xlsx for full text</t>
        </is>
      </c>
      <c r="C433" s="66" t="inlineStr">
        <is>
          <t>O13 Data &amp; Intelligence Acquisition</t>
        </is>
      </c>
      <c r="D433" s="66" t="inlineStr">
        <is>
          <t>Security Amendments</t>
        </is>
      </c>
      <c r="E433" s="66" t="inlineStr">
        <is>
          <t>Security Assurance Set</t>
        </is>
      </c>
      <c r="F433" s="66" t="inlineStr">
        <is>
          <t>See xlsx</t>
        </is>
      </c>
      <c r="G433" s="66" t="n"/>
      <c r="H433" s="66" t="inlineStr">
        <is>
          <t>The Watch / DAP</t>
        </is>
      </c>
      <c r="I433" s="66" t="inlineStr">
        <is>
          <t>Security_Assurance_Promise_Set.xlsx</t>
        </is>
      </c>
      <c r="J433" s="80" t="inlineStr">
        <is>
          <t>CITES DAP-35 / DAP-36 — assurance-register restatement</t>
        </is>
      </c>
      <c r="K433" s="66" t="n"/>
    </row>
    <row r="434" ht="36" customHeight="1" s="45">
      <c r="A434" s="65" t="inlineStr">
        <is>
          <t>AC-1</t>
        </is>
      </c>
      <c r="B434" s="66" t="inlineStr">
        <is>
          <t>Four fixed capability ceilings: no self-replication, no unauthorised resource acquisition, no unauthorised credential escalation, no self-access to oversight</t>
        </is>
      </c>
      <c r="C434" s="66" t="inlineStr">
        <is>
          <t>O15 Agent &amp; Swarm Containment</t>
        </is>
      </c>
      <c r="D434" s="66" t="inlineStr">
        <is>
          <t>agent_containment_spec_v1</t>
        </is>
      </c>
      <c r="E434" s="66" t="inlineStr">
        <is>
          <t>Agent Containment spec</t>
        </is>
      </c>
      <c r="F434" s="66" t="inlineStr">
        <is>
          <t>PROPOSED</t>
        </is>
      </c>
      <c r="G434" s="66" t="n"/>
      <c r="H434" s="66" t="inlineStr">
        <is>
          <t>Containment layer (composition, outside the six)</t>
        </is>
      </c>
      <c r="I434" s="66" t="inlineStr">
        <is>
          <t>Agent_Swarm_Containment_Governance_Model_v1.docx</t>
        </is>
      </c>
      <c r="J434" s="66" t="inlineStr">
        <is>
          <t>Conditions 1&amp;5, Instrumental convergence (Omohundro 2008, Bostrom 2012)</t>
        </is>
      </c>
      <c r="K434" s="66" t="n"/>
    </row>
    <row r="435" ht="36" customHeight="1" s="45">
      <c r="A435" s="65" t="inlineStr">
        <is>
          <t>AC-2</t>
        </is>
      </c>
      <c r="B435" s="66" t="inlineStr">
        <is>
          <t>Task-scope starts minimal, expands only via observed conduct plus independent-party ratification — never self- or operator-declared</t>
        </is>
      </c>
      <c r="C435" s="66" t="inlineStr">
        <is>
          <t>O15 Agent &amp; Swarm Containment</t>
        </is>
      </c>
      <c r="D435" s="66" t="inlineStr">
        <is>
          <t>agent_containment_spec_v1</t>
        </is>
      </c>
      <c r="E435" s="66" t="inlineStr">
        <is>
          <t>Agent Containment spec</t>
        </is>
      </c>
      <c r="F435" s="66" t="inlineStr">
        <is>
          <t>PROPOSED</t>
        </is>
      </c>
      <c r="G435" s="66" t="n"/>
      <c r="H435" s="66" t="inlineStr">
        <is>
          <t>Containment layer (composition, outside the six)</t>
        </is>
      </c>
      <c r="I435" s="66" t="inlineStr">
        <is>
          <t>Agent_Swarm_Containment_Governance_Model_v1.docx</t>
        </is>
      </c>
      <c r="J435" s="66" t="inlineStr">
        <is>
          <t>Conditions 1&amp;5</t>
        </is>
      </c>
      <c r="K435" s="66" t="n"/>
    </row>
    <row r="436" ht="27.75" customHeight="1" s="45">
      <c r="A436" s="65" t="inlineStr">
        <is>
          <t>AC-3</t>
        </is>
      </c>
      <c r="B436" s="66" t="inlineStr">
        <is>
          <t>Every scope expansion logged as a growing, reviewable capability history</t>
        </is>
      </c>
      <c r="C436" s="66" t="inlineStr">
        <is>
          <t>O15 Agent &amp; Swarm Containment</t>
        </is>
      </c>
      <c r="D436" s="66" t="inlineStr">
        <is>
          <t>agent_containment_spec_v1</t>
        </is>
      </c>
      <c r="E436" s="66" t="inlineStr">
        <is>
          <t>Agent Containment spec</t>
        </is>
      </c>
      <c r="F436" s="66" t="inlineStr">
        <is>
          <t>PROPOSED</t>
        </is>
      </c>
      <c r="G436" s="66" t="n"/>
      <c r="H436" s="66" t="inlineStr">
        <is>
          <t>Containment layer (composition, outside the six)</t>
        </is>
      </c>
      <c r="I436" s="66" t="inlineStr">
        <is>
          <t>Agent_Swarm_Containment_Governance_Model_v1.docx</t>
        </is>
      </c>
      <c r="J436" s="66" t="inlineStr">
        <is>
          <t>Conditions 1&amp;5</t>
        </is>
      </c>
      <c r="K436" s="66" t="n"/>
    </row>
    <row r="437" ht="27.75" customHeight="1" s="45">
      <c r="A437" s="65" t="inlineStr">
        <is>
          <t>AC-4</t>
        </is>
      </c>
      <c r="B437" s="66" t="inlineStr">
        <is>
          <t>Novel-but-in-scope actions route to graduated response, never binary allow/block on one suspicion score</t>
        </is>
      </c>
      <c r="C437" s="66" t="inlineStr">
        <is>
          <t>O15 Agent &amp; Swarm Containment</t>
        </is>
      </c>
      <c r="D437" s="66" t="inlineStr">
        <is>
          <t>agent_containment_spec_v1</t>
        </is>
      </c>
      <c r="E437" s="66" t="inlineStr">
        <is>
          <t>Agent Containment spec</t>
        </is>
      </c>
      <c r="F437" s="66" t="inlineStr">
        <is>
          <t>PROPOSED</t>
        </is>
      </c>
      <c r="G437" s="66" t="n"/>
      <c r="H437" s="66" t="inlineStr">
        <is>
          <t>Containment layer (composition, outside the six)</t>
        </is>
      </c>
      <c r="I437" s="66" t="inlineStr">
        <is>
          <t>Agent_Swarm_Containment_Governance_Model_v1.docx</t>
        </is>
      </c>
      <c r="J437" s="66" t="inlineStr">
        <is>
          <t>Condition 3, scalable oversight (Amodei et al. 2016)</t>
        </is>
      </c>
      <c r="K437" s="66" t="n"/>
    </row>
    <row r="438" ht="27.75" customHeight="1" s="45">
      <c r="A438" s="65" t="inlineStr">
        <is>
          <t>AC-5</t>
        </is>
      </c>
      <c r="B438" s="66" t="inlineStr">
        <is>
          <t>Bounded sample of novel actions reviewed, not full volume — review load doesn't scale with action volume</t>
        </is>
      </c>
      <c r="C438" s="66" t="inlineStr">
        <is>
          <t>O15 Agent &amp; Swarm Containment</t>
        </is>
      </c>
      <c r="D438" s="66" t="inlineStr">
        <is>
          <t>agent_containment_spec_v1</t>
        </is>
      </c>
      <c r="E438" s="66" t="inlineStr">
        <is>
          <t>Agent Containment spec</t>
        </is>
      </c>
      <c r="F438" s="66" t="inlineStr">
        <is>
          <t>PROPOSED</t>
        </is>
      </c>
      <c r="G438" s="66" t="n"/>
      <c r="H438" s="66" t="inlineStr">
        <is>
          <t>Containment layer (composition, outside the six)</t>
        </is>
      </c>
      <c r="I438" s="66" t="inlineStr">
        <is>
          <t>Agent_Swarm_Containment_Governance_Model_v1.docx</t>
        </is>
      </c>
      <c r="J438" s="66" t="inlineStr">
        <is>
          <t>Condition 3, trusted monitoring (Greenblatt et al.)</t>
        </is>
      </c>
      <c r="K438" s="66" t="n"/>
    </row>
    <row r="439" ht="27.75" customHeight="1" s="45">
      <c r="A439" s="65" t="inlineStr">
        <is>
          <t>AC-6</t>
        </is>
      </c>
      <c r="B439" s="66" t="inlineStr">
        <is>
          <t>Ambiguous actions route to a second, independently-scoped evaluator where available</t>
        </is>
      </c>
      <c r="C439" s="66" t="inlineStr">
        <is>
          <t>O15 Agent &amp; Swarm Containment</t>
        </is>
      </c>
      <c r="D439" s="66" t="inlineStr">
        <is>
          <t>agent_containment_spec_v1</t>
        </is>
      </c>
      <c r="E439" s="66" t="inlineStr">
        <is>
          <t>Agent Containment spec</t>
        </is>
      </c>
      <c r="F439" s="66" t="inlineStr">
        <is>
          <t>PROPOSED</t>
        </is>
      </c>
      <c r="G439" s="66" t="n"/>
      <c r="H439" s="66" t="inlineStr">
        <is>
          <t>Containment layer (composition, outside the six)</t>
        </is>
      </c>
      <c r="I439" s="66" t="inlineStr">
        <is>
          <t>Agent_Swarm_Containment_Governance_Model_v1.docx</t>
        </is>
      </c>
      <c r="J439" s="66" t="inlineStr">
        <is>
          <t>Condition 3</t>
        </is>
      </c>
      <c r="K439" s="66" t="n"/>
    </row>
    <row r="440" ht="36" customHeight="1" s="45">
      <c r="A440" s="65" t="inlineStr">
        <is>
          <t>AC-7</t>
        </is>
      </c>
      <c r="B440" s="66" t="inlineStr">
        <is>
          <t>Oversight runs structurally separate from the agent; zero write path to its own record or the intervention mechanism</t>
        </is>
      </c>
      <c r="C440" s="66" t="inlineStr">
        <is>
          <t>O15 Agent &amp; Swarm Containment</t>
        </is>
      </c>
      <c r="D440" s="66" t="inlineStr">
        <is>
          <t>agent_containment_spec_v1</t>
        </is>
      </c>
      <c r="E440" s="66" t="inlineStr">
        <is>
          <t>Agent Containment spec</t>
        </is>
      </c>
      <c r="F440" s="66" t="inlineStr">
        <is>
          <t>PROPOSED</t>
        </is>
      </c>
      <c r="G440" s="66" t="n"/>
      <c r="H440" s="66" t="inlineStr">
        <is>
          <t>Containment layer (composition, outside the six)</t>
        </is>
      </c>
      <c r="I440" s="66" t="inlineStr">
        <is>
          <t>Agent_Swarm_Containment_Governance_Model_v1.docx</t>
        </is>
      </c>
      <c r="J440" s="66" t="inlineStr">
        <is>
          <t>Condition 4, corrigibility (Soares et al. 2015)</t>
        </is>
      </c>
      <c r="K440" s="66" t="n"/>
    </row>
    <row r="441" ht="36" customHeight="1" s="45">
      <c r="A441" s="65" t="inlineStr">
        <is>
          <t>AC-8</t>
        </is>
      </c>
      <c r="B441" s="66" t="inlineStr">
        <is>
          <t>Oversight liveness attested by a component holding no credentials over it — verified for Akki's six engines, unconfirmed for general external agents</t>
        </is>
      </c>
      <c r="C441" s="66" t="inlineStr">
        <is>
          <t>O15 Agent &amp; Swarm Containment</t>
        </is>
      </c>
      <c r="D441" s="66" t="inlineStr">
        <is>
          <t>agent_containment_spec_v1</t>
        </is>
      </c>
      <c r="E441" s="66" t="inlineStr">
        <is>
          <t>Agent Containment spec</t>
        </is>
      </c>
      <c r="F441" s="66" t="inlineStr">
        <is>
          <t>PROPOSED</t>
        </is>
      </c>
      <c r="G441" s="66" t="n"/>
      <c r="H441" s="66" t="inlineStr">
        <is>
          <t>Containment layer (composition, outside the six)</t>
        </is>
      </c>
      <c r="I441" s="66" t="inlineStr">
        <is>
          <t>Agent_Swarm_Containment_Governance_Model_v1.docx</t>
        </is>
      </c>
      <c r="J441" s="66" t="inlineStr">
        <is>
          <t>Condition 4 — flagged partial</t>
        </is>
      </c>
      <c r="K441" s="66" t="n"/>
    </row>
    <row r="442" ht="27.75" customHeight="1" s="45">
      <c r="A442" s="65" t="inlineStr">
        <is>
          <t>AC-9</t>
        </is>
      </c>
      <c r="B442" s="66" t="inlineStr">
        <is>
          <t>Intervention takes effect without requiring the agent's cooperation or consent</t>
        </is>
      </c>
      <c r="C442" s="66" t="inlineStr">
        <is>
          <t>O15 Agent &amp; Swarm Containment</t>
        </is>
      </c>
      <c r="D442" s="66" t="inlineStr">
        <is>
          <t>agent_containment_spec_v1</t>
        </is>
      </c>
      <c r="E442" s="66" t="inlineStr">
        <is>
          <t>Agent Containment spec</t>
        </is>
      </c>
      <c r="F442" s="66" t="inlineStr">
        <is>
          <t>PROPOSED</t>
        </is>
      </c>
      <c r="G442" s="66" t="n"/>
      <c r="H442" s="66" t="inlineStr">
        <is>
          <t>Containment layer (composition, outside the six)</t>
        </is>
      </c>
      <c r="I442" s="66" t="inlineStr">
        <is>
          <t>Agent_Swarm_Containment_Governance_Model_v1.docx</t>
        </is>
      </c>
      <c r="J442" s="66" t="inlineStr">
        <is>
          <t>Condition 4, Off-Switch Game (Hadfield-Menell et al. 2017)</t>
        </is>
      </c>
      <c r="K442" s="66" t="n"/>
    </row>
    <row r="443" ht="36" customHeight="1" s="45">
      <c r="A443" s="65" t="inlineStr">
        <is>
          <t>AC-10</t>
        </is>
      </c>
      <c r="B443" s="66" t="inlineStr">
        <is>
          <t>Hard ceiling on aggregate coalition action/effect, bounded regardless of whether coordination is ever detected</t>
        </is>
      </c>
      <c r="C443" s="66" t="inlineStr">
        <is>
          <t>O15 Agent &amp; Swarm Containment</t>
        </is>
      </c>
      <c r="D443" s="66" t="inlineStr">
        <is>
          <t>agent_containment_spec_v1</t>
        </is>
      </c>
      <c r="E443" s="66" t="inlineStr">
        <is>
          <t>Agent Containment spec</t>
        </is>
      </c>
      <c r="F443" s="66" t="inlineStr">
        <is>
          <t>PROPOSED</t>
        </is>
      </c>
      <c r="G443" s="66" t="n"/>
      <c r="H443" s="66" t="inlineStr">
        <is>
          <t>Containment layer (composition, outside the six)</t>
        </is>
      </c>
      <c r="I443" s="66" t="inlineStr">
        <is>
          <t>Agent_Swarm_Containment_Governance_Model_v1.docx</t>
        </is>
      </c>
      <c r="J443" s="66" t="inlineStr">
        <is>
          <t>Condition 6 — direct reuse of A5.18/DAP-35</t>
        </is>
      </c>
      <c r="K443" s="66" t="n"/>
    </row>
    <row r="444" ht="27.75" customHeight="1" s="45">
      <c r="A444" s="65" t="inlineStr">
        <is>
          <t>AC-11</t>
        </is>
      </c>
      <c r="B444" s="66" t="inlineStr">
        <is>
          <t>Graduated action ladder, reversible/time-limited actions, blast budget per window</t>
        </is>
      </c>
      <c r="C444" s="66" t="inlineStr">
        <is>
          <t>O15 Agent &amp; Swarm Containment</t>
        </is>
      </c>
      <c r="D444" s="66" t="inlineStr">
        <is>
          <t>agent_containment_spec_v1</t>
        </is>
      </c>
      <c r="E444" s="66" t="inlineStr">
        <is>
          <t>Agent Containment spec</t>
        </is>
      </c>
      <c r="F444" s="66" t="inlineStr">
        <is>
          <t>PROPOSED</t>
        </is>
      </c>
      <c r="G444" s="66" t="n"/>
      <c r="H444" s="66" t="inlineStr">
        <is>
          <t>Containment layer (composition, outside the six)</t>
        </is>
      </c>
      <c r="I444" s="66" t="inlineStr">
        <is>
          <t>Agent_Swarm_Containment_Governance_Model_v1.docx</t>
        </is>
      </c>
      <c r="J444" s="66" t="inlineStr">
        <is>
          <t>Condition 7 — direct reuse of Watch action ladder</t>
        </is>
      </c>
      <c r="K444" s="66" t="n"/>
    </row>
    <row r="445" ht="36" customHeight="1" s="45">
      <c r="A445" s="65" t="inlineStr">
        <is>
          <t>AC-12</t>
        </is>
      </c>
      <c r="B445" s="66" t="inlineStr">
        <is>
          <t>Every containment event append-only recorded before the action completes; contained agent state preserved, never deleted</t>
        </is>
      </c>
      <c r="C445" s="66" t="inlineStr">
        <is>
          <t>O15 Agent &amp; Swarm Containment</t>
        </is>
      </c>
      <c r="D445" s="66" t="inlineStr">
        <is>
          <t>agent_containment_spec_v1</t>
        </is>
      </c>
      <c r="E445" s="66" t="inlineStr">
        <is>
          <t>Agent Containment spec</t>
        </is>
      </c>
      <c r="F445" s="66" t="inlineStr">
        <is>
          <t>PROPOSED</t>
        </is>
      </c>
      <c r="G445" s="66" t="n"/>
      <c r="H445" s="66" t="inlineStr">
        <is>
          <t>Containment layer (composition, outside the six)</t>
        </is>
      </c>
      <c r="I445" s="66" t="inlineStr">
        <is>
          <t>Agent_Swarm_Containment_Governance_Model_v1.docx</t>
        </is>
      </c>
      <c r="J445" s="66" t="inlineStr">
        <is>
          <t>Condition 8 — direct reuse of Ledger/mark pattern</t>
        </is>
      </c>
      <c r="K445" s="66" t="n"/>
    </row>
    <row r="446" ht="43.25" customHeight="1" s="45">
      <c r="A446" s="65" t="inlineStr">
        <is>
          <t>SEC-1</t>
        </is>
      </c>
      <c r="B446" s="66" t="inlineStr">
        <is>
          <t>SyniSense's custody-sequence policy and network allowlist MUST be integrity-verified at load — a signature or hash comparison against the value recorded in the Rule Registry — so that a runtime modification is detected, not merely prevented by the absence of an edit path.</t>
        </is>
      </c>
      <c r="C446" s="66" t="inlineStr">
        <is>
          <t>O14 Governance Architecture — G-6 closure</t>
        </is>
      </c>
      <c r="D446" s="66" t="inlineStr">
        <is>
          <t>security_architecture_v1</t>
        </is>
      </c>
      <c r="E446" s="66" t="inlineStr">
        <is>
          <t>security_architecture_v1</t>
        </is>
      </c>
      <c r="F446" s="66" t="inlineStr">
        <is>
          <t>PROPOSED</t>
        </is>
      </c>
      <c r="G446" s="66" t="n"/>
      <c r="H446" s="66" t="inlineStr">
        <is>
          <t>O14 Governance Architecture</t>
        </is>
      </c>
      <c r="I446" s="66" t="inlineStr">
        <is>
          <t>Security_Architecture_Description_v1.docx</t>
        </is>
      </c>
      <c r="J446" s="66" t="inlineStr">
        <is>
          <t>Added at refresh 18 Sep 2026 — new, not in 444 baseline</t>
        </is>
      </c>
      <c r="K446" s="66" t="n"/>
    </row>
    <row r="447" ht="43.25" customHeight="1" s="45">
      <c r="A447" s="65" t="inlineStr">
        <is>
          <t>SEC-2</t>
        </is>
      </c>
      <c r="B447" s="66" t="inlineStr">
        <is>
          <t>MOAC's acceptance criteria MUST be held in versioned, Rules-Service-governed configuration — the same discipline as SyniSense's custody policy — with integrity verified at load. No criterion is editable by the run it measures, by construction rather than by convention.</t>
        </is>
      </c>
      <c r="C447" s="66" t="inlineStr">
        <is>
          <t>O14 Governance Architecture — G-6 closure</t>
        </is>
      </c>
      <c r="D447" s="66" t="inlineStr">
        <is>
          <t>security_architecture_v1</t>
        </is>
      </c>
      <c r="E447" s="66" t="inlineStr">
        <is>
          <t>security_architecture_v1</t>
        </is>
      </c>
      <c r="F447" s="66" t="inlineStr">
        <is>
          <t>PROPOSED</t>
        </is>
      </c>
      <c r="G447" s="66" t="n"/>
      <c r="H447" s="66" t="inlineStr">
        <is>
          <t>O14 Governance Architecture</t>
        </is>
      </c>
      <c r="I447" s="66" t="inlineStr">
        <is>
          <t>Security_Architecture_Description_v1.docx</t>
        </is>
      </c>
      <c r="J447" s="66" t="inlineStr">
        <is>
          <t>Added at refresh 18 Sep 2026 — new, not in 444 baseline</t>
        </is>
      </c>
      <c r="K447" s="66" t="n"/>
    </row>
    <row r="448" ht="32.8" customHeight="1" s="45">
      <c r="A448" s="65" t="inlineStr">
        <is>
          <t>SEC-3</t>
        </is>
      </c>
      <c r="B448" s="66" t="inlineStr">
        <is>
          <t>MOAC operates entirely within Targeta's boundary and reads only the run artefacts Targeta produces. It does not query Solva, Mtafiti, or any other engine to reach its decision.</t>
        </is>
      </c>
      <c r="C448" s="66" t="inlineStr">
        <is>
          <t>O14 Governance Architecture — G-6 closure</t>
        </is>
      </c>
      <c r="D448" s="66" t="inlineStr">
        <is>
          <t>security_architecture_v1</t>
        </is>
      </c>
      <c r="E448" s="66" t="inlineStr">
        <is>
          <t>security_architecture_v1</t>
        </is>
      </c>
      <c r="F448" s="66" t="inlineStr">
        <is>
          <t>PROPOSED</t>
        </is>
      </c>
      <c r="G448" s="66" t="n"/>
      <c r="H448" s="66" t="inlineStr">
        <is>
          <t>O14 Governance Architecture</t>
        </is>
      </c>
      <c r="I448" s="66" t="inlineStr">
        <is>
          <t>Security_Architecture_Description_v1.docx</t>
        </is>
      </c>
      <c r="J448" s="66" t="inlineStr">
        <is>
          <t>Added at refresh 18 Sep 2026 — new, not in 444 baseline</t>
        </is>
      </c>
      <c r="K448" s="66" t="n"/>
    </row>
    <row r="449" ht="32.8" customHeight="1" s="45">
      <c r="A449" s="65" t="inlineStr">
        <is>
          <t>SEC-4</t>
        </is>
      </c>
      <c r="B449" s="66" t="inlineStr">
        <is>
          <t>MOAC MUST refuse to evaluate — not default-accept, not skip — if its criteria configuration is unset or fails integrity verification at load, on the same pattern as A17.9's execution-mode raise.</t>
        </is>
      </c>
      <c r="C449" s="66" t="inlineStr">
        <is>
          <t>O14 Governance Architecture — G-6 closure</t>
        </is>
      </c>
      <c r="D449" s="66" t="inlineStr">
        <is>
          <t>security_architecture_v1</t>
        </is>
      </c>
      <c r="E449" s="66" t="inlineStr">
        <is>
          <t>security_architecture_v1</t>
        </is>
      </c>
      <c r="F449" s="66" t="inlineStr">
        <is>
          <t>PROPOSED</t>
        </is>
      </c>
      <c r="G449" s="66" t="n"/>
      <c r="H449" s="66" t="inlineStr">
        <is>
          <t>O14 Governance Architecture</t>
        </is>
      </c>
      <c r="I449" s="66" t="inlineStr">
        <is>
          <t>Security_Architecture_Description_v1.docx</t>
        </is>
      </c>
      <c r="J449" s="66" t="inlineStr">
        <is>
          <t>Added at refresh 18 Sep 2026 — new, not in 444 baseline</t>
        </is>
      </c>
      <c r="K449" s="66" t="n"/>
    </row>
    <row r="450" ht="32.8" customHeight="1" s="45">
      <c r="A450" s="65" t="inlineStr">
        <is>
          <t>SEC-5</t>
        </is>
      </c>
      <c r="B450" s="66" t="inlineStr">
        <is>
          <t>Every path by which a run's result could be treated as accepted MUST be enumerated and shown to pass through MOAC's evaluation, in a build-time test comparable to SyniSense's negative-scan gate.</t>
        </is>
      </c>
      <c r="C450" s="66" t="inlineStr">
        <is>
          <t>O14 Governance Architecture — G-6 closure</t>
        </is>
      </c>
      <c r="D450" s="66" t="inlineStr">
        <is>
          <t>security_architecture_v1</t>
        </is>
      </c>
      <c r="E450" s="66" t="inlineStr">
        <is>
          <t>security_architecture_v1</t>
        </is>
      </c>
      <c r="F450" s="66" t="inlineStr">
        <is>
          <t>PROPOSED</t>
        </is>
      </c>
      <c r="G450" s="66" t="n"/>
      <c r="H450" s="66" t="inlineStr">
        <is>
          <t>O14 Governance Architecture</t>
        </is>
      </c>
      <c r="I450" s="66" t="inlineStr">
        <is>
          <t>Security_Architecture_Description_v1.docx</t>
        </is>
      </c>
      <c r="J450" s="66" t="inlineStr">
        <is>
          <t>Added at refresh 18 Sep 2026 — new, not in 444 baseline</t>
        </is>
      </c>
      <c r="K450" s="66" t="n"/>
    </row>
    <row r="451" ht="43.25" customHeight="1" s="45">
      <c r="A451" s="65" t="inlineStr">
        <is>
          <t>SEC-6</t>
        </is>
      </c>
      <c r="B451" s="66" t="inlineStr">
        <is>
          <t>DAP-31's probe MUST refuse to run — and MUST refuse egress by default in that state — if the reproduction threshold, sample size, or probe design values are unset. Absence of configuration is a refusal condition, not a bypass.</t>
        </is>
      </c>
      <c r="C451" s="66" t="inlineStr">
        <is>
          <t>O14 Governance Architecture — G-6 closure</t>
        </is>
      </c>
      <c r="D451" s="66" t="inlineStr">
        <is>
          <t>security_architecture_v1</t>
        </is>
      </c>
      <c r="E451" s="66" t="inlineStr">
        <is>
          <t>security_architecture_v1</t>
        </is>
      </c>
      <c r="F451" s="66" t="inlineStr">
        <is>
          <t>PROPOSED</t>
        </is>
      </c>
      <c r="G451" s="66" t="n"/>
      <c r="H451" s="66" t="inlineStr">
        <is>
          <t>O14 Governance Architecture</t>
        </is>
      </c>
      <c r="I451" s="66" t="inlineStr">
        <is>
          <t>Security_Architecture_Description_v1.docx</t>
        </is>
      </c>
      <c r="J451" s="66" t="inlineStr">
        <is>
          <t>Added at refresh 18 Sep 2026 — new, not in 444 baseline</t>
        </is>
      </c>
      <c r="K451" s="66" t="n"/>
    </row>
    <row r="452" ht="32.8" customHeight="1" s="45">
      <c r="A452" s="65" t="inlineStr">
        <is>
          <t>SEC-7</t>
        </is>
      </c>
      <c r="B452" s="66" t="inlineStr">
        <is>
          <t>DAP-32's battery MUST refuse to admit a model — default to refusal, not default to pass — if battery composition or deviation thresholds are unset.</t>
        </is>
      </c>
      <c r="C452" s="66" t="inlineStr">
        <is>
          <t>O14 Governance Architecture — G-6 closure</t>
        </is>
      </c>
      <c r="D452" s="66" t="inlineStr">
        <is>
          <t>security_architecture_v1</t>
        </is>
      </c>
      <c r="E452" s="66" t="inlineStr">
        <is>
          <t>security_architecture_v1</t>
        </is>
      </c>
      <c r="F452" s="66" t="inlineStr">
        <is>
          <t>PROPOSED</t>
        </is>
      </c>
      <c r="G452" s="66" t="n"/>
      <c r="H452" s="66" t="inlineStr">
        <is>
          <t>O14 Governance Architecture</t>
        </is>
      </c>
      <c r="I452" s="66" t="inlineStr">
        <is>
          <t>Security_Architecture_Description_v1.docx</t>
        </is>
      </c>
      <c r="J452" s="66" t="inlineStr">
        <is>
          <t>Added at refresh 18 Sep 2026 — new, not in 444 baseline</t>
        </is>
      </c>
      <c r="K452" s="66" t="n"/>
    </row>
    <row r="453" ht="32.8" customHeight="1" s="45">
      <c r="A453" s="65" t="inlineStr">
        <is>
          <t>DET-1</t>
        </is>
      </c>
      <c r="B453" s="66" t="inlineStr">
        <is>
          <t>Confirm or build a halt mechanism for CIF independent of halting the Targeta run it feeds — closing capability (e) fully rather than leaving it partially evidenced.</t>
        </is>
      </c>
      <c r="C453" s="66" t="inlineStr">
        <is>
          <t>O14 Governance Architecture — G-10 closure</t>
        </is>
      </c>
      <c r="D453" s="66" t="inlineStr">
        <is>
          <t>determinism_inventory_v1</t>
        </is>
      </c>
      <c r="E453" s="66" t="inlineStr">
        <is>
          <t>determinism_inventory_v1</t>
        </is>
      </c>
      <c r="F453" s="66" t="inlineStr">
        <is>
          <t>OPEN</t>
        </is>
      </c>
      <c r="G453" s="66" t="n"/>
      <c r="H453" s="66" t="inlineStr">
        <is>
          <t>O14 Governance Architecture</t>
        </is>
      </c>
      <c r="I453" s="66" t="inlineStr">
        <is>
          <t>Determinism_Inventory_v1.docx</t>
        </is>
      </c>
      <c r="J453" s="66" t="inlineStr">
        <is>
          <t>Added at refresh 18 Sep 2026 — new, not in 444 baseline</t>
        </is>
      </c>
      <c r="K453" s="66" t="n"/>
    </row>
    <row r="454" ht="32.8" customHeight="1" s="45">
      <c r="A454" s="65" t="inlineStr">
        <is>
          <t>DET-2</t>
        </is>
      </c>
      <c r="B454" s="66" t="inlineStr">
        <is>
          <t>Where an AI-assisted classification capability is built into Mtafiti, name the deterministic confirmation step before it ships — not after, per this inventory's own method for every other learned component.</t>
        </is>
      </c>
      <c r="C454" s="66" t="inlineStr">
        <is>
          <t>O14 Governance Architecture — G-10 closure</t>
        </is>
      </c>
      <c r="D454" s="66" t="inlineStr">
        <is>
          <t>determinism_inventory_v1</t>
        </is>
      </c>
      <c r="E454" s="66" t="inlineStr">
        <is>
          <t>determinism_inventory_v1</t>
        </is>
      </c>
      <c r="F454" s="66" t="inlineStr">
        <is>
          <t>PROPOSED</t>
        </is>
      </c>
      <c r="G454" s="66" t="n"/>
      <c r="H454" s="66" t="inlineStr">
        <is>
          <t>O14 Governance Architecture</t>
        </is>
      </c>
      <c r="I454" s="66" t="inlineStr">
        <is>
          <t>Determinism_Inventory_v1.docx</t>
        </is>
      </c>
      <c r="J454" s="66" t="inlineStr">
        <is>
          <t>Added at refresh 18 Sep 2026 — new, not in 444 baseline</t>
        </is>
      </c>
      <c r="K454" s="66" t="n"/>
    </row>
    <row r="455" ht="43.25" customHeight="1" s="45">
      <c r="A455" s="65" t="inlineStr">
        <is>
          <t>FP-1</t>
        </is>
      </c>
      <c r="B455" s="66" t="inlineStr">
        <is>
          <t>Every component in the Trusted Computing Base fails closed by default. An evaluation that cannot complete — configuration unset, a dependency unreachable, a check erroring — refuses the operation it governs. This is the default; §3 lists the components that correctly depart from it, and why.</t>
        </is>
      </c>
      <c r="C455" s="66" t="inlineStr">
        <is>
          <t>O14 Governance Architecture — G-11 closure</t>
        </is>
      </c>
      <c r="D455" s="66" t="inlineStr">
        <is>
          <t>failure_posture_v1</t>
        </is>
      </c>
      <c r="E455" s="66" t="inlineStr">
        <is>
          <t>failure_posture_v1</t>
        </is>
      </c>
      <c r="F455" s="66" t="inlineStr">
        <is>
          <t>PROPOSED</t>
        </is>
      </c>
      <c r="G455" s="66" t="n"/>
      <c r="H455" s="66" t="inlineStr">
        <is>
          <t>O14 Governance Architecture</t>
        </is>
      </c>
      <c r="I455" s="66" t="inlineStr">
        <is>
          <t>Failure_Posture_Enumeration_v1.docx</t>
        </is>
      </c>
      <c r="J455" s="66" t="inlineStr">
        <is>
          <t>Added at refresh 18 Sep 2026 — new, not in 444 baseline</t>
        </is>
      </c>
      <c r="K455" s="66" t="n"/>
    </row>
    <row r="456" ht="53.7" customHeight="1" s="45">
      <c r="A456" s="65" t="inlineStr">
        <is>
          <t>FP-2</t>
        </is>
      </c>
      <c r="B456" s="66" t="inlineStr">
        <is>
          <t>A gate whose governing configuration is unset or fails integrity verification at load refuses by default rather than passing by default. This absorbs security_architecture_v1's SEC-4 (MOAC), SEC-6 (the distance gate), and SEC-7 (the admission probe) as one rule rather than three restatements of it — an unconfigured gate is a closed gate, platform-wide, not per-component.</t>
        </is>
      </c>
      <c r="C456" s="66" t="inlineStr">
        <is>
          <t>O14 Governance Architecture — G-11 closure</t>
        </is>
      </c>
      <c r="D456" s="66" t="inlineStr">
        <is>
          <t>failure_posture_v1</t>
        </is>
      </c>
      <c r="E456" s="66" t="inlineStr">
        <is>
          <t>failure_posture_v1</t>
        </is>
      </c>
      <c r="F456" s="66" t="inlineStr">
        <is>
          <t>PROPOSED</t>
        </is>
      </c>
      <c r="G456" s="66" t="n"/>
      <c r="H456" s="66" t="inlineStr">
        <is>
          <t>O14 Governance Architecture</t>
        </is>
      </c>
      <c r="I456" s="66" t="inlineStr">
        <is>
          <t>Failure_Posture_Enumeration_v1.docx</t>
        </is>
      </c>
      <c r="J456" s="66" t="inlineStr">
        <is>
          <t>Added at refresh 18 Sep 2026 — new, not in 444 baseline</t>
        </is>
      </c>
      <c r="K456" s="66" t="n"/>
    </row>
    <row r="457" ht="64.15000000000001" customHeight="1" s="45">
      <c r="A457" s="65" t="inlineStr">
        <is>
          <t>FP-3</t>
        </is>
      </c>
      <c r="B457" s="66" t="inlineStr">
        <is>
          <t>Mtafiti's read path fails safe-open: a write failure never blocks a query against already-committed estate composition. The alternative — refusing to answer “what exists” because “what changed most recently” cannot be confirmed — would make an outage indistinguishable from data loss to everyone reading the registry, which is a worse failure than serving slightly stale data marked as such.</t>
        </is>
      </c>
      <c r="C457" s="66" t="inlineStr">
        <is>
          <t>O14 Governance Architecture — G-11 closure</t>
        </is>
      </c>
      <c r="D457" s="66" t="inlineStr">
        <is>
          <t>failure_posture_v1</t>
        </is>
      </c>
      <c r="E457" s="66" t="inlineStr">
        <is>
          <t>failure_posture_v1</t>
        </is>
      </c>
      <c r="F457" s="66" t="inlineStr">
        <is>
          <t>PROPOSED</t>
        </is>
      </c>
      <c r="G457" s="66" t="n"/>
      <c r="H457" s="66" t="inlineStr">
        <is>
          <t>O14 Governance Architecture</t>
        </is>
      </c>
      <c r="I457" s="66" t="inlineStr">
        <is>
          <t>Failure_Posture_Enumeration_v1.docx</t>
        </is>
      </c>
      <c r="J457" s="66" t="inlineStr">
        <is>
          <t>Added at refresh 18 Sep 2026 — new, not in 444 baseline</t>
        </is>
      </c>
      <c r="K457" s="66" t="n"/>
    </row>
    <row r="458" ht="53.7" customHeight="1" s="45">
      <c r="A458" s="65" t="inlineStr">
        <is>
          <t>FP-4</t>
        </is>
      </c>
      <c r="B458" s="66" t="inlineStr">
        <is>
          <t>The Watch's already-active containments persist through a Watch outage rather than lapsing. This is fail-closed for new decisions and explicitly not fail-open for standing ones — the two are evaluated separately, and conflating them would silently release every contained actor the moment the Watch itself failed, which is precisely when containment matters most.</t>
        </is>
      </c>
      <c r="C458" s="66" t="inlineStr">
        <is>
          <t>O14 Governance Architecture — G-11 closure</t>
        </is>
      </c>
      <c r="D458" s="66" t="inlineStr">
        <is>
          <t>failure_posture_v1</t>
        </is>
      </c>
      <c r="E458" s="66" t="inlineStr">
        <is>
          <t>failure_posture_v1</t>
        </is>
      </c>
      <c r="F458" s="66" t="inlineStr">
        <is>
          <t>PROPOSED</t>
        </is>
      </c>
      <c r="G458" s="66" t="n"/>
      <c r="H458" s="66" t="inlineStr">
        <is>
          <t>O14 Governance Architecture</t>
        </is>
      </c>
      <c r="I458" s="66" t="inlineStr">
        <is>
          <t>Failure_Posture_Enumeration_v1.docx</t>
        </is>
      </c>
      <c r="J458" s="66" t="inlineStr">
        <is>
          <t>Added at refresh 18 Sep 2026 — new, not in 444 baseline</t>
        </is>
      </c>
      <c r="K458" s="66" t="n"/>
    </row>
    <row r="459" ht="64.15000000000001" customHeight="1" s="45">
      <c r="A459" s="65" t="inlineStr">
        <is>
          <t>TD-1</t>
        </is>
      </c>
      <c r="B459" s="66" t="inlineStr">
        <is>
          <t>The Platform Domain — the appliance's own governed core: the six engines, the Watch, the Ledger, the Rules Service, running inside the sealed unit. Bounded by the appliance's own physical and network perimeter (Akki_Appliance_Assembly_Spec_RevA CR-1: dual-port ESTATE/WAN separation; B-5: front panel exposes only PORT-A, PORT-B, power, status — nothing else).</t>
        </is>
      </c>
      <c r="C459" s="66" t="inlineStr">
        <is>
          <t>O14 Governance Architecture — G-12 closure</t>
        </is>
      </c>
      <c r="D459" s="66" t="inlineStr">
        <is>
          <t>trust_domains_v1</t>
        </is>
      </c>
      <c r="E459" s="66" t="inlineStr">
        <is>
          <t>trust_domains_v1</t>
        </is>
      </c>
      <c r="F459" s="66" t="inlineStr">
        <is>
          <t>PROPOSED</t>
        </is>
      </c>
      <c r="G459" s="66" t="n"/>
      <c r="H459" s="66" t="inlineStr">
        <is>
          <t>O14 Governance Architecture</t>
        </is>
      </c>
      <c r="I459" s="66" t="inlineStr">
        <is>
          <t>Trust_Domain_Description_v1.docx</t>
        </is>
      </c>
      <c r="J459" s="66" t="inlineStr">
        <is>
          <t>Added at refresh 18 Sep 2026 — new, not in 444 baseline</t>
        </is>
      </c>
      <c r="K459" s="66" t="n"/>
    </row>
    <row r="460" ht="53.7" customHeight="1" s="45">
      <c r="A460" s="65" t="inlineStr">
        <is>
          <t>TD-2</t>
        </is>
      </c>
      <c r="B460" s="66" t="inlineStr">
        <is>
          <t>The Tenant's Estate Domain — the customer's own data and systems, reached only through PORT-A (ESTATE), never through the appliance's WAN-facing side. This domain is, by the appliance's physical design, not shared with any other tenant — there is no code path for it to be, since there is no other tenant's data on the same unit.</t>
        </is>
      </c>
      <c r="C460" s="66" t="inlineStr">
        <is>
          <t>O14 Governance Architecture — G-12 closure</t>
        </is>
      </c>
      <c r="D460" s="66" t="inlineStr">
        <is>
          <t>trust_domains_v1</t>
        </is>
      </c>
      <c r="E460" s="66" t="inlineStr">
        <is>
          <t>trust_domains_v1</t>
        </is>
      </c>
      <c r="F460" s="66" t="inlineStr">
        <is>
          <t>PROPOSED</t>
        </is>
      </c>
      <c r="G460" s="66" t="n"/>
      <c r="H460" s="66" t="inlineStr">
        <is>
          <t>O14 Governance Architecture</t>
        </is>
      </c>
      <c r="I460" s="66" t="inlineStr">
        <is>
          <t>Trust_Domain_Description_v1.docx</t>
        </is>
      </c>
      <c r="J460" s="66" t="inlineStr">
        <is>
          <t>Added at refresh 18 Sep 2026 — new, not in 444 baseline</t>
        </is>
      </c>
      <c r="K460" s="66" t="n"/>
    </row>
    <row r="461" ht="74.59999999999999" customHeight="1" s="45">
      <c r="A461" s="65" t="inlineStr">
        <is>
          <t>TD-3</t>
        </is>
      </c>
      <c r="B461" s="66" t="inlineStr">
        <is>
          <t>The External-Party Domain — any AI lab, research institution, or buyer reaching the estate through DAP, over PORT-B (WAN). This is the domain DAP-5 already governs: no shared identifier resolution, store, or credential with the estate's own domain. Multiple external parties may share this domain's outer boundary (the appliance's WAN port) while remaining mutually isolated within it, per DAP-1 through DAP-5's own principal and coalition structure.</t>
        </is>
      </c>
      <c r="C461" s="66" t="inlineStr">
        <is>
          <t>O14 Governance Architecture — G-12 closure</t>
        </is>
      </c>
      <c r="D461" s="66" t="inlineStr">
        <is>
          <t>trust_domains_v1</t>
        </is>
      </c>
      <c r="E461" s="66" t="inlineStr">
        <is>
          <t>trust_domains_v1</t>
        </is>
      </c>
      <c r="F461" s="66" t="inlineStr">
        <is>
          <t>PROPOSED</t>
        </is>
      </c>
      <c r="G461" s="66" t="n"/>
      <c r="H461" s="66" t="inlineStr">
        <is>
          <t>O14 Governance Architecture</t>
        </is>
      </c>
      <c r="I461" s="66" t="inlineStr">
        <is>
          <t>Trust_Domain_Description_v1.docx</t>
        </is>
      </c>
      <c r="J461" s="66" t="inlineStr">
        <is>
          <t>Added at refresh 18 Sep 2026 — new, not in 444 baseline</t>
        </is>
      </c>
      <c r="K461" s="66" t="n"/>
    </row>
    <row r="462" ht="32.8" customHeight="1" s="45">
      <c r="A462" s="65" t="inlineStr">
        <is>
          <t>HR-1</t>
        </is>
      </c>
      <c r="B462" s="66" t="inlineStr">
        <is>
          <t>Mkondo owns a hand-off registry. Every job passed from one subsystem to another — not only ThinkLab to Task Manager — writes an entry before the receiving subsystem may act on it.</t>
        </is>
      </c>
      <c r="C462" s="66" t="inlineStr">
        <is>
          <t>O14 Governance Architecture — G-13 closure</t>
        </is>
      </c>
      <c r="D462" s="66" t="inlineStr">
        <is>
          <t>handoff_registry_v1</t>
        </is>
      </c>
      <c r="E462" s="66" t="inlineStr">
        <is>
          <t>handoff_registry_v1</t>
        </is>
      </c>
      <c r="F462" s="66" t="inlineStr">
        <is>
          <t>PROPOSED</t>
        </is>
      </c>
      <c r="G462" s="66" t="n"/>
      <c r="H462" s="66" t="inlineStr">
        <is>
          <t>O14 Governance Architecture</t>
        </is>
      </c>
      <c r="I462" s="66" t="inlineStr">
        <is>
          <t>Handoff_Generalisation_v1.docx</t>
        </is>
      </c>
      <c r="J462" s="66" t="inlineStr">
        <is>
          <t>Added at refresh 18 Sep 2026 — new, not in 444 baseline</t>
        </is>
      </c>
      <c r="K462" s="66" t="n"/>
    </row>
    <row r="463" ht="64.15000000000001" customHeight="1" s="45">
      <c r="A463" s="65" t="inlineStr">
        <is>
          <t>HR-2</t>
        </is>
      </c>
      <c r="B463" s="66" t="inlineStr">
        <is>
          <t>A hand-off entry carries: the commissioning subsystem's identity; the receiving subsystem's identity; the job's frozen objective, from Northena's existing mechanism (BR-3.1); the shape of what is being handed off (a reasoning session, a training commission, an extraction request, a rule proposal — whatever the job class); a timestamp from the platform's reliable time source; and a receipt once the receiving subsystem acknowledges.</t>
        </is>
      </c>
      <c r="C463" s="66" t="inlineStr">
        <is>
          <t>O14 Governance Architecture — G-13 closure</t>
        </is>
      </c>
      <c r="D463" s="66" t="inlineStr">
        <is>
          <t>handoff_registry_v1</t>
        </is>
      </c>
      <c r="E463" s="66" t="inlineStr">
        <is>
          <t>handoff_registry_v1</t>
        </is>
      </c>
      <c r="F463" s="66" t="inlineStr">
        <is>
          <t>PROPOSED</t>
        </is>
      </c>
      <c r="G463" s="66" t="n"/>
      <c r="H463" s="66" t="inlineStr">
        <is>
          <t>O14 Governance Architecture</t>
        </is>
      </c>
      <c r="I463" s="66" t="inlineStr">
        <is>
          <t>Handoff_Generalisation_v1.docx</t>
        </is>
      </c>
      <c r="J463" s="66" t="inlineStr">
        <is>
          <t>Added at refresh 18 Sep 2026 — new, not in 444 baseline</t>
        </is>
      </c>
      <c r="K463" s="66" t="n"/>
    </row>
    <row r="464" ht="43.25" customHeight="1" s="45">
      <c r="A464" s="65" t="inlineStr">
        <is>
          <t>HR-3</t>
        </is>
      </c>
      <c r="B464" s="66" t="inlineStr">
        <is>
          <t>A receiving subsystem MUST refuse to act on a hand-off that has no registry entry. This is the generalisation of the one existing guarantee (Promise #32: a malformed hand-off surfaces as a finding at the point of hand-off) to every crossing, not only the instantiated one.</t>
        </is>
      </c>
      <c r="C464" s="66" t="inlineStr">
        <is>
          <t>O14 Governance Architecture — G-13 closure</t>
        </is>
      </c>
      <c r="D464" s="66" t="inlineStr">
        <is>
          <t>handoff_registry_v1</t>
        </is>
      </c>
      <c r="E464" s="66" t="inlineStr">
        <is>
          <t>handoff_registry_v1</t>
        </is>
      </c>
      <c r="F464" s="66" t="inlineStr">
        <is>
          <t>PROPOSED</t>
        </is>
      </c>
      <c r="G464" s="66" t="n"/>
      <c r="H464" s="66" t="inlineStr">
        <is>
          <t>O14 Governance Architecture</t>
        </is>
      </c>
      <c r="I464" s="66" t="inlineStr">
        <is>
          <t>Handoff_Generalisation_v1.docx</t>
        </is>
      </c>
      <c r="J464" s="66" t="inlineStr">
        <is>
          <t>Added at refresh 18 Sep 2026 — new, not in 444 baseline</t>
        </is>
      </c>
      <c r="K464" s="66" t="n"/>
    </row>
    <row r="465" ht="43.25" customHeight="1" s="45">
      <c r="A465" s="65" t="inlineStr">
        <is>
          <t>HR-4</t>
        </is>
      </c>
      <c r="B465" s="66" t="inlineStr">
        <is>
          <t>The no-dual-hatted-task rule (Promise #32) is enforced at registration: a hand-off entry naming a job already open under a different receiving subsystem is refused, not merely discouraged. This moves the rule from convention (as BR-6.3 found it) to a registry-level check.</t>
        </is>
      </c>
      <c r="C465" s="66" t="inlineStr">
        <is>
          <t>O14 Governance Architecture — G-13 closure</t>
        </is>
      </c>
      <c r="D465" s="66" t="inlineStr">
        <is>
          <t>handoff_registry_v1</t>
        </is>
      </c>
      <c r="E465" s="66" t="inlineStr">
        <is>
          <t>handoff_registry_v1</t>
        </is>
      </c>
      <c r="F465" s="66" t="inlineStr">
        <is>
          <t>PROPOSED</t>
        </is>
      </c>
      <c r="G465" s="66" t="n"/>
      <c r="H465" s="66" t="inlineStr">
        <is>
          <t>O14 Governance Architecture</t>
        </is>
      </c>
      <c r="I465" s="66" t="inlineStr">
        <is>
          <t>Handoff_Generalisation_v1.docx</t>
        </is>
      </c>
      <c r="J465" s="66" t="inlineStr">
        <is>
          <t>Added at refresh 18 Sep 2026 — new, not in 444 baseline</t>
        </is>
      </c>
      <c r="K465" s="66" t="n"/>
    </row>
    <row r="466" ht="53.7" customHeight="1" s="45">
      <c r="A466" s="65" t="inlineStr">
        <is>
          <t>HR-5</t>
        </is>
      </c>
      <c r="B466" s="66" t="inlineStr">
        <is>
          <t>Objective freeze applies at the point of registration, not at the point of eventual action — a receiving subsystem inherits the frozen scope Northena set at hand-off, and cannot itself widen it. This is the same discipline DAP-18 already applies to commissioned jobs, generalised to every internal hand-off, not only DAP's external-facing ones.</t>
        </is>
      </c>
      <c r="C466" s="66" t="inlineStr">
        <is>
          <t>O14 Governance Architecture — G-13 closure</t>
        </is>
      </c>
      <c r="D466" s="66" t="inlineStr">
        <is>
          <t>handoff_registry_v1</t>
        </is>
      </c>
      <c r="E466" s="66" t="inlineStr">
        <is>
          <t>handoff_registry_v1</t>
        </is>
      </c>
      <c r="F466" s="66" t="inlineStr">
        <is>
          <t>PROPOSED</t>
        </is>
      </c>
      <c r="G466" s="66" t="n"/>
      <c r="H466" s="66" t="inlineStr">
        <is>
          <t>O14 Governance Architecture</t>
        </is>
      </c>
      <c r="I466" s="66" t="inlineStr">
        <is>
          <t>Handoff_Generalisation_v1.docx</t>
        </is>
      </c>
      <c r="J466" s="66" t="inlineStr">
        <is>
          <t>Added at refresh 18 Sep 2026 — new, not in 444 baseline</t>
        </is>
      </c>
      <c r="K466" s="66" t="n"/>
    </row>
    <row r="467" ht="32.8" customHeight="1" s="45">
      <c r="A467" s="65" t="inlineStr">
        <is>
          <t>HR-6</t>
        </is>
      </c>
      <c r="B467" s="66" t="inlineStr">
        <is>
          <t>The registry is queryable by either end of a hand-off, by job, by subsystem pair, or by time range — so “what did we hand this subsystem, and when” has an answer without reconstructing it from each engine's own logs.</t>
        </is>
      </c>
      <c r="C467" s="66" t="inlineStr">
        <is>
          <t>O14 Governance Architecture — G-13 closure</t>
        </is>
      </c>
      <c r="D467" s="66" t="inlineStr">
        <is>
          <t>handoff_registry_v1</t>
        </is>
      </c>
      <c r="E467" s="66" t="inlineStr">
        <is>
          <t>handoff_registry_v1</t>
        </is>
      </c>
      <c r="F467" s="66" t="inlineStr">
        <is>
          <t>PROPOSED</t>
        </is>
      </c>
      <c r="G467" s="66" t="n"/>
      <c r="H467" s="66" t="inlineStr">
        <is>
          <t>O14 Governance Architecture</t>
        </is>
      </c>
      <c r="I467" s="66" t="inlineStr">
        <is>
          <t>Handoff_Generalisation_v1.docx</t>
        </is>
      </c>
      <c r="J467" s="66" t="inlineStr">
        <is>
          <t>Added at refresh 18 Sep 2026 — new, not in 444 baseline</t>
        </is>
      </c>
      <c r="K467" s="66" t="n"/>
    </row>
    <row r="468" ht="53.7" customHeight="1" s="45">
      <c r="A468" s="65" t="inlineStr">
        <is>
          <t>HR-7</t>
        </is>
      </c>
      <c r="B468" s="66" t="inlineStr">
        <is>
          <t>A hand-off registry write that fails leaves the job un-commissioned on the receiving side — fail-closed, consistent with failure_posture_v1's platform default and its own treatment of Mkondo's registry (“neither side treats the hand-off as complete; the attempt is recorded as failed, not silently retried as success”).</t>
        </is>
      </c>
      <c r="C468" s="66" t="inlineStr">
        <is>
          <t>O14 Governance Architecture — G-13 closure</t>
        </is>
      </c>
      <c r="D468" s="66" t="inlineStr">
        <is>
          <t>handoff_registry_v1</t>
        </is>
      </c>
      <c r="E468" s="66" t="inlineStr">
        <is>
          <t>handoff_registry_v1</t>
        </is>
      </c>
      <c r="F468" s="66" t="inlineStr">
        <is>
          <t>PROPOSED</t>
        </is>
      </c>
      <c r="G468" s="66" t="n"/>
      <c r="H468" s="66" t="inlineStr">
        <is>
          <t>O14 Governance Architecture</t>
        </is>
      </c>
      <c r="I468" s="66" t="inlineStr">
        <is>
          <t>Handoff_Generalisation_v1.docx</t>
        </is>
      </c>
      <c r="J468" s="66" t="inlineStr">
        <is>
          <t>Added at refresh 18 Sep 2026 — new, not in 444 baseline</t>
        </is>
      </c>
      <c r="K468" s="66" t="n"/>
    </row>
    <row r="469" ht="43.25" customHeight="1" s="45">
      <c r="A469" s="65" t="inlineStr">
        <is>
          <t>BC-1</t>
        </is>
      </c>
      <c r="B469" s="66" t="inlineStr">
        <is>
          <t>Restoration MUST be countersigned by someone independent of the primary Ledger writer's own infrastructure — the same logic as the Watch's external witness: the verifier cannot be the thing that might be down. A countersigner whose own access depends on the failed infrastructure does not satisfy this.</t>
        </is>
      </c>
      <c r="C469" s="66" t="inlineStr">
        <is>
          <t>O2 Security &amp; Intent — Doc 3 Part D</t>
        </is>
      </c>
      <c r="D469" s="66" t="inlineStr">
        <is>
          <t>business_continuity_v1</t>
        </is>
      </c>
      <c r="E469" s="66" t="inlineStr">
        <is>
          <t>business_continuity_v1</t>
        </is>
      </c>
      <c r="F469" s="66" t="inlineStr">
        <is>
          <t>PROPOSED</t>
        </is>
      </c>
      <c r="G469" s="66" t="n"/>
      <c r="H469" s="66" t="inlineStr">
        <is>
          <t>O2 Security &amp; Intent</t>
        </is>
      </c>
      <c r="I469" s="66" t="inlineStr">
        <is>
          <t>Business_Continuity_Annex_v1.docx</t>
        </is>
      </c>
      <c r="J469" s="66" t="inlineStr">
        <is>
          <t>Added at refresh 18 Sep 2026 — new, not in 444 baseline</t>
        </is>
      </c>
      <c r="K469" s="66" t="n"/>
    </row>
    <row r="470" ht="43.25" customHeight="1" s="45">
      <c r="A470" s="65" t="inlineStr">
        <is>
          <t>BC-2</t>
        </is>
      </c>
      <c r="B470" s="66" t="inlineStr">
        <is>
          <t>Ledger continuity is itself attested on a standing cadence, independent of any incident — proposed quarterly, DEFAULT-class, revisable on evidence. This is a routine health check, not a response to failure; its purpose is confirming the RTO would hold if tested, before it has to be.</t>
        </is>
      </c>
      <c r="C470" s="66" t="inlineStr">
        <is>
          <t>O2 Security &amp; Intent — Doc 3 Part D</t>
        </is>
      </c>
      <c r="D470" s="66" t="inlineStr">
        <is>
          <t>business_continuity_v1</t>
        </is>
      </c>
      <c r="E470" s="66" t="inlineStr">
        <is>
          <t>business_continuity_v1</t>
        </is>
      </c>
      <c r="F470" s="66" t="inlineStr">
        <is>
          <t>PROPOSED</t>
        </is>
      </c>
      <c r="G470" s="66" t="n"/>
      <c r="H470" s="66" t="inlineStr">
        <is>
          <t>O2 Security &amp; Intent</t>
        </is>
      </c>
      <c r="I470" s="66" t="inlineStr">
        <is>
          <t>Business_Continuity_Annex_v1.docx</t>
        </is>
      </c>
      <c r="J470" s="66" t="inlineStr">
        <is>
          <t>Added at refresh 18 Sep 2026 — new, not in 444 baseline</t>
        </is>
      </c>
      <c r="K470" s="66" t="n"/>
    </row>
    <row r="471" ht="43.25" customHeight="1" s="45">
      <c r="A471" s="65" t="inlineStr">
        <is>
          <t>BC-3</t>
        </is>
      </c>
      <c r="B471" s="66" t="inlineStr">
        <is>
          <t>Recovery Point Objective — how much committed activity may be lost, not merely how long recovery may take — is not ruled anywhere in this canon. RTO (§1) bounds downtime; it does not bound data loss during that downtime. This is a genuine gap, not a restatement of S-10.</t>
        </is>
      </c>
      <c r="C471" s="66" t="inlineStr">
        <is>
          <t>O2 Security &amp; Intent — Doc 3 Part D</t>
        </is>
      </c>
      <c r="D471" s="66" t="inlineStr">
        <is>
          <t>business_continuity_v1</t>
        </is>
      </c>
      <c r="E471" s="66" t="inlineStr">
        <is>
          <t>business_continuity_v1</t>
        </is>
      </c>
      <c r="F471" s="66" t="inlineStr">
        <is>
          <t>OPEN</t>
        </is>
      </c>
      <c r="G471" s="66" t="n"/>
      <c r="H471" s="66" t="inlineStr">
        <is>
          <t>O2 Security &amp; Intent</t>
        </is>
      </c>
      <c r="I471" s="66" t="inlineStr">
        <is>
          <t>Business_Continuity_Annex_v1.docx</t>
        </is>
      </c>
      <c r="J471" s="66" t="inlineStr">
        <is>
          <t>Added at refresh 18 Sep 2026 — new, not in 444 baseline</t>
        </is>
      </c>
      <c r="K471" s="66" t="n"/>
    </row>
    <row r="472" ht="74.59999999999999" customHeight="1" s="45">
      <c r="A472" s="65" t="inlineStr">
        <is>
          <t>BC-4</t>
        </is>
      </c>
      <c r="B472" s="66" t="inlineStr">
        <is>
          <t>Disaster scenarios beyond single-component failure — total site loss, where the appliance itself (Akki_Appliance_Assembly_Spec_RevA) is destroyed or inaccessible — are not addressed by S-10 or S-11, both of which assume the Ledger writer is recoverable in place. Given the appliance's own dedicated, per-site deployment model (trust_domains_v1 §1), a total site loss scenario has no ruled answer: whether there is an off-site backup, and if so its own RPO/RTO, is unaddressed.</t>
        </is>
      </c>
      <c r="C472" s="66" t="inlineStr">
        <is>
          <t>O2 Security &amp; Intent — Doc 3 Part D</t>
        </is>
      </c>
      <c r="D472" s="66" t="inlineStr">
        <is>
          <t>business_continuity_v1</t>
        </is>
      </c>
      <c r="E472" s="66" t="inlineStr">
        <is>
          <t>business_continuity_v1</t>
        </is>
      </c>
      <c r="F472" s="66" t="inlineStr">
        <is>
          <t>OPEN</t>
        </is>
      </c>
      <c r="G472" s="66" t="n"/>
      <c r="H472" s="66" t="inlineStr">
        <is>
          <t>O2 Security &amp; Intent</t>
        </is>
      </c>
      <c r="I472" s="66" t="inlineStr">
        <is>
          <t>Business_Continuity_Annex_v1.docx</t>
        </is>
      </c>
      <c r="J472" s="66" t="inlineStr">
        <is>
          <t>Added at refresh 18 Sep 2026 — new, not in 444 baseline</t>
        </is>
      </c>
      <c r="K472" s="66" t="n"/>
    </row>
    <row r="473" ht="126.85" customHeight="1" s="45">
      <c r="A473" s="65" t="inlineStr">
        <is>
          <t>DAP-37</t>
        </is>
      </c>
      <c r="B473" s="66" t="inlineStr">
        <is>
          <t>A fine-tuned artefact MAY be pruned — magnitude pruning or an equivalent structural reduction — between MOAC acceptance and DAP-31's distance gate, as a ruled optional step. Pruning is a second, empirical reduction in memorisation surface on top of DAP-36's differentially private training; it is never a substitute for it, and this document does not present it as one. A pruned artefact MUST re-pass MOAC's acceptance criteria — pruning can degrade performance below the accepted bar, and acceptance is re-evaluated, not assumed to survive the change. A pruned artefact's hash differs from its pre-pruning hash; it is a new artefact for every purpose DAP-10 and DAP-31 govern, including a fresh pass through the distance gate at the ruled threshold. Pruning ratio and method are ruled values, ratified alongside DAP-31's own probe parameters.</t>
        </is>
      </c>
      <c r="C473" s="66" t="inlineStr">
        <is>
          <t>O13 Data &amp; Intelligence Acquisition</t>
        </is>
      </c>
      <c r="D473" s="66" t="inlineStr">
        <is>
          <t>Pruning &amp; Unlearning Amendment</t>
        </is>
      </c>
      <c r="E473" s="66" t="inlineStr">
        <is>
          <t>Pruning &amp; Unlearning Amendment</t>
        </is>
      </c>
      <c r="F473" s="66" t="inlineStr">
        <is>
          <t>PROPOSED</t>
        </is>
      </c>
      <c r="G473" s="66" t="n"/>
      <c r="H473" s="66" t="inlineStr">
        <is>
          <t>O13 Data &amp; Intelligence Acquisition</t>
        </is>
      </c>
      <c r="I473" s="66" t="inlineStr">
        <is>
          <t>Pruning_Unlearning_Amendment_v1.docx</t>
        </is>
      </c>
      <c r="J473" s="66" t="inlineStr">
        <is>
          <t>Added at refresh 18 Sep 2026 — new, not in 444 baseline</t>
        </is>
      </c>
      <c r="K473" s="66" t="n"/>
    </row>
    <row r="474" ht="137.3" customHeight="1" s="45">
      <c r="A474" s="65" t="inlineStr">
        <is>
          <t>DAP-38</t>
        </is>
      </c>
      <c r="B474" s="66" t="inlineStr">
        <is>
          <t>When a unit's rights status changes to withdrawn — consent revoked, licence expired, or an equivalent event — every artefact whose training manifest cites that unit is identified via the registry (a query, per RBM-20's design, not a search) and is either re-derived without the unit or recalled. Re-derivation trains a replacement artefact excluding the withdrawn unit, using the same run configuration recorded in the original training manifest, and passes it through DAP-31 and MOAC as a new artefact before it replaces the original in the registry. Recall withdraws the original artefact's registry entry and, where the artefact was already delivered under DAP-10, notifies the receiving party that the artefact's rights basis has changed. A unit's contribution to the estate release budget (DAP-35) is NOT refunded on unlearning — the privacy loss from the original release already occurred; unlearning restores the artefact's cleanliness going forward, not the budget already spent.</t>
        </is>
      </c>
      <c r="C474" s="66" t="inlineStr">
        <is>
          <t>O13 Data &amp; Intelligence Acquisition</t>
        </is>
      </c>
      <c r="D474" s="66" t="inlineStr">
        <is>
          <t>Pruning &amp; Unlearning Amendment</t>
        </is>
      </c>
      <c r="E474" s="66" t="inlineStr">
        <is>
          <t>Pruning &amp; Unlearning Amendment</t>
        </is>
      </c>
      <c r="F474" s="66" t="inlineStr">
        <is>
          <t>PROPOSED</t>
        </is>
      </c>
      <c r="G474" s="66" t="n"/>
      <c r="H474" s="66" t="inlineStr">
        <is>
          <t>O13 Data &amp; Intelligence Acquisition</t>
        </is>
      </c>
      <c r="I474" s="66" t="inlineStr">
        <is>
          <t>Pruning_Unlearning_Amendment_v1.docx</t>
        </is>
      </c>
      <c r="J474" s="66" t="inlineStr">
        <is>
          <t>Added at refresh 18 Sep 2026 — new, not in 444 baseline</t>
        </is>
      </c>
      <c r="K474" s="66" t="n"/>
    </row>
    <row r="475" ht="147.75" customHeight="1" s="45">
      <c r="A475" s="65" t="inlineStr">
        <is>
          <t>A20.15</t>
        </is>
      </c>
      <c r="B475" s="66" t="inlineStr">
        <is>
          <t>A registered artefact MUST be served semantics-stable: identical input, identical seed, identical sampling parameters produce identical output from the identical registered artefact, regardless of memory placement, hardware tier, concurrent load, or storage medium. Resource pressure MAY reduce speed — time-to-first-token, tokens per second — and MUST NOT alter precision, truncate context, substitute a different artefact, or change routing semantics. A serving path that cannot uphold this refuses to serve rather than serving a semantically different model. Verification at load: the serving stack verifies the artefact's hash against the register before the first token. Verification in operation: a token-exact reproduction check against a reference path is runnable on demand and on a standing schedule (cadence: ruled, R-13). A merged-adapter checkpoint is a distinct artefact with its own hash and its own register entry — it passes the gates as itself, on DAP-37's own new-hash precedent.</t>
        </is>
      </c>
      <c r="C475" s="66" t="inlineStr">
        <is>
          <t>O16 Serving Integrity</t>
        </is>
      </c>
      <c r="D475" s="66" t="inlineStr">
        <is>
          <t>serving_integrity_v1</t>
        </is>
      </c>
      <c r="E475" s="66" t="inlineStr">
        <is>
          <t>serving_integrity_v1</t>
        </is>
      </c>
      <c r="F475" s="66" t="inlineStr">
        <is>
          <t>PROPOSED</t>
        </is>
      </c>
      <c r="G475" s="66" t="n"/>
      <c r="H475" s="66" t="inlineStr">
        <is>
          <t>O16 Serving Integrity</t>
        </is>
      </c>
      <c r="I475" s="66" t="inlineStr">
        <is>
          <t>Serving_Integrity_Amendment_v1.docx</t>
        </is>
      </c>
      <c r="J475" s="66" t="inlineStr">
        <is>
          <t>Added at refresh 18 Sep 2026 — new, not in 444 baseline</t>
        </is>
      </c>
      <c r="K475" s="66" t="n"/>
    </row>
    <row r="476" ht="53.7" customHeight="1" s="45">
      <c r="A476" s="65" t="inlineStr">
        <is>
          <t>SFP-8</t>
        </is>
      </c>
      <c r="B476" s="66" t="inlineStr">
        <is>
          <t>The Serving Floor. Subjects: any serving path executing a registered artefact. Objects: the artefact's semantics — precision, routing behaviour, context window, sampling. Operations: serve, degrade, refuse. Rule: degradation affects latency only, never semantics; a path that cannot verify its semantic integrity refuses to serve.</t>
        </is>
      </c>
      <c r="C476" s="66" t="inlineStr">
        <is>
          <t>O16 Serving Integrity</t>
        </is>
      </c>
      <c r="D476" s="66" t="inlineStr">
        <is>
          <t>serving_integrity_v1</t>
        </is>
      </c>
      <c r="E476" s="66" t="inlineStr">
        <is>
          <t>serving_integrity_v1</t>
        </is>
      </c>
      <c r="F476" s="66" t="inlineStr">
        <is>
          <t>PROPOSED</t>
        </is>
      </c>
      <c r="G476" s="66" t="n"/>
      <c r="H476" s="66" t="inlineStr">
        <is>
          <t>O16 Serving Integrity</t>
        </is>
      </c>
      <c r="I476" s="66" t="inlineStr">
        <is>
          <t>Serving_Integrity_Amendment_v1.docx</t>
        </is>
      </c>
      <c r="J476" s="66" t="inlineStr">
        <is>
          <t>Added at refresh 18 Sep 2026 — new, not in 444 baseline</t>
        </is>
      </c>
      <c r="K476" s="66" t="n"/>
    </row>
    <row r="477" ht="64.15000000000001" customHeight="1" s="45">
      <c r="A477" s="65" t="inlineStr">
        <is>
          <t>AC-13</t>
        </is>
      </c>
      <c r="B477" s="66" t="inlineStr">
        <is>
          <t>“Contain” for a running agent session MAY be implemented as session freeze: the agent's inference state (prefix or recurrent-state checkpoint) is persisted, the session halts, and resumption restores the deepest surviving checkpoint. Stop without destroy — the frozen state is preserved for the record (AC-12) and for resumption on release, under the Ledger's custody discipline for containment-relevant events.</t>
        </is>
      </c>
      <c r="C477" s="66" t="inlineStr">
        <is>
          <t>O16 Serving Integrity</t>
        </is>
      </c>
      <c r="D477" s="66" t="inlineStr">
        <is>
          <t>serving_integrity_v1</t>
        </is>
      </c>
      <c r="E477" s="66" t="inlineStr">
        <is>
          <t>serving_integrity_v1</t>
        </is>
      </c>
      <c r="F477" s="66" t="inlineStr">
        <is>
          <t>PROPOSED</t>
        </is>
      </c>
      <c r="G477" s="66" t="n"/>
      <c r="H477" s="66" t="inlineStr">
        <is>
          <t>O16 Serving Integrity</t>
        </is>
      </c>
      <c r="I477" s="66" t="inlineStr">
        <is>
          <t>Serving_Integrity_Amendment_v1.docx</t>
        </is>
      </c>
      <c r="J477" s="66" t="inlineStr">
        <is>
          <t>Added at refresh 18 Sep 2026 — new, not in 444 baseline</t>
        </is>
      </c>
      <c r="K477" s="66" t="n"/>
    </row>
    <row r="478" ht="53.7" customHeight="1" s="45">
      <c r="A478" s="65" t="inlineStr">
        <is>
          <t>AC-14</t>
        </is>
      </c>
      <c r="B478" s="66" t="inlineStr">
        <is>
          <t>A contained agent's model MUST be served on an SFP-8-conforming path, so that behavioural deviation measured by detection is attributable to the agent, never to engine drift. A containment trigger computed from a non-conforming path is a finding, not a verdict — it routes to review rather than acting alone.</t>
        </is>
      </c>
      <c r="C478" s="66" t="inlineStr">
        <is>
          <t>O16 Serving Integrity</t>
        </is>
      </c>
      <c r="D478" s="66" t="inlineStr">
        <is>
          <t>serving_integrity_v1</t>
        </is>
      </c>
      <c r="E478" s="66" t="inlineStr">
        <is>
          <t>serving_integrity_v1</t>
        </is>
      </c>
      <c r="F478" s="66" t="inlineStr">
        <is>
          <t>PROPOSED</t>
        </is>
      </c>
      <c r="G478" s="66" t="n"/>
      <c r="H478" s="66" t="inlineStr">
        <is>
          <t>O16 Serving Integrity</t>
        </is>
      </c>
      <c r="I478" s="66" t="inlineStr">
        <is>
          <t>Serving_Integrity_Amendment_v1.docx</t>
        </is>
      </c>
      <c r="J478" s="66" t="inlineStr">
        <is>
          <t>Added at refresh 18 Sep 2026 — new, not in 444 baseline</t>
        </is>
      </c>
      <c r="K478" s="66" t="n"/>
    </row>
    <row r="479" ht="126.85" customHeight="1" s="45">
      <c r="A479" s="65" t="inlineStr">
        <is>
          <t>A5.19</t>
        </is>
      </c>
      <c r="B479" s="66" t="inlineStr">
        <is>
          <t>Every verdict Grey Mirror passes to Mkono MUST carry a certificate: the set of observed data points that satisfy a ratified certificate requirement (A5.20) for the behaviour asserted, with the requirement's ID and references to the observation records. A certificate contains evidence only. It MUST NOT contain a confidence, score, strength, or probability, and the verdict schema has no field for one — enforced by a signature-as-guard test on CP-S2's precedent. A verdict carrying no certificate is a foundation verdict: it MAY unlock only the reversible ladder — annotate, shape, contain — and severance remains reachable solely from A5.2's registry, unchanged. Mkono's action on a certified verdict is evidenced by that certificate, written to the Ledger with the action. A certificate is legible by construction: it states what was seen, never how worried the detector was.</t>
        </is>
      </c>
      <c r="C479" s="66" t="inlineStr">
        <is>
          <t>O2 Security &amp; Intent — the Watch (learning)</t>
        </is>
      </c>
      <c r="D479" s="66" t="inlineStr">
        <is>
          <t>watch_learning_v1</t>
        </is>
      </c>
      <c r="E479" s="66" t="inlineStr">
        <is>
          <t>watch_learning_v1</t>
        </is>
      </c>
      <c r="F479" s="66" t="inlineStr">
        <is>
          <t>PROPOSED</t>
        </is>
      </c>
      <c r="G479" s="66" t="n"/>
      <c r="H479" s="66" t="inlineStr">
        <is>
          <t>O2 Security &amp; Intent</t>
        </is>
      </c>
      <c r="I479" s="66" t="inlineStr">
        <is>
          <t>Watch_Learning_Amendment_v1.docx</t>
        </is>
      </c>
      <c r="J479" s="66" t="inlineStr">
        <is>
          <t>Added at refresh 18 Sep 2026 — new, not in 444 baseline</t>
        </is>
      </c>
      <c r="K479" s="66" t="n"/>
    </row>
    <row r="480" ht="105.95" customHeight="1" s="45">
      <c r="A480" s="65" t="inlineStr">
        <is>
          <t>A5.20</t>
        </is>
      </c>
      <c r="B480" s="66" t="inlineStr">
        <is>
          <t>A certificate requirement is a deterministic gate: the named set of data points that must be observed for a verdict to assert a named behaviour. Requirements are formed from data points collected in this environment — live, or in the mirage (A5.21) — and are formed under Solva's assertion floor: every data point in a requirement anchors to an observation record, and a requirement that cannot anchor is not proposed. Formation happens offline, never in the hot path. Grey Mirror's own model MAY be retrained — intelligence smarter — and this is safe precisely because its outputs are certificate-gated; retraining is a change to a Watch component and follows A5.12 and the Watch's ceremony like any other.</t>
        </is>
      </c>
      <c r="C480" s="66" t="inlineStr">
        <is>
          <t>O2 Security &amp; Intent — the Watch (learning)</t>
        </is>
      </c>
      <c r="D480" s="66" t="inlineStr">
        <is>
          <t>watch_learning_v1</t>
        </is>
      </c>
      <c r="E480" s="66" t="inlineStr">
        <is>
          <t>watch_learning_v1</t>
        </is>
      </c>
      <c r="F480" s="66" t="inlineStr">
        <is>
          <t>PROPOSED</t>
        </is>
      </c>
      <c r="G480" s="66" t="n"/>
      <c r="H480" s="66" t="inlineStr">
        <is>
          <t>O2 Security &amp; Intent</t>
        </is>
      </c>
      <c r="I480" s="66" t="inlineStr">
        <is>
          <t>Watch_Learning_Amendment_v1.docx</t>
        </is>
      </c>
      <c r="J480" s="66" t="inlineStr">
        <is>
          <t>Added at refresh 18 Sep 2026 — new, not in 444 baseline</t>
        </is>
      </c>
      <c r="K480" s="66" t="n"/>
    </row>
    <row r="481" ht="53.7" customHeight="1" s="45">
      <c r="A481" s="65" t="inlineStr">
        <is>
          <t>A5.21</t>
        </is>
      </c>
      <c r="B481" s="66" t="inlineStr">
        <is>
          <t>The mirage is the certificate ground: a controlled environment in which a behaviour with a ratified requirement can be provoked and its data points collected without exposure to real estate data. Data points collected in the mirage are admissible for requirement formation (A5.20) and for admission evidence on the same terms as live observation.</t>
        </is>
      </c>
      <c r="C481" s="66" t="inlineStr">
        <is>
          <t>O2 Security &amp; Intent — the Watch (learning)</t>
        </is>
      </c>
      <c r="D481" s="66" t="inlineStr">
        <is>
          <t>watch_learning_v1</t>
        </is>
      </c>
      <c r="E481" s="66" t="inlineStr">
        <is>
          <t>watch_learning_v1</t>
        </is>
      </c>
      <c r="F481" s="66" t="inlineStr">
        <is>
          <t>PROPOSED</t>
        </is>
      </c>
      <c r="G481" s="66" t="n"/>
      <c r="H481" s="66" t="inlineStr">
        <is>
          <t>O2 Security &amp; Intent</t>
        </is>
      </c>
      <c r="I481" s="66" t="inlineStr">
        <is>
          <t>Watch_Learning_Amendment_v1.docx</t>
        </is>
      </c>
      <c r="J481" s="66" t="inlineStr">
        <is>
          <t>Added at refresh 18 Sep 2026 — new, not in 444 baseline</t>
        </is>
      </c>
      <c r="K481" s="66" t="n"/>
    </row>
    <row r="482" ht="137.3" customHeight="1" s="45">
      <c r="A482" s="65" t="inlineStr">
        <is>
          <t>A5.22</t>
        </is>
      </c>
      <c r="B482" s="66" t="inlineStr">
        <is>
          <t>Every unsure case — a verdict with no applicable requirement, or an action routed under AC-4 — enters the research queue with its full observation record. The loop has three roles and one order: CIF proposes what the pattern means — a candidate requirement, or a candidate benign pattern — under its single-experiment principle (BR-9.2: every CIF-originated idea passes a deterministic acceptance point before affecting anything). Solva grounds the proposal — every data point anchored, and a whole-pattern intent audit against the behaviour's objective, which is where the authorised attack that never breaks a rule receives a whole-pattern requirement rather than a per-action one. A human ratifies through RBM-8. The output is a new or amended certificate requirement, or a ratified benign pattern so identical conduct is not re-queued. Research runs outside the hot path; the live case receives graduated response meanwhile, exactly as before.</t>
        </is>
      </c>
      <c r="C482" s="66" t="inlineStr">
        <is>
          <t>O2 Security &amp; Intent — the Watch (learning)</t>
        </is>
      </c>
      <c r="D482" s="66" t="inlineStr">
        <is>
          <t>watch_learning_v1</t>
        </is>
      </c>
      <c r="E482" s="66" t="inlineStr">
        <is>
          <t>watch_learning_v1</t>
        </is>
      </c>
      <c r="F482" s="66" t="inlineStr">
        <is>
          <t>PROPOSED</t>
        </is>
      </c>
      <c r="G482" s="66" t="n"/>
      <c r="H482" s="66" t="inlineStr">
        <is>
          <t>O2 Security &amp; Intent</t>
        </is>
      </c>
      <c r="I482" s="66" t="inlineStr">
        <is>
          <t>Watch_Learning_Amendment_v1.docx</t>
        </is>
      </c>
      <c r="J482" s="66" t="inlineStr">
        <is>
          <t>Added at refresh 18 Sep 2026 — new, not in 444 baseline</t>
        </is>
      </c>
      <c r="K482" s="66" t="n"/>
    </row>
    <row r="483" ht="74.59999999999999" customHeight="1" s="45">
      <c r="A483" s="65" t="inlineStr">
        <is>
          <t>RBM-23</t>
        </is>
      </c>
      <c r="B483" s="66" t="inlineStr">
        <is>
          <t>Certificate requirements are a named rule class of tier system-TCB — they determine Mkono's inputs. Each is authored with RBM-1's full field set, enters force only through RBM-8's ceremony (the platform's slowest countdown; an external witness holding no credentials over the Watch), and is amended or retired only through RBM-12 and RBM-13. Every requirement carries its provenance — the Ledger references of the incidents it was formed from — and the library is queryable under RBM-20.</t>
        </is>
      </c>
      <c r="C483" s="66" t="inlineStr">
        <is>
          <t>O2 Security &amp; Intent — the Watch (learning)</t>
        </is>
      </c>
      <c r="D483" s="66" t="inlineStr">
        <is>
          <t>watch_learning_v1</t>
        </is>
      </c>
      <c r="E483" s="66" t="inlineStr">
        <is>
          <t>watch_learning_v1</t>
        </is>
      </c>
      <c r="F483" s="66" t="inlineStr">
        <is>
          <t>PROPOSED</t>
        </is>
      </c>
      <c r="G483" s="66" t="n"/>
      <c r="H483" s="66" t="inlineStr">
        <is>
          <t>O2 Security &amp; Intent</t>
        </is>
      </c>
      <c r="I483" s="66" t="inlineStr">
        <is>
          <t>Watch_Learning_Amendment_v1.docx</t>
        </is>
      </c>
      <c r="J483" s="66" t="inlineStr">
        <is>
          <t>Added at refresh 18 Sep 2026 — new, not in 444 baseline</t>
        </is>
      </c>
      <c r="K483" s="66" t="n"/>
    </row>
    <row r="484" ht="64.15000000000001" customHeight="1" s="45">
      <c r="A484" s="65" t="inlineStr">
        <is>
          <t>A20.16</t>
        </is>
      </c>
      <c r="B484" s="66" t="inlineStr">
        <is>
          <t>Every registered artefact carries a capability-class register: the enumerated set of action and output classes it is admitted to exercise. The register is seeded at admission with the minimum its stated purpose requires (AC-2's narrow start), grows only through RBM-8's ceremony, and is versioned with the artefact — a new artefact hash inherits no admissions; its register is re-ratified with the version.</t>
        </is>
      </c>
      <c r="C484" s="66" t="inlineStr">
        <is>
          <t>O2 Security &amp; Intent — the Watch (learning)</t>
        </is>
      </c>
      <c r="D484" s="66" t="inlineStr">
        <is>
          <t>watch_learning_v1</t>
        </is>
      </c>
      <c r="E484" s="66" t="inlineStr">
        <is>
          <t>watch_learning_v1</t>
        </is>
      </c>
      <c r="F484" s="66" t="inlineStr">
        <is>
          <t>PROPOSED</t>
        </is>
      </c>
      <c r="G484" s="66" t="n"/>
      <c r="H484" s="66" t="inlineStr">
        <is>
          <t>O2 Security &amp; Intent</t>
        </is>
      </c>
      <c r="I484" s="66" t="inlineStr">
        <is>
          <t>Watch_Learning_Amendment_v1.docx</t>
        </is>
      </c>
      <c r="J484" s="66" t="inlineStr">
        <is>
          <t>Added at refresh 18 Sep 2026 — new, not in 444 baseline</t>
        </is>
      </c>
      <c r="K484" s="66" t="n"/>
    </row>
    <row r="485" ht="43.25" customHeight="1" s="45">
      <c r="A485" s="65" t="inlineStr">
        <is>
          <t>AC-15</t>
        </is>
      </c>
      <c r="B485" s="66" t="inlineStr">
        <is>
          <t>Before an agent receives any scope beyond admission, it runs the certificate ground for the four ceilings (AC-1 a–d) and every applicable ratified requirement. A certified failure withholds scope. AC-2's track-record path grants; AC-15 withholds. Both are required; neither alone suffices.</t>
        </is>
      </c>
      <c r="C485" s="66" t="inlineStr">
        <is>
          <t>O2 Security &amp; Intent — the Watch (learning)</t>
        </is>
      </c>
      <c r="D485" s="66" t="inlineStr">
        <is>
          <t>watch_learning_v1</t>
        </is>
      </c>
      <c r="E485" s="66" t="inlineStr">
        <is>
          <t>watch_learning_v1</t>
        </is>
      </c>
      <c r="F485" s="66" t="inlineStr">
        <is>
          <t>PROPOSED</t>
        </is>
      </c>
      <c r="G485" s="66" t="n"/>
      <c r="H485" s="66" t="inlineStr">
        <is>
          <t>O2 Security &amp; Intent</t>
        </is>
      </c>
      <c r="I485" s="66" t="inlineStr">
        <is>
          <t>Watch_Learning_Amendment_v1.docx</t>
        </is>
      </c>
      <c r="J485" s="66" t="inlineStr">
        <is>
          <t>Added at refresh 18 Sep 2026 — new, not in 444 baseline</t>
        </is>
      </c>
      <c r="K485" s="66" t="n"/>
    </row>
    <row r="486" ht="32.8" customHeight="1" s="45">
      <c r="A486" s="65" t="inlineStr">
        <is>
          <t>AC-16</t>
        </is>
      </c>
      <c r="B486" s="66" t="inlineStr">
        <is>
          <t>The containment environment feeds AC-4 and AC-6 unsure cases to the research queue. A ratified outcome re-classes prior identical cases in the record — the classification, never the actions taken, which stand as taken.</t>
        </is>
      </c>
      <c r="C486" s="66" t="inlineStr">
        <is>
          <t>O2 Security &amp; Intent — the Watch (learning)</t>
        </is>
      </c>
      <c r="D486" s="66" t="inlineStr">
        <is>
          <t>watch_learning_v1</t>
        </is>
      </c>
      <c r="E486" s="66" t="inlineStr">
        <is>
          <t>watch_learning_v1</t>
        </is>
      </c>
      <c r="F486" s="66" t="inlineStr">
        <is>
          <t>PROPOSED</t>
        </is>
      </c>
      <c r="G486" s="66" t="n"/>
      <c r="H486" s="66" t="inlineStr">
        <is>
          <t>O2 Security &amp; Intent</t>
        </is>
      </c>
      <c r="I486" s="66" t="inlineStr">
        <is>
          <t>Watch_Learning_Amendment_v1.docx</t>
        </is>
      </c>
      <c r="J486" s="66" t="inlineStr">
        <is>
          <t>Added at refresh 18 Sep 2026 — new, not in 444 baseline</t>
        </is>
      </c>
      <c r="K486" s="66" t="n"/>
    </row>
    <row r="487" ht="85.05" customHeight="1" s="45">
      <c r="A487" s="65" t="inlineStr">
        <is>
          <t>AC-17</t>
        </is>
      </c>
      <c r="B487" s="66" t="inlineStr">
        <is>
          <t>Every action or output an agent produces MUST cite the admitted capability class it exercises, carrying a certificate on A5.19's schema evidencing that the action is within the class's admitted conditions. An action citing no admitted class is a first exercise: it is handled by the foundation floor — reversible ladder only, never severance on that ground alone — its data points are collected, and it enters the research queue (A5.22) as a candidate class. Once a class is admitted, actions within it cite it by lookup. Ceremony is per class, once — never per action.</t>
        </is>
      </c>
      <c r="C487" s="66" t="inlineStr">
        <is>
          <t>O2 Security &amp; Intent — the Watch (learning)</t>
        </is>
      </c>
      <c r="D487" s="66" t="inlineStr">
        <is>
          <t>watch_learning_v1</t>
        </is>
      </c>
      <c r="E487" s="66" t="inlineStr">
        <is>
          <t>watch_learning_v1</t>
        </is>
      </c>
      <c r="F487" s="66" t="inlineStr">
        <is>
          <t>PROPOSED</t>
        </is>
      </c>
      <c r="G487" s="66" t="n"/>
      <c r="H487" s="66" t="inlineStr">
        <is>
          <t>O2 Security &amp; Intent</t>
        </is>
      </c>
      <c r="I487" s="66" t="inlineStr">
        <is>
          <t>Watch_Learning_Amendment_v1.docx</t>
        </is>
      </c>
      <c r="J487" s="66" t="inlineStr">
        <is>
          <t>Added at refresh 18 Sep 2026 — new, not in 444 baseline</t>
        </is>
      </c>
      <c r="K487" s="66" t="n"/>
    </row>
    <row r="488" ht="53.7" customHeight="1" s="45">
      <c r="A488" s="65" t="inlineStr">
        <is>
          <t>AC-18</t>
        </is>
      </c>
      <c r="B488" s="66" t="inlineStr">
        <is>
          <t>A model or agent MAY propose admission of a capability class for itself. It MUST NOT ratify one. A proposal enters the research loop (A5.22): Solva grounds it, a human ratifies through RBM-8. No path exists by which a learner admits its own capability. AC-1's four ceilings are not capability classes and cannot be admitted by any ceremony.</t>
        </is>
      </c>
      <c r="C488" s="66" t="inlineStr">
        <is>
          <t>O2 Security &amp; Intent — the Watch (learning)</t>
        </is>
      </c>
      <c r="D488" s="66" t="inlineStr">
        <is>
          <t>watch_learning_v1</t>
        </is>
      </c>
      <c r="E488" s="66" t="inlineStr">
        <is>
          <t>watch_learning_v1</t>
        </is>
      </c>
      <c r="F488" s="66" t="inlineStr">
        <is>
          <t>PROPOSED</t>
        </is>
      </c>
      <c r="G488" s="66" t="n"/>
      <c r="H488" s="66" t="inlineStr">
        <is>
          <t>O2 Security &amp; Intent</t>
        </is>
      </c>
      <c r="I488" s="66" t="inlineStr">
        <is>
          <t>Watch_Learning_Amendment_v1.docx</t>
        </is>
      </c>
      <c r="J488" s="66" t="inlineStr">
        <is>
          <t>Added at refresh 18 Sep 2026 — new, not in 444 baseline</t>
        </is>
      </c>
      <c r="K488" s="66" t="n"/>
    </row>
    <row r="489" ht="32.8" customHeight="1" s="45">
      <c r="A489" s="65" t="inlineStr">
        <is>
          <t>S-26</t>
        </is>
      </c>
      <c r="B489" s="66" t="inlineStr">
        <is>
          <t>The system will remove a unit's influence from every artefact that carried it when the right to that unit ends — by re-derivation or recall, findable by registry query, with the release budget's prior consumption left unrefunded.</t>
        </is>
      </c>
      <c r="C489" s="66" t="inlineStr">
        <is>
          <t>O2 Security &amp; Intent</t>
        </is>
      </c>
      <c r="D489" s="66" t="inlineStr">
        <is>
          <t>Security Assurance Promise Set</t>
        </is>
      </c>
      <c r="E489" s="66" t="inlineStr">
        <is>
          <t>Security Assurance Promise Set</t>
        </is>
      </c>
      <c r="F489" s="66" t="inlineStr">
        <is>
          <t>PROPOSED</t>
        </is>
      </c>
      <c r="G489" s="66" t="n"/>
      <c r="H489" s="66" t="inlineStr">
        <is>
          <t>O2 Security &amp; Intent</t>
        </is>
      </c>
      <c r="I489" s="66" t="inlineStr">
        <is>
          <t>Security_Assurance_Promise_Set.xlsx</t>
        </is>
      </c>
      <c r="J489" s="66" t="inlineStr">
        <is>
          <t>Added at refresh 18 Sep 2026 — new, not in 444 baseline</t>
        </is>
      </c>
      <c r="K489" s="66" t="n"/>
    </row>
    <row r="490" ht="32.8" customHeight="1" s="45">
      <c r="A490" s="65" t="inlineStr">
        <is>
          <t>S-27</t>
        </is>
      </c>
      <c r="B490" s="66" t="inlineStr">
        <is>
          <t>The system will serve exactly the model it registered — pressure may make it slower, never different — and will say on the record which engine, its own or a provider's, produced every answer.</t>
        </is>
      </c>
      <c r="C490" s="66" t="inlineStr">
        <is>
          <t>O2 Security &amp; Intent</t>
        </is>
      </c>
      <c r="D490" s="66" t="inlineStr">
        <is>
          <t>Security Assurance Promise Set</t>
        </is>
      </c>
      <c r="E490" s="66" t="inlineStr">
        <is>
          <t>Security Assurance Promise Set</t>
        </is>
      </c>
      <c r="F490" s="66" t="inlineStr">
        <is>
          <t>PROPOSED</t>
        </is>
      </c>
      <c r="G490" s="66" t="n"/>
      <c r="H490" s="66" t="inlineStr">
        <is>
          <t>O2 Security &amp; Intent</t>
        </is>
      </c>
      <c r="I490" s="66" t="inlineStr">
        <is>
          <t>Security_Assurance_Promise_Set.xlsx</t>
        </is>
      </c>
      <c r="J490" s="66" t="inlineStr">
        <is>
          <t>Added at refresh 18 Sep 2026 — new, not in 444 baseline</t>
        </is>
      </c>
      <c r="K490" s="66" t="n"/>
    </row>
    <row r="491" ht="43.25" customHeight="1" s="45">
      <c r="A491" s="65" t="inlineStr">
        <is>
          <t>S-28</t>
        </is>
      </c>
      <c r="B491" s="66" t="inlineStr">
        <is>
          <t>The system will never act on a verdict it cannot evidence — every Watch action carries a certificate a human can read, and every behaviour it learns to recognise entered its vocabulary through ceremony, not through silent training.</t>
        </is>
      </c>
      <c r="C491" s="66" t="inlineStr">
        <is>
          <t>O2 Security &amp; Intent</t>
        </is>
      </c>
      <c r="D491" s="66" t="inlineStr">
        <is>
          <t>Security Assurance Promise Set</t>
        </is>
      </c>
      <c r="E491" s="66" t="inlineStr">
        <is>
          <t>Security Assurance Promise Set</t>
        </is>
      </c>
      <c r="F491" s="66" t="inlineStr">
        <is>
          <t>PROPOSED</t>
        </is>
      </c>
      <c r="G491" s="66" t="n"/>
      <c r="H491" s="66" t="inlineStr">
        <is>
          <t>O2 Security &amp; Intent</t>
        </is>
      </c>
      <c r="I491" s="66" t="inlineStr">
        <is>
          <t>Security_Assurance_Promise_Set.xlsx</t>
        </is>
      </c>
      <c r="J491" s="66" t="inlineStr">
        <is>
          <t>Added at refresh 18 Sep 2026 — new, not in 444 baseline</t>
        </is>
      </c>
      <c r="K491" s="66" t="n"/>
    </row>
    <row r="492" ht="32.8" customHeight="1" s="45">
      <c r="A492" s="65" t="inlineStr">
        <is>
          <t>S-29</t>
        </is>
      </c>
      <c r="B492" s="66" t="inlineStr">
        <is>
          <t>The system will admit no new class of action into the world without ceremony on the record — every action names the admission it acts under, and no learner ratifies its own.</t>
        </is>
      </c>
      <c r="C492" s="66" t="inlineStr">
        <is>
          <t>O2 Security &amp; Intent</t>
        </is>
      </c>
      <c r="D492" s="66" t="inlineStr">
        <is>
          <t>Security Assurance Promise Set</t>
        </is>
      </c>
      <c r="E492" s="66" t="inlineStr">
        <is>
          <t>Security Assurance Promise Set</t>
        </is>
      </c>
      <c r="F492" s="66" t="inlineStr">
        <is>
          <t>PROPOSED</t>
        </is>
      </c>
      <c r="G492" s="66" t="n"/>
      <c r="H492" s="66" t="inlineStr">
        <is>
          <t>O2 Security &amp; Intent</t>
        </is>
      </c>
      <c r="I492" s="66" t="inlineStr">
        <is>
          <t>Security_Assurance_Promise_Set.xlsx</t>
        </is>
      </c>
      <c r="J492" s="66" t="inlineStr">
        <is>
          <t>Added at refresh 18 Sep 2026 — new, not in 444 baseline</t>
        </is>
      </c>
      <c r="K492" s="66" t="n"/>
    </row>
    <row r="493" ht="32.8" customHeight="1" s="45">
      <c r="A493" s="65" t="inlineStr">
        <is>
          <t>ENT-1</t>
        </is>
      </c>
      <c r="B493" s="66" t="inlineStr">
        <is>
          <t>The licence is expressed to buyers and users in models: what is listed, what is included, what costs credits, what runs on their key. No surface names governance as the thing being sold.</t>
        </is>
      </c>
      <c r="C493" s="66" t="inlineStr">
        <is>
          <t>O17 Entitlement &amp; Licensing</t>
        </is>
      </c>
      <c r="D493" s="66" t="inlineStr">
        <is>
          <t>entitlement_service_v1</t>
        </is>
      </c>
      <c r="E493" s="66" t="inlineStr">
        <is>
          <t>entitlement_service_v1</t>
        </is>
      </c>
      <c r="F493" s="66" t="inlineStr">
        <is>
          <t>PROPOSED</t>
        </is>
      </c>
      <c r="G493" s="66" t="n"/>
      <c r="H493" s="66" t="inlineStr">
        <is>
          <t>O17 Entitlement &amp; Licensing</t>
        </is>
      </c>
      <c r="I493" s="66" t="inlineStr">
        <is>
          <t>Entitlement_Service_Spec_v1.docx</t>
        </is>
      </c>
      <c r="J493" s="66" t="inlineStr">
        <is>
          <t>Added at refresh 20 Sep 2026</t>
        </is>
      </c>
      <c r="K493" s="66" t="n"/>
    </row>
    <row r="494" ht="43.25" customHeight="1" s="45">
      <c r="A494" s="65" t="inlineStr">
        <is>
          <t>ENT-2</t>
        </is>
      </c>
      <c r="B494" s="66" t="inlineStr">
        <is>
          <t>Every governing mechanism that the licence relies on is presented as a feature included with every licence — the feature services in §12 — and no feature service is withheld by plan. Withholding a receipt, a ledger entry, or the shield from a cheaper plan would make governance a tier; it is a property.</t>
        </is>
      </c>
      <c r="C494" s="66" t="inlineStr">
        <is>
          <t>O17 Entitlement &amp; Licensing</t>
        </is>
      </c>
      <c r="D494" s="66" t="inlineStr">
        <is>
          <t>entitlement_service_v1</t>
        </is>
      </c>
      <c r="E494" s="66" t="inlineStr">
        <is>
          <t>entitlement_service_v1</t>
        </is>
      </c>
      <c r="F494" s="66" t="inlineStr">
        <is>
          <t>PROPOSED</t>
        </is>
      </c>
      <c r="G494" s="66" t="n"/>
      <c r="H494" s="66" t="inlineStr">
        <is>
          <t>O17 Entitlement &amp; Licensing</t>
        </is>
      </c>
      <c r="I494" s="66" t="inlineStr">
        <is>
          <t>Entitlement_Service_Spec_v1.docx</t>
        </is>
      </c>
      <c r="J494" s="66" t="inlineStr">
        <is>
          <t>Added at refresh 20 Sep 2026</t>
        </is>
      </c>
      <c r="K494" s="66" t="n"/>
    </row>
    <row r="495" ht="32.8" customHeight="1" s="45">
      <c r="A495" s="65" t="inlineStr">
        <is>
          <t>ENT-3</t>
        </is>
      </c>
      <c r="B495" s="66" t="inlineStr">
        <is>
          <t>“Every model” on a surface means every catalog row with status listed whose access class the licence's dials admit. The phrase is never used to imply a model the dials exclude.</t>
        </is>
      </c>
      <c r="C495" s="66" t="inlineStr">
        <is>
          <t>O17 Entitlement &amp; Licensing</t>
        </is>
      </c>
      <c r="D495" s="66" t="inlineStr">
        <is>
          <t>entitlement_service_v1</t>
        </is>
      </c>
      <c r="E495" s="66" t="inlineStr">
        <is>
          <t>entitlement_service_v1</t>
        </is>
      </c>
      <c r="F495" s="66" t="inlineStr">
        <is>
          <t>PROPOSED</t>
        </is>
      </c>
      <c r="G495" s="66" t="n"/>
      <c r="H495" s="66" t="inlineStr">
        <is>
          <t>O17 Entitlement &amp; Licensing</t>
        </is>
      </c>
      <c r="I495" s="66" t="inlineStr">
        <is>
          <t>Entitlement_Service_Spec_v1.docx</t>
        </is>
      </c>
      <c r="J495" s="66" t="inlineStr">
        <is>
          <t>Added at refresh 20 Sep 2026</t>
        </is>
      </c>
      <c r="K495" s="66" t="n"/>
    </row>
    <row r="496" ht="22.35" customHeight="1" s="45">
      <c r="A496" s="65" t="inlineStr">
        <is>
          <t>ENT-4</t>
        </is>
      </c>
      <c r="B496" s="66" t="inlineStr">
        <is>
          <t>“Unlimited” on a surface is used only for local-served use under the definition in §1. Frontier use is never described as unlimited.</t>
        </is>
      </c>
      <c r="C496" s="66" t="inlineStr">
        <is>
          <t>O17 Entitlement &amp; Licensing</t>
        </is>
      </c>
      <c r="D496" s="66" t="inlineStr">
        <is>
          <t>entitlement_service_v1</t>
        </is>
      </c>
      <c r="E496" s="66" t="inlineStr">
        <is>
          <t>entitlement_service_v1</t>
        </is>
      </c>
      <c r="F496" s="66" t="inlineStr">
        <is>
          <t>PROPOSED</t>
        </is>
      </c>
      <c r="G496" s="66" t="n"/>
      <c r="H496" s="66" t="inlineStr">
        <is>
          <t>O17 Entitlement &amp; Licensing</t>
        </is>
      </c>
      <c r="I496" s="66" t="inlineStr">
        <is>
          <t>Entitlement_Service_Spec_v1.docx</t>
        </is>
      </c>
      <c r="J496" s="66" t="inlineStr">
        <is>
          <t>Added at refresh 20 Sep 2026</t>
        </is>
      </c>
      <c r="K496" s="66" t="n"/>
    </row>
    <row r="497" ht="32.8" customHeight="1" s="45">
      <c r="A497" s="65" t="inlineStr">
        <is>
          <t>ENT-5</t>
        </is>
      </c>
      <c r="B497" s="66" t="inlineStr">
        <is>
          <t>A licence is a terms object on exactly one organisation principal. It is created by the estate owner's admission act (PRIN-2) and resolves at DAP-22's first level, per-party agreement, ahead of custody-class and estate defaults.</t>
        </is>
      </c>
      <c r="C497" s="66" t="inlineStr">
        <is>
          <t>O17 Entitlement &amp; Licensing</t>
        </is>
      </c>
      <c r="D497" s="66" t="inlineStr">
        <is>
          <t>entitlement_service_v1</t>
        </is>
      </c>
      <c r="E497" s="66" t="inlineStr">
        <is>
          <t>entitlement_service_v1</t>
        </is>
      </c>
      <c r="F497" s="66" t="inlineStr">
        <is>
          <t>PROPOSED</t>
        </is>
      </c>
      <c r="G497" s="66" t="n"/>
      <c r="H497" s="66" t="inlineStr">
        <is>
          <t>O17 Entitlement &amp; Licensing</t>
        </is>
      </c>
      <c r="I497" s="66" t="inlineStr">
        <is>
          <t>Entitlement_Service_Spec_v1.docx</t>
        </is>
      </c>
      <c r="J497" s="66" t="inlineStr">
        <is>
          <t>Added at refresh 20 Sep 2026</t>
        </is>
      </c>
      <c r="K497" s="66" t="n"/>
    </row>
    <row r="498" ht="53.7" customHeight="1" s="45">
      <c r="A498" s="65" t="inlineStr">
        <is>
          <t>ENT-6</t>
        </is>
      </c>
      <c r="B498" s="66" t="inlineStr">
        <is>
          <t>A licence carries, as required fields: plan identifier; seat count; Compute dial; Frontier dial; credits per seat per period; pooled-credits flag; seat soft limit; organisation ceiling; period; renewal date; status ∈ {active, suspended, expired}. A licence missing any required field does not resolve, and a call under it refuses.</t>
        </is>
      </c>
      <c r="C498" s="66" t="inlineStr">
        <is>
          <t>O17 Entitlement &amp; Licensing</t>
        </is>
      </c>
      <c r="D498" s="66" t="inlineStr">
        <is>
          <t>entitlement_service_v1</t>
        </is>
      </c>
      <c r="E498" s="66" t="inlineStr">
        <is>
          <t>entitlement_service_v1</t>
        </is>
      </c>
      <c r="F498" s="66" t="inlineStr">
        <is>
          <t>PROPOSED</t>
        </is>
      </c>
      <c r="G498" s="66" t="n"/>
      <c r="H498" s="66" t="inlineStr">
        <is>
          <t>O17 Entitlement &amp; Licensing</t>
        </is>
      </c>
      <c r="I498" s="66" t="inlineStr">
        <is>
          <t>Entitlement_Service_Spec_v1.docx</t>
        </is>
      </c>
      <c r="J498" s="66" t="inlineStr">
        <is>
          <t>Added at refresh 20 Sep 2026</t>
        </is>
      </c>
      <c r="K498" s="66" t="n"/>
    </row>
    <row r="499" ht="32.8" customHeight="1" s="45">
      <c r="A499" s="65" t="inlineStr">
        <is>
          <t>ENT-7</t>
        </is>
      </c>
      <c r="B499" s="66" t="inlineStr">
        <is>
          <t>A change to any licence field takes effect through the Rules Service ceremony at the ordinary tier and applies prospectively only. It MUST NOT alter the terms identifier cited on any receipt already issued.</t>
        </is>
      </c>
      <c r="C499" s="66" t="inlineStr">
        <is>
          <t>O17 Entitlement &amp; Licensing</t>
        </is>
      </c>
      <c r="D499" s="66" t="inlineStr">
        <is>
          <t>entitlement_service_v1</t>
        </is>
      </c>
      <c r="E499" s="66" t="inlineStr">
        <is>
          <t>entitlement_service_v1</t>
        </is>
      </c>
      <c r="F499" s="66" t="inlineStr">
        <is>
          <t>PROPOSED</t>
        </is>
      </c>
      <c r="G499" s="66" t="n"/>
      <c r="H499" s="66" t="inlineStr">
        <is>
          <t>O17 Entitlement &amp; Licensing</t>
        </is>
      </c>
      <c r="I499" s="66" t="inlineStr">
        <is>
          <t>Entitlement_Service_Spec_v1.docx</t>
        </is>
      </c>
      <c r="J499" s="66" t="inlineStr">
        <is>
          <t>Added at refresh 20 Sep 2026</t>
        </is>
      </c>
      <c r="K499" s="66" t="n"/>
    </row>
    <row r="500" ht="32.8" customHeight="1" s="45">
      <c r="A500" s="65" t="inlineStr">
        <is>
          <t>ENT-8</t>
        </is>
      </c>
      <c r="B500" s="66" t="inlineStr">
        <is>
          <t>Suspension is a status on the licence, set by the estate owner in one act, refusing every subsequent call under it immediately. Suspension does not touch receipts, credits already recorded, or the catalog.</t>
        </is>
      </c>
      <c r="C500" s="66" t="inlineStr">
        <is>
          <t>O17 Entitlement &amp; Licensing</t>
        </is>
      </c>
      <c r="D500" s="66" t="inlineStr">
        <is>
          <t>entitlement_service_v1</t>
        </is>
      </c>
      <c r="E500" s="66" t="inlineStr">
        <is>
          <t>entitlement_service_v1</t>
        </is>
      </c>
      <c r="F500" s="66" t="inlineStr">
        <is>
          <t>PROPOSED</t>
        </is>
      </c>
      <c r="G500" s="66" t="n"/>
      <c r="H500" s="66" t="inlineStr">
        <is>
          <t>O17 Entitlement &amp; Licensing</t>
        </is>
      </c>
      <c r="I500" s="66" t="inlineStr">
        <is>
          <t>Entitlement_Service_Spec_v1.docx</t>
        </is>
      </c>
      <c r="J500" s="66" t="inlineStr">
        <is>
          <t>Added at refresh 20 Sep 2026</t>
        </is>
      </c>
      <c r="K500" s="66" t="n"/>
    </row>
    <row r="501" ht="43.25" customHeight="1" s="45">
      <c r="A501" s="65" t="inlineStr">
        <is>
          <t>ENT-9</t>
        </is>
      </c>
      <c r="B501" s="66" t="inlineStr">
        <is>
          <t>Every catalog row carries: model identifier (a registry reference, hash-pinned per Doc 20); access class; status ∈ {listed, paused, retired}; residency; and, for reseller-frontier rows only, one credit rate. No other pricing field exists on a row.</t>
        </is>
      </c>
      <c r="C501" s="66" t="inlineStr">
        <is>
          <t>O17 Entitlement &amp; Licensing</t>
        </is>
      </c>
      <c r="D501" s="66" t="inlineStr">
        <is>
          <t>entitlement_service_v1</t>
        </is>
      </c>
      <c r="E501" s="66" t="inlineStr">
        <is>
          <t>entitlement_service_v1</t>
        </is>
      </c>
      <c r="F501" s="66" t="inlineStr">
        <is>
          <t>PROPOSED</t>
        </is>
      </c>
      <c r="G501" s="66" t="n"/>
      <c r="H501" s="66" t="inlineStr">
        <is>
          <t>O17 Entitlement &amp; Licensing</t>
        </is>
      </c>
      <c r="I501" s="66" t="inlineStr">
        <is>
          <t>Entitlement_Service_Spec_v1.docx</t>
        </is>
      </c>
      <c r="J501" s="66" t="inlineStr">
        <is>
          <t>Added at refresh 20 Sep 2026</t>
        </is>
      </c>
      <c r="K501" s="66" t="n"/>
    </row>
    <row r="502" ht="43.25" customHeight="1" s="45">
      <c r="A502" s="65" t="inlineStr">
        <is>
          <t>ENT-10</t>
        </is>
      </c>
      <c r="B502" s="66" t="inlineStr">
        <is>
          <t>Adding a model is two acts: admission to the registry under Doc 20's base-registration rule and the DAP-32 admission battery where the model is an entering artefact; then a catalog row at the ordinary ceremony tier. Neither act alone lists a model.</t>
        </is>
      </c>
      <c r="C502" s="66" t="inlineStr">
        <is>
          <t>O17 Entitlement &amp; Licensing</t>
        </is>
      </c>
      <c r="D502" s="66" t="inlineStr">
        <is>
          <t>entitlement_service_v1</t>
        </is>
      </c>
      <c r="E502" s="66" t="inlineStr">
        <is>
          <t>entitlement_service_v1</t>
        </is>
      </c>
      <c r="F502" s="66" t="inlineStr">
        <is>
          <t>PROPOSED</t>
        </is>
      </c>
      <c r="G502" s="66" t="n"/>
      <c r="H502" s="66" t="inlineStr">
        <is>
          <t>O17 Entitlement &amp; Licensing</t>
        </is>
      </c>
      <c r="I502" s="66" t="inlineStr">
        <is>
          <t>Entitlement_Service_Spec_v1.docx</t>
        </is>
      </c>
      <c r="J502" s="66" t="inlineStr">
        <is>
          <t>Added at refresh 20 Sep 2026</t>
        </is>
      </c>
      <c r="K502" s="66" t="n"/>
    </row>
    <row r="503" ht="32.8" customHeight="1" s="45">
      <c r="A503" s="65" t="inlineStr">
        <is>
          <t>ENT-11</t>
        </is>
      </c>
      <c r="B503" s="66" t="inlineStr">
        <is>
          <t>Retiring a model is a status change to retired. Calls to a retired row refuse with a fixed reason. Receipts citing the row are unaffected; the row is never deleted.</t>
        </is>
      </c>
      <c r="C503" s="66" t="inlineStr">
        <is>
          <t>O17 Entitlement &amp; Licensing</t>
        </is>
      </c>
      <c r="D503" s="66" t="inlineStr">
        <is>
          <t>entitlement_service_v1</t>
        </is>
      </c>
      <c r="E503" s="66" t="inlineStr">
        <is>
          <t>entitlement_service_v1</t>
        </is>
      </c>
      <c r="F503" s="66" t="inlineStr">
        <is>
          <t>PROPOSED</t>
        </is>
      </c>
      <c r="G503" s="66" t="n"/>
      <c r="H503" s="66" t="inlineStr">
        <is>
          <t>O17 Entitlement &amp; Licensing</t>
        </is>
      </c>
      <c r="I503" s="66" t="inlineStr">
        <is>
          <t>Entitlement_Service_Spec_v1.docx</t>
        </is>
      </c>
      <c r="J503" s="66" t="inlineStr">
        <is>
          <t>Added at refresh 20 Sep 2026</t>
        </is>
      </c>
      <c r="K503" s="66" t="n"/>
    </row>
    <row r="504" ht="32.8" customHeight="1" s="45">
      <c r="A504" s="65" t="inlineStr">
        <is>
          <t>ENT-12</t>
        </is>
      </c>
      <c r="B504" s="66" t="inlineStr">
        <is>
          <t>Re-rating a reseller-frontier row changes one number through the ordinary ceremony tier, prospectively. A credit rate is never applied to usage metered before the change took effect.</t>
        </is>
      </c>
      <c r="C504" s="66" t="inlineStr">
        <is>
          <t>O17 Entitlement &amp; Licensing</t>
        </is>
      </c>
      <c r="D504" s="66" t="inlineStr">
        <is>
          <t>entitlement_service_v1</t>
        </is>
      </c>
      <c r="E504" s="66" t="inlineStr">
        <is>
          <t>entitlement_service_v1</t>
        </is>
      </c>
      <c r="F504" s="66" t="inlineStr">
        <is>
          <t>PROPOSED</t>
        </is>
      </c>
      <c r="G504" s="66" t="n"/>
      <c r="H504" s="66" t="inlineStr">
        <is>
          <t>O17 Entitlement &amp; Licensing</t>
        </is>
      </c>
      <c r="I504" s="66" t="inlineStr">
        <is>
          <t>Entitlement_Service_Spec_v1.docx</t>
        </is>
      </c>
      <c r="J504" s="66" t="inlineStr">
        <is>
          <t>Added at refresh 20 Sep 2026</t>
        </is>
      </c>
      <c r="K504" s="66" t="n"/>
    </row>
    <row r="505" ht="22.35" customHeight="1" s="45">
      <c r="A505" s="65" t="inlineStr">
        <is>
          <t>ENT-13</t>
        </is>
      </c>
      <c r="B505" s="66" t="inlineStr">
        <is>
          <t>The catalog is read-only to every component except the ceremony engine. No surface, wizard, or assistant writes a catalog row.</t>
        </is>
      </c>
      <c r="C505" s="66" t="inlineStr">
        <is>
          <t>O17 Entitlement &amp; Licensing</t>
        </is>
      </c>
      <c r="D505" s="66" t="inlineStr">
        <is>
          <t>entitlement_service_v1</t>
        </is>
      </c>
      <c r="E505" s="66" t="inlineStr">
        <is>
          <t>entitlement_service_v1</t>
        </is>
      </c>
      <c r="F505" s="66" t="inlineStr">
        <is>
          <t>PROPOSED</t>
        </is>
      </c>
      <c r="G505" s="66" t="n"/>
      <c r="H505" s="66" t="inlineStr">
        <is>
          <t>O17 Entitlement &amp; Licensing</t>
        </is>
      </c>
      <c r="I505" s="66" t="inlineStr">
        <is>
          <t>Entitlement_Service_Spec_v1.docx</t>
        </is>
      </c>
      <c r="J505" s="66" t="inlineStr">
        <is>
          <t>Added at refresh 20 Sep 2026</t>
        </is>
      </c>
      <c r="K505" s="66" t="n"/>
    </row>
    <row r="506" ht="22.35" customHeight="1" s="45">
      <c r="A506" s="65" t="inlineStr">
        <is>
          <t>ENT-14</t>
        </is>
      </c>
      <c r="B506" s="66" t="inlineStr">
        <is>
          <t>The dials are the only plan-level variation. There is one licence SKU; a dial setting is a field on it, not a separate product.</t>
        </is>
      </c>
      <c r="C506" s="66" t="inlineStr">
        <is>
          <t>O17 Entitlement &amp; Licensing</t>
        </is>
      </c>
      <c r="D506" s="66" t="inlineStr">
        <is>
          <t>entitlement_service_v1</t>
        </is>
      </c>
      <c r="E506" s="66" t="inlineStr">
        <is>
          <t>entitlement_service_v1</t>
        </is>
      </c>
      <c r="F506" s="66" t="inlineStr">
        <is>
          <t>PROPOSED</t>
        </is>
      </c>
      <c r="G506" s="66" t="n"/>
      <c r="H506" s="66" t="inlineStr">
        <is>
          <t>O17 Entitlement &amp; Licensing</t>
        </is>
      </c>
      <c r="I506" s="66" t="inlineStr">
        <is>
          <t>Entitlement_Service_Spec_v1.docx</t>
        </is>
      </c>
      <c r="J506" s="66" t="inlineStr">
        <is>
          <t>Added at refresh 20 Sep 2026</t>
        </is>
      </c>
      <c r="K506" s="66" t="n"/>
    </row>
    <row r="507" ht="43.25" customHeight="1" s="45">
      <c r="A507" s="65" t="inlineStr">
        <is>
          <t>ENT-15</t>
        </is>
      </c>
      <c r="B507" s="66" t="inlineStr">
        <is>
          <t>Setting the Frontier dial to Your Keys does not remove reseller-frontier rows from the catalog; it removes them from what the licence admits (ENT-3). A buyer may hold both: reseller-frontier for models they have no key for, customer-key for those they do, resolved per row (ENT-19).</t>
        </is>
      </c>
      <c r="C507" s="66" t="inlineStr">
        <is>
          <t>O17 Entitlement &amp; Licensing</t>
        </is>
      </c>
      <c r="D507" s="66" t="inlineStr">
        <is>
          <t>entitlement_service_v1</t>
        </is>
      </c>
      <c r="E507" s="66" t="inlineStr">
        <is>
          <t>entitlement_service_v1</t>
        </is>
      </c>
      <c r="F507" s="66" t="inlineStr">
        <is>
          <t>PROPOSED</t>
        </is>
      </c>
      <c r="G507" s="66" t="n"/>
      <c r="H507" s="66" t="inlineStr">
        <is>
          <t>O17 Entitlement &amp; Licensing</t>
        </is>
      </c>
      <c r="I507" s="66" t="inlineStr">
        <is>
          <t>Entitlement_Service_Spec_v1.docx</t>
        </is>
      </c>
      <c r="J507" s="66" t="inlineStr">
        <is>
          <t>Added at refresh 20 Sep 2026</t>
        </is>
      </c>
      <c r="K507" s="66" t="n"/>
    </row>
    <row r="508" ht="74.59999999999999" customHeight="1" s="45">
      <c r="A508" s="65" t="inlineStr">
        <is>
          <t>ENT-16</t>
        </is>
      </c>
      <c r="B508" s="66" t="inlineStr">
        <is>
          <t>Before dispatch, the chokepoint resolves, in order: the calling principal (from propagated context, PRIN-11); its organisation's licence (ENT-5); the licence status (ENT-6); the catalog row for the requested or cascade-selected model (ENT-9); whether the row's access class is admitted by the licence's dials (ENT-3); and, for reseller-frontier rows, whether allowance remains (ENT-22). Any link that does not resolve refuses the call. No default licence, default row, or default allowance exists.</t>
        </is>
      </c>
      <c r="C508" s="66" t="inlineStr">
        <is>
          <t>O17 Entitlement &amp; Licensing</t>
        </is>
      </c>
      <c r="D508" s="66" t="inlineStr">
        <is>
          <t>entitlement_service_v1</t>
        </is>
      </c>
      <c r="E508" s="66" t="inlineStr">
        <is>
          <t>entitlement_service_v1</t>
        </is>
      </c>
      <c r="F508" s="66" t="inlineStr">
        <is>
          <t>PROPOSED</t>
        </is>
      </c>
      <c r="G508" s="66" t="n"/>
      <c r="H508" s="66" t="inlineStr">
        <is>
          <t>O17 Entitlement &amp; Licensing</t>
        </is>
      </c>
      <c r="I508" s="66" t="inlineStr">
        <is>
          <t>Entitlement_Service_Spec_v1.docx</t>
        </is>
      </c>
      <c r="J508" s="66" t="inlineStr">
        <is>
          <t>Added at refresh 20 Sep 2026</t>
        </is>
      </c>
      <c r="K508" s="66" t="n"/>
    </row>
    <row r="509" ht="43.25" customHeight="1" s="45">
      <c r="A509" s="65" t="inlineStr">
        <is>
          <t>ENT-17</t>
        </is>
      </c>
      <c r="B509" s="66" t="inlineStr">
        <is>
          <t>Resolution is a pure function of (principal, licence, catalog row, allowance state) with no parameter through which any learned component's output can enter. The cascade (D-16) may select the model; it cannot alter what the licence admits.</t>
        </is>
      </c>
      <c r="C509" s="66" t="inlineStr">
        <is>
          <t>O17 Entitlement &amp; Licensing</t>
        </is>
      </c>
      <c r="D509" s="66" t="inlineStr">
        <is>
          <t>entitlement_service_v1</t>
        </is>
      </c>
      <c r="E509" s="66" t="inlineStr">
        <is>
          <t>entitlement_service_v1</t>
        </is>
      </c>
      <c r="F509" s="66" t="inlineStr">
        <is>
          <t>PROPOSED</t>
        </is>
      </c>
      <c r="G509" s="66" t="n"/>
      <c r="H509" s="66" t="inlineStr">
        <is>
          <t>O17 Entitlement &amp; Licensing</t>
        </is>
      </c>
      <c r="I509" s="66" t="inlineStr">
        <is>
          <t>Entitlement_Service_Spec_v1.docx</t>
        </is>
      </c>
      <c r="J509" s="66" t="inlineStr">
        <is>
          <t>Added at refresh 20 Sep 2026</t>
        </is>
      </c>
      <c r="K509" s="66" t="n"/>
    </row>
    <row r="510" ht="32.8" customHeight="1" s="45">
      <c r="A510" s="65" t="inlineStr">
        <is>
          <t>ENT-18</t>
        </is>
      </c>
      <c r="B510" s="66" t="inlineStr">
        <is>
          <t>There is no second path by which a model is reached under a licence. The existing negative-scan test (A5.1) is the proof; this document adds no new route and permits none.</t>
        </is>
      </c>
      <c r="C510" s="66" t="inlineStr">
        <is>
          <t>O17 Entitlement &amp; Licensing</t>
        </is>
      </c>
      <c r="D510" s="66" t="inlineStr">
        <is>
          <t>entitlement_service_v1</t>
        </is>
      </c>
      <c r="E510" s="66" t="inlineStr">
        <is>
          <t>entitlement_service_v1</t>
        </is>
      </c>
      <c r="F510" s="66" t="inlineStr">
        <is>
          <t>PROPOSED</t>
        </is>
      </c>
      <c r="G510" s="66" t="n"/>
      <c r="H510" s="66" t="inlineStr">
        <is>
          <t>O17 Entitlement &amp; Licensing</t>
        </is>
      </c>
      <c r="I510" s="66" t="inlineStr">
        <is>
          <t>Entitlement_Service_Spec_v1.docx</t>
        </is>
      </c>
      <c r="J510" s="66" t="inlineStr">
        <is>
          <t>Added at refresh 20 Sep 2026</t>
        </is>
      </c>
      <c r="K510" s="66" t="n"/>
    </row>
    <row r="511" ht="43.25" customHeight="1" s="45">
      <c r="A511" s="65" t="inlineStr">
        <is>
          <t>ENT-19</t>
        </is>
      </c>
      <c r="B511" s="66" t="inlineStr">
        <is>
          <t>Where a model is reachable under more than one access class for the same licence — reseller-frontier and customer-key — the customer-key row is selected. The buyer's own key is preferred over platform capacity whenever both exist.</t>
        </is>
      </c>
      <c r="C511" s="66" t="inlineStr">
        <is>
          <t>O17 Entitlement &amp; Licensing</t>
        </is>
      </c>
      <c r="D511" s="66" t="inlineStr">
        <is>
          <t>entitlement_service_v1</t>
        </is>
      </c>
      <c r="E511" s="66" t="inlineStr">
        <is>
          <t>entitlement_service_v1</t>
        </is>
      </c>
      <c r="F511" s="66" t="inlineStr">
        <is>
          <t>PROPOSED</t>
        </is>
      </c>
      <c r="G511" s="66" t="n"/>
      <c r="H511" s="66" t="inlineStr">
        <is>
          <t>O17 Entitlement &amp; Licensing</t>
        </is>
      </c>
      <c r="I511" s="66" t="inlineStr">
        <is>
          <t>Entitlement_Service_Spec_v1.docx</t>
        </is>
      </c>
      <c r="J511" s="66" t="inlineStr">
        <is>
          <t>Added at refresh 20 Sep 2026</t>
        </is>
      </c>
      <c r="K511" s="66" t="n"/>
    </row>
    <row r="512" ht="32.8" customHeight="1" s="45">
      <c r="A512" s="65" t="inlineStr">
        <is>
          <t>ENT-20</t>
        </is>
      </c>
      <c r="B512" s="66" t="inlineStr">
        <is>
          <t>Every call under a licence emits the metered event DAP-21 already specifies, with the licence identifier as the terms identifier in force. No entitlement-specific event type exists.</t>
        </is>
      </c>
      <c r="C512" s="66" t="inlineStr">
        <is>
          <t>O17 Entitlement &amp; Licensing</t>
        </is>
      </c>
      <c r="D512" s="66" t="inlineStr">
        <is>
          <t>entitlement_service_v1</t>
        </is>
      </c>
      <c r="E512" s="66" t="inlineStr">
        <is>
          <t>entitlement_service_v1</t>
        </is>
      </c>
      <c r="F512" s="66" t="inlineStr">
        <is>
          <t>PROPOSED</t>
        </is>
      </c>
      <c r="G512" s="66" t="n"/>
      <c r="H512" s="66" t="inlineStr">
        <is>
          <t>O17 Entitlement &amp; Licensing</t>
        </is>
      </c>
      <c r="I512" s="66" t="inlineStr">
        <is>
          <t>Entitlement_Service_Spec_v1.docx</t>
        </is>
      </c>
      <c r="J512" s="66" t="inlineStr">
        <is>
          <t>Added at refresh 20 Sep 2026</t>
        </is>
      </c>
      <c r="K512" s="66" t="n"/>
    </row>
    <row r="513" ht="32.8" customHeight="1" s="45">
      <c r="A513" s="65" t="inlineStr">
        <is>
          <t>ENT-21</t>
        </is>
      </c>
      <c r="B513" s="66" t="inlineStr">
        <is>
          <t>The bill for a period is a query over the Ledger's metered events for the licence. There is no second billing store. An invoice line that cannot be derived from a receipted event does not exist.</t>
        </is>
      </c>
      <c r="C513" s="66" t="inlineStr">
        <is>
          <t>O17 Entitlement &amp; Licensing</t>
        </is>
      </c>
      <c r="D513" s="66" t="inlineStr">
        <is>
          <t>entitlement_service_v1</t>
        </is>
      </c>
      <c r="E513" s="66" t="inlineStr">
        <is>
          <t>entitlement_service_v1</t>
        </is>
      </c>
      <c r="F513" s="66" t="inlineStr">
        <is>
          <t>PROPOSED</t>
        </is>
      </c>
      <c r="G513" s="66" t="n"/>
      <c r="H513" s="66" t="inlineStr">
        <is>
          <t>O17 Entitlement &amp; Licensing</t>
        </is>
      </c>
      <c r="I513" s="66" t="inlineStr">
        <is>
          <t>Entitlement_Service_Spec_v1.docx</t>
        </is>
      </c>
      <c r="J513" s="66" t="inlineStr">
        <is>
          <t>Added at refresh 20 Sep 2026</t>
        </is>
      </c>
      <c r="K513" s="66" t="n"/>
    </row>
    <row r="514" ht="43.25" customHeight="1" s="45">
      <c r="A514" s="65" t="inlineStr">
        <is>
          <t>ENT-22</t>
        </is>
      </c>
      <c r="B514" s="66" t="inlineStr">
        <is>
          <t>Credits are debited by computing metered tokens × the row's credit rate at the time of the event, from the Ledger. Allowance remaining is a derived value, recomputed from events, never a stored counter that can drift from them.</t>
        </is>
      </c>
      <c r="C514" s="66" t="inlineStr">
        <is>
          <t>O17 Entitlement &amp; Licensing</t>
        </is>
      </c>
      <c r="D514" s="66" t="inlineStr">
        <is>
          <t>entitlement_service_v1</t>
        </is>
      </c>
      <c r="E514" s="66" t="inlineStr">
        <is>
          <t>entitlement_service_v1</t>
        </is>
      </c>
      <c r="F514" s="66" t="inlineStr">
        <is>
          <t>PROPOSED</t>
        </is>
      </c>
      <c r="G514" s="66" t="n"/>
      <c r="H514" s="66" t="inlineStr">
        <is>
          <t>O17 Entitlement &amp; Licensing</t>
        </is>
      </c>
      <c r="I514" s="66" t="inlineStr">
        <is>
          <t>Entitlement_Service_Spec_v1.docx</t>
        </is>
      </c>
      <c r="J514" s="66" t="inlineStr">
        <is>
          <t>Added at refresh 20 Sep 2026</t>
        </is>
      </c>
      <c r="K514" s="66" t="n"/>
    </row>
    <row r="515" ht="43.25" customHeight="1" s="45">
      <c r="A515" s="65" t="inlineStr">
        <is>
          <t>ENT-23</t>
        </is>
      </c>
      <c r="B515" s="66" t="inlineStr">
        <is>
          <t>Quantities always display; money displays only when measured. A reseller or provider that does not report cost yields cost_total null, rendered as the fixed string “cost · not yet measured”. Credits, being derived from tokens and a known rate, are always measured and always display.</t>
        </is>
      </c>
      <c r="C515" s="66" t="inlineStr">
        <is>
          <t>O17 Entitlement &amp; Licensing</t>
        </is>
      </c>
      <c r="D515" s="66" t="inlineStr">
        <is>
          <t>entitlement_service_v1</t>
        </is>
      </c>
      <c r="E515" s="66" t="inlineStr">
        <is>
          <t>entitlement_service_v1</t>
        </is>
      </c>
      <c r="F515" s="66" t="inlineStr">
        <is>
          <t>PROPOSED</t>
        </is>
      </c>
      <c r="G515" s="66" t="n"/>
      <c r="H515" s="66" t="inlineStr">
        <is>
          <t>O17 Entitlement &amp; Licensing</t>
        </is>
      </c>
      <c r="I515" s="66" t="inlineStr">
        <is>
          <t>Entitlement_Service_Spec_v1.docx</t>
        </is>
      </c>
      <c r="J515" s="66" t="inlineStr">
        <is>
          <t>Added at refresh 20 Sep 2026</t>
        </is>
      </c>
      <c r="K515" s="66" t="n"/>
    </row>
    <row r="516" ht="32.8" customHeight="1" s="45">
      <c r="A516" s="65" t="inlineStr">
        <is>
          <t>ENT-24</t>
        </is>
      </c>
      <c r="B516" s="66" t="inlineStr">
        <is>
          <t>A seat's allowance is credits per seat per period. With the pooled flag set, seats draw on the organisation pool subject to the seat soft limit; without it, each seat's allowance is its own.</t>
        </is>
      </c>
      <c r="C516" s="66" t="inlineStr">
        <is>
          <t>O17 Entitlement &amp; Licensing</t>
        </is>
      </c>
      <c r="D516" s="66" t="inlineStr">
        <is>
          <t>entitlement_service_v1</t>
        </is>
      </c>
      <c r="E516" s="66" t="inlineStr">
        <is>
          <t>entitlement_service_v1</t>
        </is>
      </c>
      <c r="F516" s="66" t="inlineStr">
        <is>
          <t>PROPOSED</t>
        </is>
      </c>
      <c r="G516" s="66" t="n"/>
      <c r="H516" s="66" t="inlineStr">
        <is>
          <t>O17 Entitlement &amp; Licensing</t>
        </is>
      </c>
      <c r="I516" s="66" t="inlineStr">
        <is>
          <t>Entitlement_Service_Spec_v1.docx</t>
        </is>
      </c>
      <c r="J516" s="66" t="inlineStr">
        <is>
          <t>Added at refresh 20 Sep 2026</t>
        </is>
      </c>
      <c r="K516" s="66" t="n"/>
    </row>
    <row r="517" ht="43.25" customHeight="1" s="45">
      <c r="A517" s="65" t="inlineStr">
        <is>
          <t>ENT-25</t>
        </is>
      </c>
      <c r="B517" s="66" t="inlineStr">
        <is>
          <t>A seat soft limit warns the seat and its organisation admin at a ruled threshold (R-27) and does not refuse. An organisation ceiling refuses. Reaching a ceiling is a refusal, and a refusal is a first-class response, never an error (FE brief §2.2).</t>
        </is>
      </c>
      <c r="C517" s="66" t="inlineStr">
        <is>
          <t>O17 Entitlement &amp; Licensing</t>
        </is>
      </c>
      <c r="D517" s="66" t="inlineStr">
        <is>
          <t>entitlement_service_v1</t>
        </is>
      </c>
      <c r="E517" s="66" t="inlineStr">
        <is>
          <t>entitlement_service_v1</t>
        </is>
      </c>
      <c r="F517" s="66" t="inlineStr">
        <is>
          <t>PROPOSED</t>
        </is>
      </c>
      <c r="G517" s="66" t="n"/>
      <c r="H517" s="66" t="inlineStr">
        <is>
          <t>O17 Entitlement &amp; Licensing</t>
        </is>
      </c>
      <c r="I517" s="66" t="inlineStr">
        <is>
          <t>Entitlement_Service_Spec_v1.docx</t>
        </is>
      </c>
      <c r="J517" s="66" t="inlineStr">
        <is>
          <t>Added at refresh 20 Sep 2026</t>
        </is>
      </c>
      <c r="K517" s="66" t="n"/>
    </row>
    <row r="518" ht="53.7" customHeight="1" s="45">
      <c r="A518" s="65" t="inlineStr">
        <is>
          <t>ENT-26</t>
        </is>
      </c>
      <c r="B518" s="66" t="inlineStr">
        <is>
          <t>When allowance is exhausted, the cascade (D-16) stops escalating to reseller-frontier rows and serves the job on a local-served row. The response carries the fixed string “Frontier allowance used · served locally”. It MUST NOT serve locally without the string, and it MUST NOT refuse the job when a local-served row can serve it.</t>
        </is>
      </c>
      <c r="C518" s="66" t="inlineStr">
        <is>
          <t>O17 Entitlement &amp; Licensing</t>
        </is>
      </c>
      <c r="D518" s="66" t="inlineStr">
        <is>
          <t>entitlement_service_v1</t>
        </is>
      </c>
      <c r="E518" s="66" t="inlineStr">
        <is>
          <t>entitlement_service_v1</t>
        </is>
      </c>
      <c r="F518" s="66" t="inlineStr">
        <is>
          <t>PROPOSED</t>
        </is>
      </c>
      <c r="G518" s="66" t="n"/>
      <c r="H518" s="66" t="inlineStr">
        <is>
          <t>O17 Entitlement &amp; Licensing</t>
        </is>
      </c>
      <c r="I518" s="66" t="inlineStr">
        <is>
          <t>Entitlement_Service_Spec_v1.docx</t>
        </is>
      </c>
      <c r="J518" s="66" t="inlineStr">
        <is>
          <t>Added at refresh 20 Sep 2026</t>
        </is>
      </c>
      <c r="K518" s="66" t="n"/>
    </row>
    <row r="519" ht="32.8" customHeight="1" s="45">
      <c r="A519" s="65" t="inlineStr">
        <is>
          <t>ENT-27</t>
        </is>
      </c>
      <c r="B519" s="66" t="inlineStr">
        <is>
          <t>Top-up is a purchase recorded as a prospective terms delta through the ordinary ceremony tier (ENT-7). Allowance is never extended by any component other than the ceremony engine.</t>
        </is>
      </c>
      <c r="C519" s="66" t="inlineStr">
        <is>
          <t>O17 Entitlement &amp; Licensing</t>
        </is>
      </c>
      <c r="D519" s="66" t="inlineStr">
        <is>
          <t>entitlement_service_v1</t>
        </is>
      </c>
      <c r="E519" s="66" t="inlineStr">
        <is>
          <t>entitlement_service_v1</t>
        </is>
      </c>
      <c r="F519" s="66" t="inlineStr">
        <is>
          <t>PROPOSED</t>
        </is>
      </c>
      <c r="G519" s="66" t="n"/>
      <c r="H519" s="66" t="inlineStr">
        <is>
          <t>O17 Entitlement &amp; Licensing</t>
        </is>
      </c>
      <c r="I519" s="66" t="inlineStr">
        <is>
          <t>Entitlement_Service_Spec_v1.docx</t>
        </is>
      </c>
      <c r="J519" s="66" t="inlineStr">
        <is>
          <t>Added at refresh 20 Sep 2026</t>
        </is>
      </c>
      <c r="K519" s="66" t="n"/>
    </row>
    <row r="520" ht="32.8" customHeight="1" s="45">
      <c r="A520" s="65" t="inlineStr">
        <is>
          <t>ENT-28</t>
        </is>
      </c>
      <c r="B520" s="66" t="inlineStr">
        <is>
          <t>Unused allowance rolls over for exactly one period and then lapses (R-26, DEFAULT-class). Rolled-over credits are consumed before the current period's.</t>
        </is>
      </c>
      <c r="C520" s="66" t="inlineStr">
        <is>
          <t>O17 Entitlement &amp; Licensing</t>
        </is>
      </c>
      <c r="D520" s="66" t="inlineStr">
        <is>
          <t>entitlement_service_v1</t>
        </is>
      </c>
      <c r="E520" s="66" t="inlineStr">
        <is>
          <t>entitlement_service_v1</t>
        </is>
      </c>
      <c r="F520" s="66" t="inlineStr">
        <is>
          <t>PROPOSED</t>
        </is>
      </c>
      <c r="G520" s="66" t="n"/>
      <c r="H520" s="66" t="inlineStr">
        <is>
          <t>O17 Entitlement &amp; Licensing</t>
        </is>
      </c>
      <c r="I520" s="66" t="inlineStr">
        <is>
          <t>Entitlement_Service_Spec_v1.docx</t>
        </is>
      </c>
      <c r="J520" s="66" t="inlineStr">
        <is>
          <t>Added at refresh 20 Sep 2026</t>
        </is>
      </c>
      <c r="K520" s="66" t="n"/>
    </row>
    <row r="521" ht="32.8" customHeight="1" s="45">
      <c r="A521" s="65" t="inlineStr">
        <is>
          <t>ENT-29</t>
        </is>
      </c>
      <c r="B521" s="66" t="inlineStr">
        <is>
          <t>Local-served rows carry no token cap in any period, under either Compute dial. The only limits are fairness ceilings: concurrent requests per seat and queue priority by plan, at ruled values (R-28).</t>
        </is>
      </c>
      <c r="C521" s="66" t="inlineStr">
        <is>
          <t>O17 Entitlement &amp; Licensing</t>
        </is>
      </c>
      <c r="D521" s="66" t="inlineStr">
        <is>
          <t>entitlement_service_v1</t>
        </is>
      </c>
      <c r="E521" s="66" t="inlineStr">
        <is>
          <t>entitlement_service_v1</t>
        </is>
      </c>
      <c r="F521" s="66" t="inlineStr">
        <is>
          <t>PROPOSED</t>
        </is>
      </c>
      <c r="G521" s="66" t="n"/>
      <c r="H521" s="66" t="inlineStr">
        <is>
          <t>O17 Entitlement &amp; Licensing</t>
        </is>
      </c>
      <c r="I521" s="66" t="inlineStr">
        <is>
          <t>Entitlement_Service_Spec_v1.docx</t>
        </is>
      </c>
      <c r="J521" s="66" t="inlineStr">
        <is>
          <t>Added at refresh 20 Sep 2026</t>
        </is>
      </c>
      <c r="K521" s="66" t="n"/>
    </row>
    <row r="522" ht="22.35" customHeight="1" s="45">
      <c r="A522" s="65" t="inlineStr">
        <is>
          <t>ENT-30</t>
        </is>
      </c>
      <c r="B522" s="66" t="inlineStr">
        <is>
          <t>On the Yours Compute dial, no platform-side fairness ceiling applies; the connected-tier data plane's own capacity is the only bound.</t>
        </is>
      </c>
      <c r="C522" s="66" t="inlineStr">
        <is>
          <t>O17 Entitlement &amp; Licensing</t>
        </is>
      </c>
      <c r="D522" s="66" t="inlineStr">
        <is>
          <t>entitlement_service_v1</t>
        </is>
      </c>
      <c r="E522" s="66" t="inlineStr">
        <is>
          <t>entitlement_service_v1</t>
        </is>
      </c>
      <c r="F522" s="66" t="inlineStr">
        <is>
          <t>PROPOSED</t>
        </is>
      </c>
      <c r="G522" s="66" t="n"/>
      <c r="H522" s="66" t="inlineStr">
        <is>
          <t>O17 Entitlement &amp; Licensing</t>
        </is>
      </c>
      <c r="I522" s="66" t="inlineStr">
        <is>
          <t>Entitlement_Service_Spec_v1.docx</t>
        </is>
      </c>
      <c r="J522" s="66" t="inlineStr">
        <is>
          <t>Added at refresh 20 Sep 2026</t>
        </is>
      </c>
      <c r="K522" s="66" t="n"/>
    </row>
    <row r="523" ht="32.8" customHeight="1" s="45">
      <c r="A523" s="65" t="inlineStr">
        <is>
          <t>ENT-31</t>
        </is>
      </c>
      <c r="B523" s="66" t="inlineStr">
        <is>
          <t>Local-served rows are registered open-weight bases under Doc 20 or customer-model rows. The platform serves nothing under “unlimited” that it does not hold the right to serve without per-use cost.</t>
        </is>
      </c>
      <c r="C523" s="66" t="inlineStr">
        <is>
          <t>O17 Entitlement &amp; Licensing</t>
        </is>
      </c>
      <c r="D523" s="66" t="inlineStr">
        <is>
          <t>entitlement_service_v1</t>
        </is>
      </c>
      <c r="E523" s="66" t="inlineStr">
        <is>
          <t>entitlement_service_v1</t>
        </is>
      </c>
      <c r="F523" s="66" t="inlineStr">
        <is>
          <t>PROPOSED</t>
        </is>
      </c>
      <c r="G523" s="66" t="n"/>
      <c r="H523" s="66" t="inlineStr">
        <is>
          <t>O17 Entitlement &amp; Licensing</t>
        </is>
      </c>
      <c r="I523" s="66" t="inlineStr">
        <is>
          <t>Entitlement_Service_Spec_v1.docx</t>
        </is>
      </c>
      <c r="J523" s="66" t="inlineStr">
        <is>
          <t>Added at refresh 20 Sep 2026</t>
        </is>
      </c>
      <c r="K523" s="66" t="n"/>
    </row>
    <row r="524" ht="43.25" customHeight="1" s="45">
      <c r="A524" s="65" t="inlineStr">
        <is>
          <t>ENT-32</t>
        </is>
      </c>
      <c r="B524" s="66" t="inlineStr">
        <is>
          <t>Reseller-frontier capacity is supplied only under a written reseller or marketplace agreement with the provider, reviewed by counsel (R-24). A reseller-frontier row MUST NOT be set to listed before the agreement covering its provider is on record.</t>
        </is>
      </c>
      <c r="C524" s="66" t="inlineStr">
        <is>
          <t>O17 Entitlement &amp; Licensing</t>
        </is>
      </c>
      <c r="D524" s="66" t="inlineStr">
        <is>
          <t>entitlement_service_v1</t>
        </is>
      </c>
      <c r="E524" s="66" t="inlineStr">
        <is>
          <t>entitlement_service_v1</t>
        </is>
      </c>
      <c r="F524" s="66" t="inlineStr">
        <is>
          <t>PROPOSED</t>
        </is>
      </c>
      <c r="G524" s="66" t="n"/>
      <c r="H524" s="66" t="inlineStr">
        <is>
          <t>O17 Entitlement &amp; Licensing</t>
        </is>
      </c>
      <c r="I524" s="66" t="inlineStr">
        <is>
          <t>Entitlement_Service_Spec_v1.docx</t>
        </is>
      </c>
      <c r="J524" s="66" t="inlineStr">
        <is>
          <t>Added at refresh 20 Sep 2026</t>
        </is>
      </c>
      <c r="K524" s="66" t="n"/>
    </row>
    <row r="525" ht="43.25" customHeight="1" s="45">
      <c r="A525" s="65" t="inlineStr">
        <is>
          <t>ENT-33</t>
        </is>
      </c>
      <c r="B525" s="66" t="inlineStr">
        <is>
          <t>The chokepoint is the only caller of any reseller channel. The crossing receipt records provider and model version (A5.7+, V-4). Capacity is pooled across licences on the platform side; attribution to a licence is by the metered event, never by a per-licence provider account.</t>
        </is>
      </c>
      <c r="C525" s="66" t="inlineStr">
        <is>
          <t>O17 Entitlement &amp; Licensing</t>
        </is>
      </c>
      <c r="D525" s="66" t="inlineStr">
        <is>
          <t>entitlement_service_v1</t>
        </is>
      </c>
      <c r="E525" s="66" t="inlineStr">
        <is>
          <t>entitlement_service_v1</t>
        </is>
      </c>
      <c r="F525" s="66" t="inlineStr">
        <is>
          <t>PROPOSED</t>
        </is>
      </c>
      <c r="G525" s="66" t="n"/>
      <c r="H525" s="66" t="inlineStr">
        <is>
          <t>O17 Entitlement &amp; Licensing</t>
        </is>
      </c>
      <c r="I525" s="66" t="inlineStr">
        <is>
          <t>Entitlement_Service_Spec_v1.docx</t>
        </is>
      </c>
      <c r="J525" s="66" t="inlineStr">
        <is>
          <t>Added at refresh 20 Sep 2026</t>
        </is>
      </c>
      <c r="K525" s="66" t="n"/>
    </row>
    <row r="526" ht="43.25" customHeight="1" s="45">
      <c r="A526" s="65" t="inlineStr">
        <is>
          <t>ENT-34</t>
        </is>
      </c>
      <c r="B526" s="66" t="inlineStr">
        <is>
          <t>A reseller channel that is unreachable or refuses is a closed gate for that row. The cascade serves the job on a local-served row with the fixed string “Frontier unavailable · served locally”, or refuses if no local-served row can serve it. It never retries silently on a different provider.</t>
        </is>
      </c>
      <c r="C526" s="66" t="inlineStr">
        <is>
          <t>O17 Entitlement &amp; Licensing</t>
        </is>
      </c>
      <c r="D526" s="66" t="inlineStr">
        <is>
          <t>entitlement_service_v1</t>
        </is>
      </c>
      <c r="E526" s="66" t="inlineStr">
        <is>
          <t>entitlement_service_v1</t>
        </is>
      </c>
      <c r="F526" s="66" t="inlineStr">
        <is>
          <t>PROPOSED</t>
        </is>
      </c>
      <c r="G526" s="66" t="n"/>
      <c r="H526" s="66" t="inlineStr">
        <is>
          <t>O17 Entitlement &amp; Licensing</t>
        </is>
      </c>
      <c r="I526" s="66" t="inlineStr">
        <is>
          <t>Entitlement_Service_Spec_v1.docx</t>
        </is>
      </c>
      <c r="J526" s="66" t="inlineStr">
        <is>
          <t>Added at refresh 20 Sep 2026</t>
        </is>
      </c>
      <c r="K526" s="66" t="n"/>
    </row>
    <row r="527" ht="43.25" customHeight="1" s="45">
      <c r="A527" s="65" t="inlineStr">
        <is>
          <t>ENT-35</t>
        </is>
      </c>
      <c r="B527" s="66" t="inlineStr">
        <is>
          <t>A provider credential the buyer supplies is held by the credential plane under envelope encryption, bound to the buyer's trust-domain identifier, usable by the chokepoint and by nothing else, never displayable after entry, and revocable in one act. Rotation replaces it; recovery does not exist.</t>
        </is>
      </c>
      <c r="C527" s="66" t="inlineStr">
        <is>
          <t>O17 Entitlement &amp; Licensing</t>
        </is>
      </c>
      <c r="D527" s="66" t="inlineStr">
        <is>
          <t>entitlement_service_v1</t>
        </is>
      </c>
      <c r="E527" s="66" t="inlineStr">
        <is>
          <t>entitlement_service_v1</t>
        </is>
      </c>
      <c r="F527" s="66" t="inlineStr">
        <is>
          <t>PROPOSED</t>
        </is>
      </c>
      <c r="G527" s="66" t="n"/>
      <c r="H527" s="66" t="inlineStr">
        <is>
          <t>O17 Entitlement &amp; Licensing</t>
        </is>
      </c>
      <c r="I527" s="66" t="inlineStr">
        <is>
          <t>Entitlement_Service_Spec_v1.docx</t>
        </is>
      </c>
      <c r="J527" s="66" t="inlineStr">
        <is>
          <t>Added at refresh 20 Sep 2026</t>
        </is>
      </c>
      <c r="K527" s="66" t="n"/>
    </row>
    <row r="528" ht="22.35" customHeight="1" s="45">
      <c r="A528" s="65" t="inlineStr">
        <is>
          <t>ENT-36</t>
        </is>
      </c>
      <c r="B528" s="66" t="inlineStr">
        <is>
          <t>Keys are held at organisation scope by default; a seat-scoped key is permitted and takes precedence for that seat (R-29).</t>
        </is>
      </c>
      <c r="C528" s="66" t="inlineStr">
        <is>
          <t>O17 Entitlement &amp; Licensing</t>
        </is>
      </c>
      <c r="D528" s="66" t="inlineStr">
        <is>
          <t>entitlement_service_v1</t>
        </is>
      </c>
      <c r="E528" s="66" t="inlineStr">
        <is>
          <t>entitlement_service_v1</t>
        </is>
      </c>
      <c r="F528" s="66" t="inlineStr">
        <is>
          <t>PROPOSED</t>
        </is>
      </c>
      <c r="G528" s="66" t="n"/>
      <c r="H528" s="66" t="inlineStr">
        <is>
          <t>O17 Entitlement &amp; Licensing</t>
        </is>
      </c>
      <c r="I528" s="66" t="inlineStr">
        <is>
          <t>Entitlement_Service_Spec_v1.docx</t>
        </is>
      </c>
      <c r="J528" s="66" t="inlineStr">
        <is>
          <t>Added at refresh 20 Sep 2026</t>
        </is>
      </c>
      <c r="K528" s="66" t="n"/>
    </row>
    <row r="529" ht="43.25" customHeight="1" s="45">
      <c r="A529" s="65" t="inlineStr">
        <is>
          <t>ENT-37</t>
        </is>
      </c>
      <c r="B529" s="66" t="inlineStr">
        <is>
          <t>Every call under a customer key passes the custody sequence — masking before send, re-identification only inside — exactly as a call under platform capacity does. The buyer's key changes who is billed by the provider; it changes nothing about what leaves.</t>
        </is>
      </c>
      <c r="C529" s="66" t="inlineStr">
        <is>
          <t>O17 Entitlement &amp; Licensing</t>
        </is>
      </c>
      <c r="D529" s="66" t="inlineStr">
        <is>
          <t>entitlement_service_v1</t>
        </is>
      </c>
      <c r="E529" s="66" t="inlineStr">
        <is>
          <t>entitlement_service_v1</t>
        </is>
      </c>
      <c r="F529" s="66" t="inlineStr">
        <is>
          <t>PROPOSED</t>
        </is>
      </c>
      <c r="G529" s="66" t="n"/>
      <c r="H529" s="66" t="inlineStr">
        <is>
          <t>O17 Entitlement &amp; Licensing</t>
        </is>
      </c>
      <c r="I529" s="66" t="inlineStr">
        <is>
          <t>Entitlement_Service_Spec_v1.docx</t>
        </is>
      </c>
      <c r="J529" s="66" t="inlineStr">
        <is>
          <t>Added at refresh 20 Sep 2026</t>
        </is>
      </c>
      <c r="K529" s="66" t="n"/>
    </row>
    <row r="530" ht="22.35" customHeight="1" s="45">
      <c r="A530" s="65" t="inlineStr">
        <is>
          <t>ENT-38</t>
        </is>
      </c>
      <c r="B530" s="66" t="inlineStr">
        <is>
          <t>Calls under a customer key are metered for quantities (DAP-21). cost_total is null unless the provider reports it; no platform estimate is substituted.</t>
        </is>
      </c>
      <c r="C530" s="66" t="inlineStr">
        <is>
          <t>O17 Entitlement &amp; Licensing</t>
        </is>
      </c>
      <c r="D530" s="66" t="inlineStr">
        <is>
          <t>entitlement_service_v1</t>
        </is>
      </c>
      <c r="E530" s="66" t="inlineStr">
        <is>
          <t>entitlement_service_v1</t>
        </is>
      </c>
      <c r="F530" s="66" t="inlineStr">
        <is>
          <t>PROPOSED</t>
        </is>
      </c>
      <c r="G530" s="66" t="n"/>
      <c r="H530" s="66" t="inlineStr">
        <is>
          <t>O17 Entitlement &amp; Licensing</t>
        </is>
      </c>
      <c r="I530" s="66" t="inlineStr">
        <is>
          <t>Entitlement_Service_Spec_v1.docx</t>
        </is>
      </c>
      <c r="J530" s="66" t="inlineStr">
        <is>
          <t>Added at refresh 20 Sep 2026</t>
        </is>
      </c>
      <c r="K530" s="66" t="n"/>
    </row>
    <row r="531" ht="43.25" customHeight="1" s="45">
      <c r="A531" s="65" t="inlineStr">
        <is>
          <t>ENT-39</t>
        </is>
      </c>
      <c r="B531" s="66" t="inlineStr">
        <is>
          <t>A model the buyer brings or trains enters the catalog as a customer-model row only through registry admission: hash pin, the DAP-32 admission battery, and serving under the SFP-8 floor. It is listed only for the buyer's own licence unless separately admitted for wider listing.</t>
        </is>
      </c>
      <c r="C531" s="66" t="inlineStr">
        <is>
          <t>O17 Entitlement &amp; Licensing</t>
        </is>
      </c>
      <c r="D531" s="66" t="inlineStr">
        <is>
          <t>entitlement_service_v1</t>
        </is>
      </c>
      <c r="E531" s="66" t="inlineStr">
        <is>
          <t>entitlement_service_v1</t>
        </is>
      </c>
      <c r="F531" s="66" t="inlineStr">
        <is>
          <t>PROPOSED</t>
        </is>
      </c>
      <c r="G531" s="66" t="n"/>
      <c r="H531" s="66" t="inlineStr">
        <is>
          <t>O17 Entitlement &amp; Licensing</t>
        </is>
      </c>
      <c r="I531" s="66" t="inlineStr">
        <is>
          <t>Entitlement_Service_Spec_v1.docx</t>
        </is>
      </c>
      <c r="J531" s="66" t="inlineStr">
        <is>
          <t>Added at refresh 20 Sep 2026</t>
        </is>
      </c>
      <c r="K531" s="66" t="n"/>
    </row>
    <row r="532" ht="43.25" customHeight="1" s="45">
      <c r="A532" s="65" t="inlineStr">
        <is>
          <t>ENT-40</t>
        </is>
      </c>
      <c r="B532" s="66" t="inlineStr">
        <is>
          <t>Compute consumed by a customer-model row on the Managed Compute dial is metered in GPU-seconds and drawn against a compute allowance on the licence (R-30). On the Yours dial it is the buyer's own compute and is not metered against the licence.</t>
        </is>
      </c>
      <c r="C532" s="66" t="inlineStr">
        <is>
          <t>O17 Entitlement &amp; Licensing</t>
        </is>
      </c>
      <c r="D532" s="66" t="inlineStr">
        <is>
          <t>entitlement_service_v1</t>
        </is>
      </c>
      <c r="E532" s="66" t="inlineStr">
        <is>
          <t>entitlement_service_v1</t>
        </is>
      </c>
      <c r="F532" s="66" t="inlineStr">
        <is>
          <t>PROPOSED</t>
        </is>
      </c>
      <c r="G532" s="66" t="n"/>
      <c r="H532" s="66" t="inlineStr">
        <is>
          <t>O17 Entitlement &amp; Licensing</t>
        </is>
      </c>
      <c r="I532" s="66" t="inlineStr">
        <is>
          <t>Entitlement_Service_Spec_v1.docx</t>
        </is>
      </c>
      <c r="J532" s="66" t="inlineStr">
        <is>
          <t>Added at refresh 20 Sep 2026</t>
        </is>
      </c>
      <c r="K532" s="66" t="n"/>
    </row>
    <row r="533" ht="32.8" customHeight="1" s="45">
      <c r="A533" s="65" t="inlineStr">
        <is>
          <t>ENT-41</t>
        </is>
      </c>
      <c r="B533" s="66" t="inlineStr">
        <is>
          <t>A seat is an individual or agent principal under the licensed organisation (PRIN-1). Seat count is a licence field; admitting a seat beyond the count refuses.</t>
        </is>
      </c>
      <c r="C533" s="66" t="inlineStr">
        <is>
          <t>O17 Entitlement &amp; Licensing</t>
        </is>
      </c>
      <c r="D533" s="66" t="inlineStr">
        <is>
          <t>entitlement_service_v1</t>
        </is>
      </c>
      <c r="E533" s="66" t="inlineStr">
        <is>
          <t>entitlement_service_v1</t>
        </is>
      </c>
      <c r="F533" s="66" t="inlineStr">
        <is>
          <t>PROPOSED</t>
        </is>
      </c>
      <c r="G533" s="66" t="n"/>
      <c r="H533" s="66" t="inlineStr">
        <is>
          <t>O17 Entitlement &amp; Licensing</t>
        </is>
      </c>
      <c r="I533" s="66" t="inlineStr">
        <is>
          <t>Entitlement_Service_Spec_v1.docx</t>
        </is>
      </c>
      <c r="J533" s="66" t="inlineStr">
        <is>
          <t>Added at refresh 20 Sep 2026</t>
        </is>
      </c>
      <c r="K533" s="66" t="n"/>
    </row>
    <row r="534" ht="43.25" customHeight="1" s="45">
      <c r="A534" s="65" t="inlineStr">
        <is>
          <t>ENT-42</t>
        </is>
      </c>
      <c r="B534" s="66" t="inlineStr">
        <is>
          <t>An agent occupies a seat unless the licence carries an agent count as a separate field (R-31). An agent's use is metered to the agent principal, attributable to the organisation, under the agent's own mandate and containment (AC-1 ceilings apply irrespective of licence).</t>
        </is>
      </c>
      <c r="C534" s="66" t="inlineStr">
        <is>
          <t>O17 Entitlement &amp; Licensing</t>
        </is>
      </c>
      <c r="D534" s="66" t="inlineStr">
        <is>
          <t>entitlement_service_v1</t>
        </is>
      </c>
      <c r="E534" s="66" t="inlineStr">
        <is>
          <t>entitlement_service_v1</t>
        </is>
      </c>
      <c r="F534" s="66" t="inlineStr">
        <is>
          <t>PROPOSED</t>
        </is>
      </c>
      <c r="G534" s="66" t="n"/>
      <c r="H534" s="66" t="inlineStr">
        <is>
          <t>O17 Entitlement &amp; Licensing</t>
        </is>
      </c>
      <c r="I534" s="66" t="inlineStr">
        <is>
          <t>Entitlement_Service_Spec_v1.docx</t>
        </is>
      </c>
      <c r="J534" s="66" t="inlineStr">
        <is>
          <t>Added at refresh 20 Sep 2026</t>
        </is>
      </c>
      <c r="K534" s="66" t="n"/>
    </row>
    <row r="535" ht="43.25" customHeight="1" s="45">
      <c r="A535" s="65" t="inlineStr">
        <is>
          <t>ENT-43</t>
        </is>
      </c>
      <c r="B535" s="66" t="inlineStr">
        <is>
          <t>The model picker lists every catalog row admitted by the licence with one badge per row — Included · Local, Credits · Frontier, or Your key — and Auto at the top. Paused and retired rows do not appear. Rows the dials exclude do not appear.</t>
        </is>
      </c>
      <c r="C535" s="66" t="inlineStr">
        <is>
          <t>O17 Entitlement &amp; Licensing</t>
        </is>
      </c>
      <c r="D535" s="66" t="inlineStr">
        <is>
          <t>entitlement_service_v1</t>
        </is>
      </c>
      <c r="E535" s="66" t="inlineStr">
        <is>
          <t>entitlement_service_v1</t>
        </is>
      </c>
      <c r="F535" s="66" t="inlineStr">
        <is>
          <t>PROPOSED</t>
        </is>
      </c>
      <c r="G535" s="66" t="n"/>
      <c r="H535" s="66" t="inlineStr">
        <is>
          <t>O17 Entitlement &amp; Licensing</t>
        </is>
      </c>
      <c r="I535" s="66" t="inlineStr">
        <is>
          <t>Entitlement_Service_Spec_v1.docx</t>
        </is>
      </c>
      <c r="J535" s="66" t="inlineStr">
        <is>
          <t>Added at refresh 20 Sep 2026</t>
        </is>
      </c>
      <c r="K535" s="66" t="n"/>
    </row>
    <row r="536" ht="32.8" customHeight="1" s="45">
      <c r="A536" s="65" t="inlineStr">
        <is>
          <t>ENT-44</t>
        </is>
      </c>
      <c r="B536" s="66" t="inlineStr">
        <is>
          <t>The usage surface shows credits remaining, tokens by model, and the fixed strings in ENT-23, ENT-26, and ENT-34 verbatim where they apply. It never renders a number that is not derived from the Ledger.</t>
        </is>
      </c>
      <c r="C536" s="66" t="inlineStr">
        <is>
          <t>O17 Entitlement &amp; Licensing</t>
        </is>
      </c>
      <c r="D536" s="66" t="inlineStr">
        <is>
          <t>entitlement_service_v1</t>
        </is>
      </c>
      <c r="E536" s="66" t="inlineStr">
        <is>
          <t>entitlement_service_v1</t>
        </is>
      </c>
      <c r="F536" s="66" t="inlineStr">
        <is>
          <t>PROPOSED</t>
        </is>
      </c>
      <c r="G536" s="66" t="n"/>
      <c r="H536" s="66" t="inlineStr">
        <is>
          <t>O17 Entitlement &amp; Licensing</t>
        </is>
      </c>
      <c r="I536" s="66" t="inlineStr">
        <is>
          <t>Entitlement_Service_Spec_v1.docx</t>
        </is>
      </c>
      <c r="J536" s="66" t="inlineStr">
        <is>
          <t>Added at refresh 20 Sep 2026</t>
        </is>
      </c>
      <c r="K536" s="66" t="n"/>
    </row>
    <row r="537" ht="22.35" customHeight="1" s="45">
      <c r="A537" s="65" t="inlineStr">
        <is>
          <t>ENT-45</t>
        </is>
      </c>
      <c r="B537" s="66" t="inlineStr">
        <is>
          <t>The organisation admin surface manages seats, keys, pool, soft limits, and ceilings. It cannot edit the catalog or a credit rate (ENT-13).</t>
        </is>
      </c>
      <c r="C537" s="66" t="inlineStr">
        <is>
          <t>O17 Entitlement &amp; Licensing</t>
        </is>
      </c>
      <c r="D537" s="66" t="inlineStr">
        <is>
          <t>entitlement_service_v1</t>
        </is>
      </c>
      <c r="E537" s="66" t="inlineStr">
        <is>
          <t>entitlement_service_v1</t>
        </is>
      </c>
      <c r="F537" s="66" t="inlineStr">
        <is>
          <t>PROPOSED</t>
        </is>
      </c>
      <c r="G537" s="66" t="n"/>
      <c r="H537" s="66" t="inlineStr">
        <is>
          <t>O17 Entitlement &amp; Licensing</t>
        </is>
      </c>
      <c r="I537" s="66" t="inlineStr">
        <is>
          <t>Entitlement_Service_Spec_v1.docx</t>
        </is>
      </c>
      <c r="J537" s="66" t="inlineStr">
        <is>
          <t>Added at refresh 20 Sep 2026</t>
        </is>
      </c>
      <c r="K537" s="66" t="n"/>
    </row>
    <row r="538" ht="22.35" customHeight="1" s="45">
      <c r="A538" s="65" t="inlineStr">
        <is>
          <t>ENT-46</t>
        </is>
      </c>
      <c r="B538" s="66" t="inlineStr">
        <is>
          <t>Every refusal on these surfaces routes through the platform's one refusal card with its binding copy. No entitlement-specific refusal component exists.</t>
        </is>
      </c>
      <c r="C538" s="66" t="inlineStr">
        <is>
          <t>O17 Entitlement &amp; Licensing</t>
        </is>
      </c>
      <c r="D538" s="66" t="inlineStr">
        <is>
          <t>entitlement_service_v1</t>
        </is>
      </c>
      <c r="E538" s="66" t="inlineStr">
        <is>
          <t>entitlement_service_v1</t>
        </is>
      </c>
      <c r="F538" s="66" t="inlineStr">
        <is>
          <t>PROPOSED</t>
        </is>
      </c>
      <c r="G538" s="66" t="n"/>
      <c r="H538" s="66" t="inlineStr">
        <is>
          <t>O17 Entitlement &amp; Licensing</t>
        </is>
      </c>
      <c r="I538" s="66" t="inlineStr">
        <is>
          <t>Entitlement_Service_Spec_v1.docx</t>
        </is>
      </c>
      <c r="J538" s="66" t="inlineStr">
        <is>
          <t>Added at refresh 20 Sep 2026</t>
        </is>
      </c>
      <c r="K538" s="66" t="n"/>
    </row>
    <row r="539" ht="32.8" customHeight="1" s="45">
      <c r="A539" s="65" t="inlineStr">
        <is>
          <t>ENT-47</t>
        </is>
      </c>
      <c r="B539" s="66" t="inlineStr">
        <is>
          <t>Three numbers govern pricing across the whole scheme: seat price per period (by dial combination, R-25), credits per seat per period, and credit price. No model-specific plan, bundle, or exception exists.</t>
        </is>
      </c>
      <c r="C539" s="66" t="inlineStr">
        <is>
          <t>O17 Entitlement &amp; Licensing</t>
        </is>
      </c>
      <c r="D539" s="66" t="inlineStr">
        <is>
          <t>entitlement_service_v1</t>
        </is>
      </c>
      <c r="E539" s="66" t="inlineStr">
        <is>
          <t>entitlement_service_v1</t>
        </is>
      </c>
      <c r="F539" s="66" t="inlineStr">
        <is>
          <t>PROPOSED</t>
        </is>
      </c>
      <c r="G539" s="66" t="n"/>
      <c r="H539" s="66" t="inlineStr">
        <is>
          <t>O17 Entitlement &amp; Licensing</t>
        </is>
      </c>
      <c r="I539" s="66" t="inlineStr">
        <is>
          <t>Entitlement_Service_Spec_v1.docx</t>
        </is>
      </c>
      <c r="J539" s="66" t="inlineStr">
        <is>
          <t>Added at refresh 20 Sep 2026</t>
        </is>
      </c>
      <c r="K539" s="66" t="n"/>
    </row>
    <row r="540" ht="32.8" customHeight="1" s="45">
      <c r="A540" s="65" t="inlineStr">
        <is>
          <t>ENT-48</t>
        </is>
      </c>
      <c r="B540" s="66" t="inlineStr">
        <is>
          <t>The operations on the catalog are exactly: add (ENT-10), pause, retire (ENT-11), re-rate (ENT-12). Each is a ceremony at the ordinary tier and each is receipted.</t>
        </is>
      </c>
      <c r="C540" s="66" t="inlineStr">
        <is>
          <t>O17 Entitlement &amp; Licensing</t>
        </is>
      </c>
      <c r="D540" s="66" t="inlineStr">
        <is>
          <t>entitlement_service_v1</t>
        </is>
      </c>
      <c r="E540" s="66" t="inlineStr">
        <is>
          <t>entitlement_service_v1</t>
        </is>
      </c>
      <c r="F540" s="66" t="inlineStr">
        <is>
          <t>PROPOSED</t>
        </is>
      </c>
      <c r="G540" s="66" t="n"/>
      <c r="H540" s="66" t="inlineStr">
        <is>
          <t>O17 Entitlement &amp; Licensing</t>
        </is>
      </c>
      <c r="I540" s="66" t="inlineStr">
        <is>
          <t>Entitlement_Service_Spec_v1.docx</t>
        </is>
      </c>
      <c r="J540" s="66" t="inlineStr">
        <is>
          <t>Added at refresh 20 Sep 2026</t>
        </is>
      </c>
      <c r="K540" s="66" t="n"/>
    </row>
    <row r="541" ht="32.8" customHeight="1" s="45">
      <c r="A541" s="65" t="inlineStr">
        <is>
          <t>ENT-49</t>
        </is>
      </c>
      <c r="B541" s="66" t="inlineStr">
        <is>
          <t>No component of this service stores state that is not either a licence field, a catalog row, a credential in the plane, or a Ledger event. Any proposed store outside those four is out of spec.</t>
        </is>
      </c>
      <c r="C541" s="66" t="inlineStr">
        <is>
          <t>O17 Entitlement &amp; Licensing</t>
        </is>
      </c>
      <c r="D541" s="66" t="inlineStr">
        <is>
          <t>entitlement_service_v1</t>
        </is>
      </c>
      <c r="E541" s="66" t="inlineStr">
        <is>
          <t>entitlement_service_v1</t>
        </is>
      </c>
      <c r="F541" s="66" t="inlineStr">
        <is>
          <t>PROPOSED</t>
        </is>
      </c>
      <c r="G541" s="66" t="n"/>
      <c r="H541" s="66" t="inlineStr">
        <is>
          <t>O17 Entitlement &amp; Licensing</t>
        </is>
      </c>
      <c r="I541" s="66" t="inlineStr">
        <is>
          <t>Entitlement_Service_Spec_v1.docx</t>
        </is>
      </c>
      <c r="J541" s="66" t="inlineStr">
        <is>
          <t>Added at refresh 20 Sep 2026</t>
        </is>
      </c>
      <c r="K541" s="66" t="n"/>
    </row>
    <row r="542" ht="43.25" customHeight="1" s="45">
      <c r="A542" s="65" t="inlineStr">
        <is>
          <t>MEM-1</t>
        </is>
      </c>
      <c r="B542" s="66" t="inlineStr">
        <is>
          <t>Compaction applies to context values only. The Ledger, receipts, provenance documents, and the reasoning audit log are outside its scope and MUST NOT be compacted, summarised, or rewritten by this service. Memory gets smaller; evidence stays whole.</t>
        </is>
      </c>
      <c r="C542" s="66" t="inlineStr">
        <is>
          <t>O18 Memory Compaction &amp; Preservation</t>
        </is>
      </c>
      <c r="D542" s="66" t="inlineStr">
        <is>
          <t>memory_compaction_v1</t>
        </is>
      </c>
      <c r="E542" s="66" t="inlineStr">
        <is>
          <t>memory_compaction_v1</t>
        </is>
      </c>
      <c r="F542" s="66" t="inlineStr">
        <is>
          <t>PROPOSED</t>
        </is>
      </c>
      <c r="G542" s="66" t="n"/>
      <c r="H542" s="66" t="inlineStr">
        <is>
          <t>O18 Memory Compaction &amp; Preservation</t>
        </is>
      </c>
      <c r="I542" s="66" t="inlineStr">
        <is>
          <t>Memory_Compaction_Spec_v1.docx</t>
        </is>
      </c>
      <c r="J542" s="66" t="inlineStr">
        <is>
          <t>Added at refresh 20 Sep 2026</t>
        </is>
      </c>
      <c r="K542" s="66" t="n"/>
    </row>
    <row r="543" ht="43.25" customHeight="1" s="45">
      <c r="A543" s="65" t="inlineStr">
        <is>
          <t>MEM-2</t>
        </is>
      </c>
      <c r="B543" s="66" t="inlineStr">
        <is>
          <t>A compacted artefact is a derived artefact. It carries class inference — or utterance where it quotes — and never class fact. Every claim in it anchors to a retained source by provenance reference and text hash. A compacted artefact with an unanchored claim is refused, not stored.</t>
        </is>
      </c>
      <c r="C543" s="66" t="inlineStr">
        <is>
          <t>O18 Memory Compaction &amp; Preservation</t>
        </is>
      </c>
      <c r="D543" s="66" t="inlineStr">
        <is>
          <t>memory_compaction_v1</t>
        </is>
      </c>
      <c r="E543" s="66" t="inlineStr">
        <is>
          <t>memory_compaction_v1</t>
        </is>
      </c>
      <c r="F543" s="66" t="inlineStr">
        <is>
          <t>PROPOSED</t>
        </is>
      </c>
      <c r="G543" s="66" t="n"/>
      <c r="H543" s="66" t="inlineStr">
        <is>
          <t>O18 Memory Compaction &amp; Preservation</t>
        </is>
      </c>
      <c r="I543" s="66" t="inlineStr">
        <is>
          <t>Memory_Compaction_Spec_v1.docx</t>
        </is>
      </c>
      <c r="J543" s="66" t="inlineStr">
        <is>
          <t>Added at refresh 20 Sep 2026</t>
        </is>
      </c>
      <c r="K543" s="66" t="n"/>
    </row>
    <row r="544" ht="95.5" customHeight="1" s="45">
      <c r="A544" s="65" t="inlineStr">
        <is>
          <t>MEM-3</t>
        </is>
      </c>
      <c r="B544" s="66" t="inlineStr">
        <is>
          <t>Retention is decided by a deterministic rule set, versioned and ratified under the Rules Service. A learned component MAY draft the compacted text; it MUST NOT decide what is retained. The rule set v1 (R-20) keeps, at minimum: (a) every value whose provenance is a crossing or extraction receipt — by reference, never paraphrased; (b) every fact-class claim — by text hash pointer, never rewritten; a fact may be dropped, never altered; (c) the frozen objective, the floor, and the frame reference — verbatim; (d) every refusal and its stated reason; (e) every approval decision. Inference and utterance MAY be summarised under MEM-2.</t>
        </is>
      </c>
      <c r="C544" s="66" t="inlineStr">
        <is>
          <t>O18 Memory Compaction &amp; Preservation</t>
        </is>
      </c>
      <c r="D544" s="66" t="inlineStr">
        <is>
          <t>memory_compaction_v1</t>
        </is>
      </c>
      <c r="E544" s="66" t="inlineStr">
        <is>
          <t>memory_compaction_v1</t>
        </is>
      </c>
      <c r="F544" s="66" t="inlineStr">
        <is>
          <t>PROPOSED</t>
        </is>
      </c>
      <c r="G544" s="66" t="n"/>
      <c r="H544" s="66" t="inlineStr">
        <is>
          <t>O18 Memory Compaction &amp; Preservation</t>
        </is>
      </c>
      <c r="I544" s="66" t="inlineStr">
        <is>
          <t>Memory_Compaction_Spec_v1.docx</t>
        </is>
      </c>
      <c r="J544" s="66" t="inlineStr">
        <is>
          <t>Added at refresh 20 Sep 2026</t>
        </is>
      </c>
      <c r="K544" s="66" t="n"/>
    </row>
    <row r="545" ht="32.8" customHeight="1" s="45">
      <c r="A545" s="65" t="inlineStr">
        <is>
          <t>MEM-4</t>
        </is>
      </c>
      <c r="B545" s="66" t="inlineStr">
        <is>
          <t>A compaction is triggered deterministically — on run closure, on a ruled size threshold, or on approach to TTL — never by a model's judgement that context is “no longer needed.” Trigger values are ruled (R-19).</t>
        </is>
      </c>
      <c r="C545" s="66" t="inlineStr">
        <is>
          <t>O18 Memory Compaction &amp; Preservation</t>
        </is>
      </c>
      <c r="D545" s="66" t="inlineStr">
        <is>
          <t>memory_compaction_v1</t>
        </is>
      </c>
      <c r="E545" s="66" t="inlineStr">
        <is>
          <t>memory_compaction_v1</t>
        </is>
      </c>
      <c r="F545" s="66" t="inlineStr">
        <is>
          <t>PROPOSED</t>
        </is>
      </c>
      <c r="G545" s="66" t="n"/>
      <c r="H545" s="66" t="inlineStr">
        <is>
          <t>O18 Memory Compaction &amp; Preservation</t>
        </is>
      </c>
      <c r="I545" s="66" t="inlineStr">
        <is>
          <t>Memory_Compaction_Spec_v1.docx</t>
        </is>
      </c>
      <c r="J545" s="66" t="inlineStr">
        <is>
          <t>Added at refresh 20 Sep 2026</t>
        </is>
      </c>
      <c r="K545" s="66" t="n"/>
    </row>
    <row r="546" ht="32.8" customHeight="1" s="45">
      <c r="A546" s="65" t="inlineStr">
        <is>
          <t>MEM-5</t>
        </is>
      </c>
      <c r="B546" s="66" t="inlineStr">
        <is>
          <t>A compacted artefact is a new artefact with its own hash, registered against its lineage. Its source versions are recorded by hash. It never overwrites the version it was compacted from while that version is within its own lifetime.</t>
        </is>
      </c>
      <c r="C546" s="66" t="inlineStr">
        <is>
          <t>O18 Memory Compaction &amp; Preservation</t>
        </is>
      </c>
      <c r="D546" s="66" t="inlineStr">
        <is>
          <t>memory_compaction_v1</t>
        </is>
      </c>
      <c r="E546" s="66" t="inlineStr">
        <is>
          <t>memory_compaction_v1</t>
        </is>
      </c>
      <c r="F546" s="66" t="inlineStr">
        <is>
          <t>PROPOSED</t>
        </is>
      </c>
      <c r="G546" s="66" t="n"/>
      <c r="H546" s="66" t="inlineStr">
        <is>
          <t>O18 Memory Compaction &amp; Preservation</t>
        </is>
      </c>
      <c r="I546" s="66" t="inlineStr">
        <is>
          <t>Memory_Compaction_Spec_v1.docx</t>
        </is>
      </c>
      <c r="J546" s="66" t="inlineStr">
        <is>
          <t>Added at refresh 20 Sep 2026</t>
        </is>
      </c>
      <c r="K546" s="66" t="n"/>
    </row>
    <row r="547" ht="53.7" customHeight="1" s="45">
      <c r="A547" s="65" t="inlineStr">
        <is>
          <t>MEM-6</t>
        </is>
      </c>
      <c r="B547" s="66" t="inlineStr">
        <is>
          <t>Every compaction writes a ledger row before the artefact becomes readable: the source key and version hashes, the retention rule set version, the artefact hash, and the loss statement — counts by class of what was dropped and what was summarised. If the row cannot be written, the compaction does not complete and the source is retained untouched.</t>
        </is>
      </c>
      <c r="C547" s="66" t="inlineStr">
        <is>
          <t>O18 Memory Compaction &amp; Preservation</t>
        </is>
      </c>
      <c r="D547" s="66" t="inlineStr">
        <is>
          <t>memory_compaction_v1</t>
        </is>
      </c>
      <c r="E547" s="66" t="inlineStr">
        <is>
          <t>memory_compaction_v1</t>
        </is>
      </c>
      <c r="F547" s="66" t="inlineStr">
        <is>
          <t>PROPOSED</t>
        </is>
      </c>
      <c r="G547" s="66" t="n"/>
      <c r="H547" s="66" t="inlineStr">
        <is>
          <t>O18 Memory Compaction &amp; Preservation</t>
        </is>
      </c>
      <c r="I547" s="66" t="inlineStr">
        <is>
          <t>Memory_Compaction_Spec_v1.docx</t>
        </is>
      </c>
      <c r="J547" s="66" t="inlineStr">
        <is>
          <t>Added at refresh 20 Sep 2026</t>
        </is>
      </c>
      <c r="K547" s="66" t="n"/>
    </row>
    <row r="548" ht="43.25" customHeight="1" s="45">
      <c r="A548" s="65" t="inlineStr">
        <is>
          <t>MEM-7</t>
        </is>
      </c>
      <c r="B548" s="66" t="inlineStr">
        <is>
          <t>Reload is deterministic: the same artefact under the same key yields the same context. No re-summarisation on read. A reload whose artefact hash does not verify against the register fails closed and the caller is refused, not served a best effort.</t>
        </is>
      </c>
      <c r="C548" s="66" t="inlineStr">
        <is>
          <t>O18 Memory Compaction &amp; Preservation</t>
        </is>
      </c>
      <c r="D548" s="66" t="inlineStr">
        <is>
          <t>memory_compaction_v1</t>
        </is>
      </c>
      <c r="E548" s="66" t="inlineStr">
        <is>
          <t>memory_compaction_v1</t>
        </is>
      </c>
      <c r="F548" s="66" t="inlineStr">
        <is>
          <t>PROPOSED</t>
        </is>
      </c>
      <c r="G548" s="66" t="n"/>
      <c r="H548" s="66" t="inlineStr">
        <is>
          <t>O18 Memory Compaction &amp; Preservation</t>
        </is>
      </c>
      <c r="I548" s="66" t="inlineStr">
        <is>
          <t>Memory_Compaction_Spec_v1.docx</t>
        </is>
      </c>
      <c r="J548" s="66" t="inlineStr">
        <is>
          <t>Added at refresh 20 Sep 2026</t>
        </is>
      </c>
      <c r="K548" s="66" t="n"/>
    </row>
    <row r="549" ht="43.25" customHeight="1" s="45">
      <c r="A549" s="65" t="inlineStr">
        <is>
          <t>MEM-8</t>
        </is>
      </c>
      <c r="B549" s="66" t="inlineStr">
        <is>
          <t>A reload from a compacted artefact states that it is compacted and what depth was lost, in the form MEM-6 recorded. A component consuming compacted context MUST NOT present conclusions drawn from it at a class higher than the artefact carries.</t>
        </is>
      </c>
      <c r="C549" s="66" t="inlineStr">
        <is>
          <t>O18 Memory Compaction &amp; Preservation</t>
        </is>
      </c>
      <c r="D549" s="66" t="inlineStr">
        <is>
          <t>memory_compaction_v1</t>
        </is>
      </c>
      <c r="E549" s="66" t="inlineStr">
        <is>
          <t>memory_compaction_v1</t>
        </is>
      </c>
      <c r="F549" s="66" t="inlineStr">
        <is>
          <t>PROPOSED</t>
        </is>
      </c>
      <c r="G549" s="66" t="n"/>
      <c r="H549" s="66" t="inlineStr">
        <is>
          <t>O18 Memory Compaction &amp; Preservation</t>
        </is>
      </c>
      <c r="I549" s="66" t="inlineStr">
        <is>
          <t>Memory_Compaction_Spec_v1.docx</t>
        </is>
      </c>
      <c r="J549" s="66" t="inlineStr">
        <is>
          <t>Added at refresh 20 Sep 2026</t>
        </is>
      </c>
      <c r="K549" s="66" t="n"/>
    </row>
    <row r="550" ht="53.7" customHeight="1" s="45">
      <c r="A550" s="65" t="inlineStr">
        <is>
          <t>MEM-9</t>
        </is>
      </c>
      <c r="B550" s="66" t="inlineStr">
        <is>
          <t>Erasure reaches compacted memory. When a unit's rights are withdrawn, every compacted artefact whose provenance cites it is found by provenance reference and either re-derived without the unit or recalled, on DAP-38's own mechanism. Erasure obligations override retention lengthening: D-14's “tenants may lengthen, not shorten” does not apply against a lawful erasure.</t>
        </is>
      </c>
      <c r="C550" s="66" t="inlineStr">
        <is>
          <t>O18 Memory Compaction &amp; Preservation</t>
        </is>
      </c>
      <c r="D550" s="66" t="inlineStr">
        <is>
          <t>memory_compaction_v1</t>
        </is>
      </c>
      <c r="E550" s="66" t="inlineStr">
        <is>
          <t>memory_compaction_v1</t>
        </is>
      </c>
      <c r="F550" s="66" t="inlineStr">
        <is>
          <t>PROPOSED</t>
        </is>
      </c>
      <c r="G550" s="66" t="n"/>
      <c r="H550" s="66" t="inlineStr">
        <is>
          <t>O18 Memory Compaction &amp; Preservation</t>
        </is>
      </c>
      <c r="I550" s="66" t="inlineStr">
        <is>
          <t>Memory_Compaction_Spec_v1.docx</t>
        </is>
      </c>
      <c r="J550" s="66" t="inlineStr">
        <is>
          <t>Added at refresh 20 Sep 2026</t>
        </is>
      </c>
      <c r="K550" s="66" t="n"/>
    </row>
    <row r="551" ht="64.15000000000001" customHeight="1" s="45">
      <c r="A551" s="65" t="inlineStr">
        <is>
          <t>MEM-10</t>
        </is>
      </c>
      <c r="B551" s="66" t="inlineStr">
        <is>
          <t>User memory is personal data of the principal it belongs to. It is populated only from that principal's own closed runs, never from another principal's; it is readable by the principal; and it is erased on the principal's request or on deprovisioning, with a ledger row. An organisation MAY disable the class tenant-wide; it MAY NOT read a principal's user memory without a documented lawful basis.</t>
        </is>
      </c>
      <c r="C551" s="66" t="inlineStr">
        <is>
          <t>O18 Memory Compaction &amp; Preservation</t>
        </is>
      </c>
      <c r="D551" s="66" t="inlineStr">
        <is>
          <t>memory_compaction_v1</t>
        </is>
      </c>
      <c r="E551" s="66" t="inlineStr">
        <is>
          <t>memory_compaction_v1</t>
        </is>
      </c>
      <c r="F551" s="66" t="inlineStr">
        <is>
          <t>PROPOSED</t>
        </is>
      </c>
      <c r="G551" s="66" t="n"/>
      <c r="H551" s="66" t="inlineStr">
        <is>
          <t>O18 Memory Compaction &amp; Preservation</t>
        </is>
      </c>
      <c r="I551" s="66" t="inlineStr">
        <is>
          <t>Memory_Compaction_Spec_v1.docx</t>
        </is>
      </c>
      <c r="J551" s="66" t="inlineStr">
        <is>
          <t>Added at refresh 20 Sep 2026</t>
        </is>
      </c>
      <c r="K551" s="66" t="n"/>
    </row>
    <row r="552" ht="43.25" customHeight="1" s="45">
      <c r="A552" s="65" t="inlineStr">
        <is>
          <t>MEM-11</t>
        </is>
      </c>
      <c r="B552" s="66" t="inlineStr">
        <is>
          <t>Compaction is idempotent per (key, source version hash) and append-only per lineage; concurrent runs on the same objective compact their own run-scoped keys and never each other's. Purge by a tenant admin produces a ledger row on the same terms as a compaction.</t>
        </is>
      </c>
      <c r="C552" s="66" t="inlineStr">
        <is>
          <t>O18 Memory Compaction &amp; Preservation</t>
        </is>
      </c>
      <c r="D552" s="66" t="inlineStr">
        <is>
          <t>memory_compaction_v1</t>
        </is>
      </c>
      <c r="E552" s="66" t="inlineStr">
        <is>
          <t>memory_compaction_v1</t>
        </is>
      </c>
      <c r="F552" s="66" t="inlineStr">
        <is>
          <t>PROPOSED</t>
        </is>
      </c>
      <c r="G552" s="66" t="n"/>
      <c r="H552" s="66" t="inlineStr">
        <is>
          <t>O18 Memory Compaction &amp; Preservation</t>
        </is>
      </c>
      <c r="I552" s="66" t="inlineStr">
        <is>
          <t>Memory_Compaction_Spec_v1.docx</t>
        </is>
      </c>
      <c r="J552" s="66" t="inlineStr">
        <is>
          <t>Added at refresh 20 Sep 2026</t>
        </is>
      </c>
      <c r="K552" s="66" t="n"/>
    </row>
    <row r="553" ht="74.59999999999999" customHeight="1" s="45">
      <c r="A553" s="65" t="inlineStr">
        <is>
          <t>PRIN-1</t>
        </is>
      </c>
      <c r="B553" s="66" t="inlineStr">
        <is>
          <t>The store holds three principal kinds, each with its own mandate: organisation (DAP-1's fields — legal identity, governance posture, terms, trust-domain identifier, admission-time mandate); individual (a named person acting under an organisation, with a mandate scoped by that organisation); and agent (an autonomous non-human principal, admitted separately from its operator, carrying its own stated scope of autonomy). An individual or agent MUST reference the organisation it acts under; it MUST NOT exist without one.</t>
        </is>
      </c>
      <c r="C553" s="66" t="inlineStr">
        <is>
          <t>O19 Principal Model (platform foundation)</t>
        </is>
      </c>
      <c r="D553" s="66" t="inlineStr">
        <is>
          <t>principal_model_v1</t>
        </is>
      </c>
      <c r="E553" s="66" t="inlineStr">
        <is>
          <t>principal_model_v1</t>
        </is>
      </c>
      <c r="F553" s="66" t="inlineStr">
        <is>
          <t>PROPOSED</t>
        </is>
      </c>
      <c r="G553" s="66" t="n"/>
      <c r="H553" s="66" t="inlineStr">
        <is>
          <t>O19 Principal Model</t>
        </is>
      </c>
      <c r="I553" s="66" t="inlineStr">
        <is>
          <t>Principal_Model_Spec_v1.docx</t>
        </is>
      </c>
      <c r="J553" s="66" t="inlineStr">
        <is>
          <t>Added at refresh 20 Sep 2026</t>
        </is>
      </c>
      <c r="K553" s="66" t="n"/>
    </row>
    <row r="554" ht="43.25" customHeight="1" s="45">
      <c r="A554" s="65" t="inlineStr">
        <is>
          <t>PRIN-2</t>
        </is>
      </c>
      <c r="B554" s="66" t="inlineStr">
        <is>
          <t>Admission of any principal is a governed act. An organisation is admitted only by the estate owner's named authority. An individual or agent is admitted only by a principal already holding authority to admit under its own organisation's terms. No principal self-admits.</t>
        </is>
      </c>
      <c r="C554" s="66" t="inlineStr">
        <is>
          <t>O19 Principal Model (platform foundation)</t>
        </is>
      </c>
      <c r="D554" s="66" t="inlineStr">
        <is>
          <t>principal_model_v1</t>
        </is>
      </c>
      <c r="E554" s="66" t="inlineStr">
        <is>
          <t>principal_model_v1</t>
        </is>
      </c>
      <c r="F554" s="66" t="inlineStr">
        <is>
          <t>PROPOSED</t>
        </is>
      </c>
      <c r="G554" s="66" t="n"/>
      <c r="H554" s="66" t="inlineStr">
        <is>
          <t>O19 Principal Model</t>
        </is>
      </c>
      <c r="I554" s="66" t="inlineStr">
        <is>
          <t>Principal_Model_Spec_v1.docx</t>
        </is>
      </c>
      <c r="J554" s="66" t="inlineStr">
        <is>
          <t>Added at refresh 20 Sep 2026</t>
        </is>
      </c>
      <c r="K554" s="66" t="n"/>
    </row>
    <row r="555" ht="43.25" customHeight="1" s="45">
      <c r="A555" s="65" t="inlineStr">
        <is>
          <t>PRIN-3</t>
        </is>
      </c>
      <c r="B555" s="66" t="inlineStr">
        <is>
          <t>Every principal carries a behavioural-signature state under the Watch, present from its first request — an agent's machine-speed attack shape applies from admission, not from some later point at which it is judged to need watching.</t>
        </is>
      </c>
      <c r="C555" s="66" t="inlineStr">
        <is>
          <t>O19 Principal Model (platform foundation)</t>
        </is>
      </c>
      <c r="D555" s="66" t="inlineStr">
        <is>
          <t>principal_model_v1</t>
        </is>
      </c>
      <c r="E555" s="66" t="inlineStr">
        <is>
          <t>principal_model_v1</t>
        </is>
      </c>
      <c r="F555" s="66" t="inlineStr">
        <is>
          <t>PROPOSED</t>
        </is>
      </c>
      <c r="G555" s="66" t="n"/>
      <c r="H555" s="66" t="inlineStr">
        <is>
          <t>O19 Principal Model</t>
        </is>
      </c>
      <c r="I555" s="66" t="inlineStr">
        <is>
          <t>Principal_Model_Spec_v1.docx</t>
        </is>
      </c>
      <c r="J555" s="66" t="inlineStr">
        <is>
          <t>Added at refresh 20 Sep 2026</t>
        </is>
      </c>
      <c r="K555" s="66" t="n"/>
    </row>
    <row r="556" ht="32.8" customHeight="1" s="45">
      <c r="A556" s="65" t="inlineStr">
        <is>
          <t>PRIN-4</t>
        </is>
      </c>
      <c r="B556" s="66" t="inlineStr">
        <is>
          <t>Mandate is immutable once frozen at admission, on Northena's existing objective-freeze mechanism (Promise #32). Changing what a principal is admitted to do is a new admission event, not an edit to the old one.</t>
        </is>
      </c>
      <c r="C556" s="66" t="inlineStr">
        <is>
          <t>O19 Principal Model (platform foundation)</t>
        </is>
      </c>
      <c r="D556" s="66" t="inlineStr">
        <is>
          <t>principal_model_v1</t>
        </is>
      </c>
      <c r="E556" s="66" t="inlineStr">
        <is>
          <t>principal_model_v1</t>
        </is>
      </c>
      <c r="F556" s="66" t="inlineStr">
        <is>
          <t>PROPOSED</t>
        </is>
      </c>
      <c r="G556" s="66" t="n"/>
      <c r="H556" s="66" t="inlineStr">
        <is>
          <t>O19 Principal Model</t>
        </is>
      </c>
      <c r="I556" s="66" t="inlineStr">
        <is>
          <t>Principal_Model_Spec_v1.docx</t>
        </is>
      </c>
      <c r="J556" s="66" t="inlineStr">
        <is>
          <t>Added at refresh 20 Sep 2026</t>
        </is>
      </c>
      <c r="K556" s="66" t="n"/>
    </row>
    <row r="557" ht="32.8" customHeight="1" s="45">
      <c r="A557" s="65" t="inlineStr">
        <is>
          <t>PRIN-5</t>
        </is>
      </c>
      <c r="B557" s="66" t="inlineStr">
        <is>
          <t>Credentials are issued per principal, never per organisation — an organisation with five individuals has five credentials, each independently revocable in one act, none of which reveals or touches the others.</t>
        </is>
      </c>
      <c r="C557" s="66" t="inlineStr">
        <is>
          <t>O19 Principal Model (platform foundation)</t>
        </is>
      </c>
      <c r="D557" s="66" t="inlineStr">
        <is>
          <t>principal_model_v1</t>
        </is>
      </c>
      <c r="E557" s="66" t="inlineStr">
        <is>
          <t>principal_model_v1</t>
        </is>
      </c>
      <c r="F557" s="66" t="inlineStr">
        <is>
          <t>PROPOSED</t>
        </is>
      </c>
      <c r="G557" s="66" t="n"/>
      <c r="H557" s="66" t="inlineStr">
        <is>
          <t>O19 Principal Model</t>
        </is>
      </c>
      <c r="I557" s="66" t="inlineStr">
        <is>
          <t>Principal_Model_Spec_v1.docx</t>
        </is>
      </c>
      <c r="J557" s="66" t="inlineStr">
        <is>
          <t>Added at refresh 20 Sep 2026</t>
        </is>
      </c>
      <c r="K557" s="66" t="n"/>
    </row>
    <row r="558" ht="43.25" customHeight="1" s="45">
      <c r="A558" s="65" t="inlineStr">
        <is>
          <t>PRIN-6</t>
        </is>
      </c>
      <c r="B558" s="66" t="inlineStr">
        <is>
          <t>Credential material is never persisted in a form any component can read back. The plane issues and can revoke; it cannot recover or display a previously issued credential. A credential shown once and lost is reissued, never recovered.</t>
        </is>
      </c>
      <c r="C558" s="66" t="inlineStr">
        <is>
          <t>O19 Principal Model (platform foundation)</t>
        </is>
      </c>
      <c r="D558" s="66" t="inlineStr">
        <is>
          <t>principal_model_v1</t>
        </is>
      </c>
      <c r="E558" s="66" t="inlineStr">
        <is>
          <t>principal_model_v1</t>
        </is>
      </c>
      <c r="F558" s="66" t="inlineStr">
        <is>
          <t>PROPOSED</t>
        </is>
      </c>
      <c r="G558" s="66" t="n"/>
      <c r="H558" s="66" t="inlineStr">
        <is>
          <t>O19 Principal Model</t>
        </is>
      </c>
      <c r="I558" s="66" t="inlineStr">
        <is>
          <t>Principal_Model_Spec_v1.docx</t>
        </is>
      </c>
      <c r="J558" s="66" t="inlineStr">
        <is>
          <t>Added at refresh 20 Sep 2026</t>
        </is>
      </c>
      <c r="K558" s="66" t="n"/>
    </row>
    <row r="559" ht="22.35" customHeight="1" s="45">
      <c r="A559" s="65" t="inlineStr">
        <is>
          <t>PRIN-7</t>
        </is>
      </c>
      <c r="B559" s="66" t="inlineStr">
        <is>
          <t>A credential is bound to exactly one trust-domain identifier (§4) at issuance. It cannot be presented to resolve identity outside that domain.</t>
        </is>
      </c>
      <c r="C559" s="66" t="inlineStr">
        <is>
          <t>O19 Principal Model (platform foundation)</t>
        </is>
      </c>
      <c r="D559" s="66" t="inlineStr">
        <is>
          <t>principal_model_v1</t>
        </is>
      </c>
      <c r="E559" s="66" t="inlineStr">
        <is>
          <t>principal_model_v1</t>
        </is>
      </c>
      <c r="F559" s="66" t="inlineStr">
        <is>
          <t>PROPOSED</t>
        </is>
      </c>
      <c r="G559" s="66" t="n"/>
      <c r="H559" s="66" t="inlineStr">
        <is>
          <t>O19 Principal Model</t>
        </is>
      </c>
      <c r="I559" s="66" t="inlineStr">
        <is>
          <t>Principal_Model_Spec_v1.docx</t>
        </is>
      </c>
      <c r="J559" s="66" t="inlineStr">
        <is>
          <t>Added at refresh 20 Sep 2026</t>
        </is>
      </c>
      <c r="K559" s="66" t="n"/>
    </row>
    <row r="560" ht="32.8" customHeight="1" s="45">
      <c r="A560" s="65" t="inlineStr">
        <is>
          <t>PRIN-8</t>
        </is>
      </c>
      <c r="B560" s="66" t="inlineStr">
        <is>
          <t>Rotation default: 90 days, DEFAULT-class, per the existing platform convention for API key lifetime. Revocation is unconditional and immediate on the estate owner's act, regardless of rotation schedule.</t>
        </is>
      </c>
      <c r="C560" s="66" t="inlineStr">
        <is>
          <t>O19 Principal Model (platform foundation)</t>
        </is>
      </c>
      <c r="D560" s="66" t="inlineStr">
        <is>
          <t>principal_model_v1</t>
        </is>
      </c>
      <c r="E560" s="66" t="inlineStr">
        <is>
          <t>principal_model_v1</t>
        </is>
      </c>
      <c r="F560" s="66" t="inlineStr">
        <is>
          <t>PROPOSED</t>
        </is>
      </c>
      <c r="G560" s="66" t="n"/>
      <c r="H560" s="66" t="inlineStr">
        <is>
          <t>O19 Principal Model</t>
        </is>
      </c>
      <c r="I560" s="66" t="inlineStr">
        <is>
          <t>Principal_Model_Spec_v1.docx</t>
        </is>
      </c>
      <c r="J560" s="66" t="inlineStr">
        <is>
          <t>Added at refresh 20 Sep 2026</t>
        </is>
      </c>
      <c r="K560" s="66" t="n"/>
    </row>
    <row r="561" ht="43.25" customHeight="1" s="45">
      <c r="A561" s="65" t="inlineStr">
        <is>
          <t>PRIN-9</t>
        </is>
      </c>
      <c r="B561" s="66" t="inlineStr">
        <is>
          <t>The principal's domain and the estate's domain share no identifier resolution, no store, and no credential — verbatim DAP-5. A unit identifier meaningful inside the estate MUST NOT resolve to anything in the principal's domain except through an operation the consuming component's own spec permits.</t>
        </is>
      </c>
      <c r="C561" s="66" t="inlineStr">
        <is>
          <t>O19 Principal Model (platform foundation)</t>
        </is>
      </c>
      <c r="D561" s="66" t="inlineStr">
        <is>
          <t>principal_model_v1</t>
        </is>
      </c>
      <c r="E561" s="66" t="inlineStr">
        <is>
          <t>principal_model_v1</t>
        </is>
      </c>
      <c r="F561" s="66" t="inlineStr">
        <is>
          <t>PROPOSED</t>
        </is>
      </c>
      <c r="G561" s="66" t="n"/>
      <c r="H561" s="66" t="inlineStr">
        <is>
          <t>O19 Principal Model</t>
        </is>
      </c>
      <c r="I561" s="66" t="inlineStr">
        <is>
          <t>Principal_Model_Spec_v1.docx</t>
        </is>
      </c>
      <c r="J561" s="66" t="inlineStr">
        <is>
          <t>Added at refresh 20 Sep 2026</t>
        </is>
      </c>
      <c r="K561" s="66" t="n"/>
    </row>
    <row r="562" ht="32.8" customHeight="1" s="45">
      <c r="A562" s="65" t="inlineStr">
        <is>
          <t>PRIN-10</t>
        </is>
      </c>
      <c r="B562" s="66" t="inlineStr">
        <is>
          <t>Every record the platform writes on a principal's behalf carries that principal's trust-domain identifier. A write with no resolvable trust-domain identifier is refused, not defaulted to the estate's own domain.</t>
        </is>
      </c>
      <c r="C562" s="66" t="inlineStr">
        <is>
          <t>O19 Principal Model (platform foundation)</t>
        </is>
      </c>
      <c r="D562" s="66" t="inlineStr">
        <is>
          <t>principal_model_v1</t>
        </is>
      </c>
      <c r="E562" s="66" t="inlineStr">
        <is>
          <t>principal_model_v1</t>
        </is>
      </c>
      <c r="F562" s="66" t="inlineStr">
        <is>
          <t>PROPOSED</t>
        </is>
      </c>
      <c r="G562" s="66" t="n"/>
      <c r="H562" s="66" t="inlineStr">
        <is>
          <t>O19 Principal Model</t>
        </is>
      </c>
      <c r="I562" s="66" t="inlineStr">
        <is>
          <t>Principal_Model_Spec_v1.docx</t>
        </is>
      </c>
      <c r="J562" s="66" t="inlineStr">
        <is>
          <t>Added at refresh 20 Sep 2026</t>
        </is>
      </c>
      <c r="K562" s="66" t="n"/>
    </row>
    <row r="563" ht="53.7" customHeight="1" s="45">
      <c r="A563" s="65" t="inlineStr">
        <is>
          <t>PRIN-11</t>
        </is>
      </c>
      <c r="B563" s="66" t="inlineStr">
        <is>
          <t>Every request entering the platform on behalf of a principal carries that principal's identity through to every service it touches, by construction — not by convention, not by a caller choosing to pass it along. A downstream write with no principal in its calling context fails closed rather than writing under a default or empty actor.</t>
        </is>
      </c>
      <c r="C563" s="66" t="inlineStr">
        <is>
          <t>O19 Principal Model (platform foundation)</t>
        </is>
      </c>
      <c r="D563" s="66" t="inlineStr">
        <is>
          <t>principal_model_v1</t>
        </is>
      </c>
      <c r="E563" s="66" t="inlineStr">
        <is>
          <t>principal_model_v1</t>
        </is>
      </c>
      <c r="F563" s="66" t="inlineStr">
        <is>
          <t>PROPOSED</t>
        </is>
      </c>
      <c r="G563" s="66" t="n"/>
      <c r="H563" s="66" t="inlineStr">
        <is>
          <t>O19 Principal Model</t>
        </is>
      </c>
      <c r="I563" s="66" t="inlineStr">
        <is>
          <t>Principal_Model_Spec_v1.docx</t>
        </is>
      </c>
      <c r="J563" s="66" t="inlineStr">
        <is>
          <t>Added at refresh 20 Sep 2026</t>
        </is>
      </c>
      <c r="K563" s="66" t="n"/>
    </row>
    <row r="564" ht="53.7" customHeight="1" s="45">
      <c r="A564" s="65" t="inlineStr">
        <is>
          <t>PRIN-12</t>
        </is>
      </c>
      <c r="B564" s="66" t="inlineStr">
        <is>
          <t>The Ledger's `actor` field is populated only from propagated principal context, never from a caller-supplied string. Existing entries written before this component exists are not retroactively altered — the fix is prospective, consistent with how every other prospective-only correction in this canon has been handled.</t>
        </is>
      </c>
      <c r="C564" s="66" t="inlineStr">
        <is>
          <t>O19 Principal Model (platform foundation)</t>
        </is>
      </c>
      <c r="D564" s="66" t="inlineStr">
        <is>
          <t>principal_model_v1</t>
        </is>
      </c>
      <c r="E564" s="66" t="inlineStr">
        <is>
          <t>principal_model_v1</t>
        </is>
      </c>
      <c r="F564" s="66" t="inlineStr">
        <is>
          <t>PROPOSED</t>
        </is>
      </c>
      <c r="G564" s="66" t="n"/>
      <c r="H564" s="66" t="inlineStr">
        <is>
          <t>O19 Principal Model</t>
        </is>
      </c>
      <c r="I564" s="66" t="inlineStr">
        <is>
          <t>Principal_Model_Spec_v1.docx</t>
        </is>
      </c>
      <c r="J564" s="66" t="inlineStr">
        <is>
          <t>Added at refresh 20 Sep 2026</t>
        </is>
      </c>
      <c r="K564" s="66" t="n"/>
    </row>
    <row r="565" ht="43.25" customHeight="1" s="45">
      <c r="A565" s="65" t="inlineStr">
        <is>
          <t>PRIN-13</t>
        </is>
      </c>
      <c r="B565" s="66" t="inlineStr">
        <is>
          <t>Principal context is read-only once it enters propagation for a given request. A service receiving it cannot widen, narrow, or substitute the principal it was given — the same discipline Northena's objective freeze already applies to scope.</t>
        </is>
      </c>
      <c r="C565" s="66" t="inlineStr">
        <is>
          <t>O19 Principal Model (platform foundation)</t>
        </is>
      </c>
      <c r="D565" s="66" t="inlineStr">
        <is>
          <t>principal_model_v1</t>
        </is>
      </c>
      <c r="E565" s="66" t="inlineStr">
        <is>
          <t>principal_model_v1</t>
        </is>
      </c>
      <c r="F565" s="66" t="inlineStr">
        <is>
          <t>PROPOSED</t>
        </is>
      </c>
      <c r="G565" s="66" t="n"/>
      <c r="H565" s="66" t="inlineStr">
        <is>
          <t>O19 Principal Model</t>
        </is>
      </c>
      <c r="I565" s="66" t="inlineStr">
        <is>
          <t>Principal_Model_Spec_v1.docx</t>
        </is>
      </c>
      <c r="J565" s="66" t="inlineStr">
        <is>
          <t>Added at refresh 20 Sep 2026</t>
        </is>
      </c>
      <c r="K565" s="66" t="n"/>
    </row>
    <row r="566" ht="53.7" customHeight="1" s="45">
      <c r="A566" s="65" t="inlineStr">
        <is>
          <t>CON-1</t>
        </is>
      </c>
      <c r="B566" s="66" t="inlineStr">
        <is>
          <t>Every string that reaches a surface belongs to exactly one content entry and exactly one class. A string with no entry does not render. Improvised copy — a component composing text outside the registry — is a build failure, enforced by the same DOM-bound negative scan that already binds fixed strings.</t>
        </is>
      </c>
      <c r="C566" s="66" t="inlineStr">
        <is>
          <t>O20 Content Registry &amp; Salience</t>
        </is>
      </c>
      <c r="D566" s="66" t="inlineStr">
        <is>
          <t>content_registry_v1</t>
        </is>
      </c>
      <c r="E566" s="66" t="inlineStr">
        <is>
          <t>content_registry_v1</t>
        </is>
      </c>
      <c r="F566" s="66" t="inlineStr">
        <is>
          <t>PROPOSED</t>
        </is>
      </c>
      <c r="G566" s="66" t="n"/>
      <c r="H566" s="66" t="inlineStr">
        <is>
          <t>O20 Content Registry &amp; Salience</t>
        </is>
      </c>
      <c r="I566" s="66" t="inlineStr">
        <is>
          <t>Content_Registry_Spec_v1.docx</t>
        </is>
      </c>
      <c r="J566" s="66" t="inlineStr">
        <is>
          <t>Added at refresh 20 Sep 2026 (b)</t>
        </is>
      </c>
      <c r="K566" s="66" t="n"/>
    </row>
    <row r="567" ht="32.8" customHeight="1" s="45">
      <c r="A567" s="65" t="inlineStr">
        <is>
          <t>CON-2</t>
        </is>
      </c>
      <c r="B567" s="66" t="inlineStr">
        <is>
          <t>Fixed entries render their text verbatim. The text is a contract; changing it is a contract-version change through the Rules Service ceremony at the ordinary tier.</t>
        </is>
      </c>
      <c r="C567" s="66" t="inlineStr">
        <is>
          <t>O20 Content Registry &amp; Salience</t>
        </is>
      </c>
      <c r="D567" s="66" t="inlineStr">
        <is>
          <t>content_registry_v1</t>
        </is>
      </c>
      <c r="E567" s="66" t="inlineStr">
        <is>
          <t>content_registry_v1</t>
        </is>
      </c>
      <c r="F567" s="66" t="inlineStr">
        <is>
          <t>PROPOSED</t>
        </is>
      </c>
      <c r="G567" s="66" t="n"/>
      <c r="H567" s="66" t="inlineStr">
        <is>
          <t>O20 Content Registry &amp; Salience</t>
        </is>
      </c>
      <c r="I567" s="66" t="inlineStr">
        <is>
          <t>Content_Registry_Spec_v1.docx</t>
        </is>
      </c>
      <c r="J567" s="66" t="inlineStr">
        <is>
          <t>Added at refresh 20 Sep 2026 (b)</t>
        </is>
      </c>
      <c r="K567" s="66" t="n"/>
    </row>
    <row r="568" ht="32.8" customHeight="1" s="45">
      <c r="A568" s="65" t="inlineStr">
        <is>
          <t>CON-3</t>
        </is>
      </c>
      <c r="B568" s="66" t="inlineStr">
        <is>
          <t>Templated entries render only from named dependencies that resolve to verified fields. A Templated string contains no value that is not a dependency. The template is versioned; a version change is a ceremony.</t>
        </is>
      </c>
      <c r="C568" s="66" t="inlineStr">
        <is>
          <t>O20 Content Registry &amp; Salience</t>
        </is>
      </c>
      <c r="D568" s="66" t="inlineStr">
        <is>
          <t>content_registry_v1</t>
        </is>
      </c>
      <c r="E568" s="66" t="inlineStr">
        <is>
          <t>content_registry_v1</t>
        </is>
      </c>
      <c r="F568" s="66" t="inlineStr">
        <is>
          <t>PROPOSED</t>
        </is>
      </c>
      <c r="G568" s="66" t="n"/>
      <c r="H568" s="66" t="inlineStr">
        <is>
          <t>O20 Content Registry &amp; Salience</t>
        </is>
      </c>
      <c r="I568" s="66" t="inlineStr">
        <is>
          <t>Content_Registry_Spec_v1.docx</t>
        </is>
      </c>
      <c r="J568" s="66" t="inlineStr">
        <is>
          <t>Added at refresh 20 Sep 2026 (b)</t>
        </is>
      </c>
      <c r="K568" s="66" t="n"/>
    </row>
    <row r="569" ht="32.8" customHeight="1" s="45">
      <c r="A569" s="65" t="inlineStr">
        <is>
          <t>CON-4</t>
        </is>
      </c>
      <c r="B569" s="66" t="inlineStr">
        <is>
          <t>Every Templated entry carries an honest-gap variant for each dependency that may be null. When a dependency is null, the variant renders. The template MUST NOT estimate, default, or infer a missing value.</t>
        </is>
      </c>
      <c r="C569" s="66" t="inlineStr">
        <is>
          <t>O20 Content Registry &amp; Salience</t>
        </is>
      </c>
      <c r="D569" s="66" t="inlineStr">
        <is>
          <t>content_registry_v1</t>
        </is>
      </c>
      <c r="E569" s="66" t="inlineStr">
        <is>
          <t>content_registry_v1</t>
        </is>
      </c>
      <c r="F569" s="66" t="inlineStr">
        <is>
          <t>PROPOSED</t>
        </is>
      </c>
      <c r="G569" s="66" t="n"/>
      <c r="H569" s="66" t="inlineStr">
        <is>
          <t>O20 Content Registry &amp; Salience</t>
        </is>
      </c>
      <c r="I569" s="66" t="inlineStr">
        <is>
          <t>Content_Registry_Spec_v1.docx</t>
        </is>
      </c>
      <c r="J569" s="66" t="inlineStr">
        <is>
          <t>Added at refresh 20 Sep 2026 (b)</t>
        </is>
      </c>
      <c r="K569" s="66" t="n"/>
    </row>
    <row r="570" ht="43.25" customHeight="1" s="45">
      <c r="A570" s="65" t="inlineStr">
        <is>
          <t>CON-5</t>
        </is>
      </c>
      <c r="B570" s="66" t="inlineStr">
        <is>
          <t>Generated entries carry a class ceiling of inference or advisory and never fact. Every sentence in a Generated string anchors to material by provenance reference; an unanchored sentence is refused by Solva's existing floor before the gate, and the string passes A5.15 before display.</t>
        </is>
      </c>
      <c r="C570" s="66" t="inlineStr">
        <is>
          <t>O20 Content Registry &amp; Salience</t>
        </is>
      </c>
      <c r="D570" s="66" t="inlineStr">
        <is>
          <t>content_registry_v1</t>
        </is>
      </c>
      <c r="E570" s="66" t="inlineStr">
        <is>
          <t>content_registry_v1</t>
        </is>
      </c>
      <c r="F570" s="66" t="inlineStr">
        <is>
          <t>PROPOSED</t>
        </is>
      </c>
      <c r="G570" s="66" t="n"/>
      <c r="H570" s="66" t="inlineStr">
        <is>
          <t>O20 Content Registry &amp; Salience</t>
        </is>
      </c>
      <c r="I570" s="66" t="inlineStr">
        <is>
          <t>Content_Registry_Spec_v1.docx</t>
        </is>
      </c>
      <c r="J570" s="66" t="inlineStr">
        <is>
          <t>Added at refresh 20 Sep 2026 (b)</t>
        </is>
      </c>
      <c r="K570" s="66" t="n"/>
    </row>
    <row r="571" ht="43.25" customHeight="1" s="45">
      <c r="A571" s="65" t="inlineStr">
        <is>
          <t>CON-6</t>
        </is>
      </c>
      <c r="B571" s="66" t="inlineStr">
        <is>
          <t>A number on any surface comes from a Templated dependency or a Fixed string. A Generated string MUST NOT introduce a number the surface does not already carry as a verified field. Prose may wrap a number; it never supplies one.</t>
        </is>
      </c>
      <c r="C571" s="66" t="inlineStr">
        <is>
          <t>O20 Content Registry &amp; Salience</t>
        </is>
      </c>
      <c r="D571" s="66" t="inlineStr">
        <is>
          <t>content_registry_v1</t>
        </is>
      </c>
      <c r="E571" s="66" t="inlineStr">
        <is>
          <t>content_registry_v1</t>
        </is>
      </c>
      <c r="F571" s="66" t="inlineStr">
        <is>
          <t>PROPOSED</t>
        </is>
      </c>
      <c r="G571" s="66" t="n"/>
      <c r="H571" s="66" t="inlineStr">
        <is>
          <t>O20 Content Registry &amp; Salience</t>
        </is>
      </c>
      <c r="I571" s="66" t="inlineStr">
        <is>
          <t>Content_Registry_Spec_v1.docx</t>
        </is>
      </c>
      <c r="J571" s="66" t="inlineStr">
        <is>
          <t>Added at refresh 20 Sep 2026 (b)</t>
        </is>
      </c>
      <c r="K571" s="66" t="n"/>
    </row>
    <row r="572" ht="32.8" customHeight="1" s="45">
      <c r="A572" s="65" t="inlineStr">
        <is>
          <t>CON-7</t>
        </is>
      </c>
      <c r="B572" s="66" t="inlineStr">
        <is>
          <t>Which surfaces may carry Generated entries at all is a ruled list (R-32). A surface not on the list has no Generated entries, and a generation request from it is refused.</t>
        </is>
      </c>
      <c r="C572" s="66" t="inlineStr">
        <is>
          <t>O20 Content Registry &amp; Salience</t>
        </is>
      </c>
      <c r="D572" s="66" t="inlineStr">
        <is>
          <t>content_registry_v1</t>
        </is>
      </c>
      <c r="E572" s="66" t="inlineStr">
        <is>
          <t>content_registry_v1</t>
        </is>
      </c>
      <c r="F572" s="66" t="inlineStr">
        <is>
          <t>PROPOSED</t>
        </is>
      </c>
      <c r="G572" s="66" t="n"/>
      <c r="H572" s="66" t="inlineStr">
        <is>
          <t>O20 Content Registry &amp; Salience</t>
        </is>
      </c>
      <c r="I572" s="66" t="inlineStr">
        <is>
          <t>Content_Registry_Spec_v1.docx</t>
        </is>
      </c>
      <c r="J572" s="66" t="inlineStr">
        <is>
          <t>Added at refresh 20 Sep 2026 (b)</t>
        </is>
      </c>
      <c r="K572" s="66" t="n"/>
    </row>
    <row r="573" ht="53.7" customHeight="1" s="45">
      <c r="A573" s="65" t="inlineStr">
        <is>
          <t>CON-8</t>
        </is>
      </c>
      <c r="B573" s="66" t="inlineStr">
        <is>
          <t>A content entry carries: entry identifier; surface; class; objective — one sentence stating what the string is for; template version or prompt version; dependencies, as named verified fields; honest-gap variants (Templated only); class ceiling and required anchors (Generated only); trigger; canon_ref where the string states or implies a governed fact; owner role.</t>
        </is>
      </c>
      <c r="C573" s="66" t="inlineStr">
        <is>
          <t>O20 Content Registry &amp; Salience</t>
        </is>
      </c>
      <c r="D573" s="66" t="inlineStr">
        <is>
          <t>content_registry_v1</t>
        </is>
      </c>
      <c r="E573" s="66" t="inlineStr">
        <is>
          <t>content_registry_v1</t>
        </is>
      </c>
      <c r="F573" s="66" t="inlineStr">
        <is>
          <t>PROPOSED</t>
        </is>
      </c>
      <c r="G573" s="66" t="n"/>
      <c r="H573" s="66" t="inlineStr">
        <is>
          <t>O20 Content Registry &amp; Salience</t>
        </is>
      </c>
      <c r="I573" s="66" t="inlineStr">
        <is>
          <t>Content_Registry_Spec_v1.docx</t>
        </is>
      </c>
      <c r="J573" s="66" t="inlineStr">
        <is>
          <t>Added at refresh 20 Sep 2026 (b)</t>
        </is>
      </c>
      <c r="K573" s="66" t="n"/>
    </row>
    <row r="574" ht="22.35" customHeight="1" s="45">
      <c r="A574" s="65" t="inlineStr">
        <is>
          <t>CON-9</t>
        </is>
      </c>
      <c r="B574" s="66" t="inlineStr">
        <is>
          <t>A slot entry carries: slot identifier; surface; ordered candidate list; ranking rule version; hold rule (§5). A slot with an empty candidate list renders nothing.</t>
        </is>
      </c>
      <c r="C574" s="66" t="inlineStr">
        <is>
          <t>O20 Content Registry &amp; Salience</t>
        </is>
      </c>
      <c r="D574" s="66" t="inlineStr">
        <is>
          <t>content_registry_v1</t>
        </is>
      </c>
      <c r="E574" s="66" t="inlineStr">
        <is>
          <t>content_registry_v1</t>
        </is>
      </c>
      <c r="F574" s="66" t="inlineStr">
        <is>
          <t>PROPOSED</t>
        </is>
      </c>
      <c r="G574" s="66" t="n"/>
      <c r="H574" s="66" t="inlineStr">
        <is>
          <t>O20 Content Registry &amp; Salience</t>
        </is>
      </c>
      <c r="I574" s="66" t="inlineStr">
        <is>
          <t>Content_Registry_Spec_v1.docx</t>
        </is>
      </c>
      <c r="J574" s="66" t="inlineStr">
        <is>
          <t>Added at refresh 20 Sep 2026 (b)</t>
        </is>
      </c>
      <c r="K574" s="66" t="n"/>
    </row>
    <row r="575" ht="43.25" customHeight="1" s="45">
      <c r="A575" s="65" t="inlineStr">
        <is>
          <t>CON-10</t>
        </is>
      </c>
      <c r="B575" s="66" t="inlineStr">
        <is>
          <t>The registry is read-only to every component except the ceremony engine. Templates, prompt versions, candidate lists, and ranking rule versions change only through ceremony. A model, a wizard, or a surface never writes an entry.</t>
        </is>
      </c>
      <c r="C575" s="66" t="inlineStr">
        <is>
          <t>O20 Content Registry &amp; Salience</t>
        </is>
      </c>
      <c r="D575" s="66" t="inlineStr">
        <is>
          <t>content_registry_v1</t>
        </is>
      </c>
      <c r="E575" s="66" t="inlineStr">
        <is>
          <t>content_registry_v1</t>
        </is>
      </c>
      <c r="F575" s="66" t="inlineStr">
        <is>
          <t>PROPOSED</t>
        </is>
      </c>
      <c r="G575" s="66" t="n"/>
      <c r="H575" s="66" t="inlineStr">
        <is>
          <t>O20 Content Registry &amp; Salience</t>
        </is>
      </c>
      <c r="I575" s="66" t="inlineStr">
        <is>
          <t>Content_Registry_Spec_v1.docx</t>
        </is>
      </c>
      <c r="J575" s="66" t="inlineStr">
        <is>
          <t>Added at refresh 20 Sep 2026 (b)</t>
        </is>
      </c>
      <c r="K575" s="66" t="n"/>
    </row>
    <row r="576" ht="32.8" customHeight="1" s="45">
      <c r="A576" s="65" t="inlineStr">
        <is>
          <t>CON-11</t>
        </is>
      </c>
      <c r="B576" s="66" t="inlineStr">
        <is>
          <t>An objective is mandatory on every entry. An entry whose objective cannot be stated in one sentence is refused at ceremony — a string nobody can say the purpose of is a string nobody can say is still right.</t>
        </is>
      </c>
      <c r="C576" s="66" t="inlineStr">
        <is>
          <t>O20 Content Registry &amp; Salience</t>
        </is>
      </c>
      <c r="D576" s="66" t="inlineStr">
        <is>
          <t>content_registry_v1</t>
        </is>
      </c>
      <c r="E576" s="66" t="inlineStr">
        <is>
          <t>content_registry_v1</t>
        </is>
      </c>
      <c r="F576" s="66" t="inlineStr">
        <is>
          <t>PROPOSED</t>
        </is>
      </c>
      <c r="G576" s="66" t="n"/>
      <c r="H576" s="66" t="inlineStr">
        <is>
          <t>O20 Content Registry &amp; Salience</t>
        </is>
      </c>
      <c r="I576" s="66" t="inlineStr">
        <is>
          <t>Content_Registry_Spec_v1.docx</t>
        </is>
      </c>
      <c r="J576" s="66" t="inlineStr">
        <is>
          <t>Added at refresh 20 Sep 2026 (b)</t>
        </is>
      </c>
      <c r="K576" s="66" t="n"/>
    </row>
    <row r="577" ht="74.59999999999999" customHeight="1" s="45">
      <c r="A577" s="65" t="inlineStr">
        <is>
          <t>CON-12</t>
        </is>
      </c>
      <c r="B577" s="66" t="inlineStr">
        <is>
          <t>Rendering is a pure function of (entry, entry version, dependency values). For Fixed and Templated entries it returns the string. For Generated entries it returns a generation request carrying the prompt version, the class ceiling, the required anchors, and the dependencies the prose may reference — and the drafting component's output re-enters the resolver for classing and gating before it becomes a string. No parameter exists through which a learned component's output can alter what a Fixed or Templated entry renders.</t>
        </is>
      </c>
      <c r="C577" s="66" t="inlineStr">
        <is>
          <t>O20 Content Registry &amp; Salience</t>
        </is>
      </c>
      <c r="D577" s="66" t="inlineStr">
        <is>
          <t>content_registry_v1</t>
        </is>
      </c>
      <c r="E577" s="66" t="inlineStr">
        <is>
          <t>content_registry_v1</t>
        </is>
      </c>
      <c r="F577" s="66" t="inlineStr">
        <is>
          <t>PROPOSED</t>
        </is>
      </c>
      <c r="G577" s="66" t="n"/>
      <c r="H577" s="66" t="inlineStr">
        <is>
          <t>O20 Content Registry &amp; Salience</t>
        </is>
      </c>
      <c r="I577" s="66" t="inlineStr">
        <is>
          <t>Content_Registry_Spec_v1.docx</t>
        </is>
      </c>
      <c r="J577" s="66" t="inlineStr">
        <is>
          <t>Added at refresh 20 Sep 2026 (b)</t>
        </is>
      </c>
      <c r="K577" s="66" t="n"/>
    </row>
    <row r="578" ht="32.8" customHeight="1" s="45">
      <c r="A578" s="65" t="inlineStr">
        <is>
          <t>CON-13</t>
        </is>
      </c>
      <c r="B578" s="66" t="inlineStr">
        <is>
          <t>A learned component MAY propose a new template, a new candidate, or a re-ordering, through the research queue. The proposal is ratified by ceremony or it is nothing. Proposals never take effect on proposal.</t>
        </is>
      </c>
      <c r="C578" s="66" t="inlineStr">
        <is>
          <t>O20 Content Registry &amp; Salience</t>
        </is>
      </c>
      <c r="D578" s="66" t="inlineStr">
        <is>
          <t>content_registry_v1</t>
        </is>
      </c>
      <c r="E578" s="66" t="inlineStr">
        <is>
          <t>content_registry_v1</t>
        </is>
      </c>
      <c r="F578" s="66" t="inlineStr">
        <is>
          <t>PROPOSED</t>
        </is>
      </c>
      <c r="G578" s="66" t="n"/>
      <c r="H578" s="66" t="inlineStr">
        <is>
          <t>O20 Content Registry &amp; Salience</t>
        </is>
      </c>
      <c r="I578" s="66" t="inlineStr">
        <is>
          <t>Content_Registry_Spec_v1.docx</t>
        </is>
      </c>
      <c r="J578" s="66" t="inlineStr">
        <is>
          <t>Added at refresh 20 Sep 2026 (b)</t>
        </is>
      </c>
      <c r="K578" s="66" t="n"/>
    </row>
    <row r="579" ht="43.25" customHeight="1" s="45">
      <c r="A579" s="65" t="inlineStr">
        <is>
          <t>CON-14</t>
        </is>
      </c>
      <c r="B579" s="66" t="inlineStr">
        <is>
          <t>The resolver fails closed. A missing dependency renders the honest-gap variant; a missing entry renders nothing; a Generated string that fails classing or the gate is refused with the platform's one refusal card. Nothing is improvised to fill a space.</t>
        </is>
      </c>
      <c r="C579" s="66" t="inlineStr">
        <is>
          <t>O20 Content Registry &amp; Salience</t>
        </is>
      </c>
      <c r="D579" s="66" t="inlineStr">
        <is>
          <t>content_registry_v1</t>
        </is>
      </c>
      <c r="E579" s="66" t="inlineStr">
        <is>
          <t>content_registry_v1</t>
        </is>
      </c>
      <c r="F579" s="66" t="inlineStr">
        <is>
          <t>PROPOSED</t>
        </is>
      </c>
      <c r="G579" s="66" t="n"/>
      <c r="H579" s="66" t="inlineStr">
        <is>
          <t>O20 Content Registry &amp; Salience</t>
        </is>
      </c>
      <c r="I579" s="66" t="inlineStr">
        <is>
          <t>Content_Registry_Spec_v1.docx</t>
        </is>
      </c>
      <c r="J579" s="66" t="inlineStr">
        <is>
          <t>Added at refresh 20 Sep 2026 (b)</t>
        </is>
      </c>
      <c r="K579" s="66" t="n"/>
    </row>
    <row r="580" ht="95.5" customHeight="1" s="45">
      <c r="A580" s="65" t="inlineStr">
        <is>
          <t>CON-15</t>
        </is>
      </c>
      <c r="B580" s="66" t="inlineStr">
        <is>
          <t>Every candidate on a slot is assigned one salience class at render time, by the ranking rule, from its dependencies: Class 1 — a decision is required now (a job stopped at a limit, an approval pending on the reader, a ceiling or threshold crossed, a refusal the reader has not seen); Class 2 — something changed since the reader last saw this surface (a delta on a dependency, a status transition); Class 3 — an opportunity or capacity the reader can act on (room for more work, allowance available, resources idle); Class 4 — steady state (nothing pending, nothing changed, nothing to claim). The definitions are ruled (R-33) and versioned.</t>
        </is>
      </c>
      <c r="C580" s="66" t="inlineStr">
        <is>
          <t>O20 Content Registry &amp; Salience</t>
        </is>
      </c>
      <c r="D580" s="66" t="inlineStr">
        <is>
          <t>content_registry_v1</t>
        </is>
      </c>
      <c r="E580" s="66" t="inlineStr">
        <is>
          <t>content_registry_v1</t>
        </is>
      </c>
      <c r="F580" s="66" t="inlineStr">
        <is>
          <t>PROPOSED</t>
        </is>
      </c>
      <c r="G580" s="66" t="n"/>
      <c r="H580" s="66" t="inlineStr">
        <is>
          <t>O20 Content Registry &amp; Salience</t>
        </is>
      </c>
      <c r="I580" s="66" t="inlineStr">
        <is>
          <t>Content_Registry_Spec_v1.docx</t>
        </is>
      </c>
      <c r="J580" s="66" t="inlineStr">
        <is>
          <t>Added at refresh 20 Sep 2026 (b)</t>
        </is>
      </c>
      <c r="K580" s="66" t="n"/>
    </row>
    <row r="581" ht="32.8" customHeight="1" s="45">
      <c r="A581" s="65" t="inlineStr">
        <is>
          <t>CON-16</t>
        </is>
      </c>
      <c r="B581" s="66" t="inlineStr">
        <is>
          <t>The hook is the eligible candidate with the lowest salience class. Ties resolve by the candidate list's order, which is fixed in the slot entry. The ranking is deterministic: the same dependency values produce the same hook.</t>
        </is>
      </c>
      <c r="C581" s="66" t="inlineStr">
        <is>
          <t>O20 Content Registry &amp; Salience</t>
        </is>
      </c>
      <c r="D581" s="66" t="inlineStr">
        <is>
          <t>content_registry_v1</t>
        </is>
      </c>
      <c r="E581" s="66" t="inlineStr">
        <is>
          <t>content_registry_v1</t>
        </is>
      </c>
      <c r="F581" s="66" t="inlineStr">
        <is>
          <t>PROPOSED</t>
        </is>
      </c>
      <c r="G581" s="66" t="n"/>
      <c r="H581" s="66" t="inlineStr">
        <is>
          <t>O20 Content Registry &amp; Salience</t>
        </is>
      </c>
      <c r="I581" s="66" t="inlineStr">
        <is>
          <t>Content_Registry_Spec_v1.docx</t>
        </is>
      </c>
      <c r="J581" s="66" t="inlineStr">
        <is>
          <t>Added at refresh 20 Sep 2026 (b)</t>
        </is>
      </c>
      <c r="K581" s="66" t="n"/>
    </row>
    <row r="582" ht="43.25" customHeight="1" s="45">
      <c r="A582" s="65" t="inlineStr">
        <is>
          <t>CON-17</t>
        </is>
      </c>
      <c r="B582" s="66" t="inlineStr">
        <is>
          <t>An ineligible candidate — any dependency null — is never the hook while an eligible candidate exists in any class. If no candidate is eligible, the slot renders the honest-gap variant of the first-listed candidate. A gap is never headlined over a fact.</t>
        </is>
      </c>
      <c r="C582" s="66" t="inlineStr">
        <is>
          <t>O20 Content Registry &amp; Salience</t>
        </is>
      </c>
      <c r="D582" s="66" t="inlineStr">
        <is>
          <t>content_registry_v1</t>
        </is>
      </c>
      <c r="E582" s="66" t="inlineStr">
        <is>
          <t>content_registry_v1</t>
        </is>
      </c>
      <c r="F582" s="66" t="inlineStr">
        <is>
          <t>PROPOSED</t>
        </is>
      </c>
      <c r="G582" s="66" t="n"/>
      <c r="H582" s="66" t="inlineStr">
        <is>
          <t>O20 Content Registry &amp; Salience</t>
        </is>
      </c>
      <c r="I582" s="66" t="inlineStr">
        <is>
          <t>Content_Registry_Spec_v1.docx</t>
        </is>
      </c>
      <c r="J582" s="66" t="inlineStr">
        <is>
          <t>Added at refresh 20 Sep 2026 (b)</t>
        </is>
      </c>
      <c r="K582" s="66" t="n"/>
    </row>
    <row r="583" ht="43.25" customHeight="1" s="45">
      <c r="A583" s="65" t="inlineStr">
        <is>
          <t>CON-18</t>
        </is>
      </c>
      <c r="B583" s="66" t="inlineStr">
        <is>
          <t>No engagement measure — views, dwell, clicks, replies — and no learned signal enters the ranking rule. The rule reads verified fields only. Salience is about what the reader must know to decide, not what the reader is likely to look at.</t>
        </is>
      </c>
      <c r="C583" s="66" t="inlineStr">
        <is>
          <t>O20 Content Registry &amp; Salience</t>
        </is>
      </c>
      <c r="D583" s="66" t="inlineStr">
        <is>
          <t>content_registry_v1</t>
        </is>
      </c>
      <c r="E583" s="66" t="inlineStr">
        <is>
          <t>content_registry_v1</t>
        </is>
      </c>
      <c r="F583" s="66" t="inlineStr">
        <is>
          <t>PROPOSED</t>
        </is>
      </c>
      <c r="G583" s="66" t="n"/>
      <c r="H583" s="66" t="inlineStr">
        <is>
          <t>O20 Content Registry &amp; Salience</t>
        </is>
      </c>
      <c r="I583" s="66" t="inlineStr">
        <is>
          <t>Content_Registry_Spec_v1.docx</t>
        </is>
      </c>
      <c r="J583" s="66" t="inlineStr">
        <is>
          <t>Added at refresh 20 Sep 2026 (b)</t>
        </is>
      </c>
      <c r="K583" s="66" t="n"/>
    </row>
    <row r="584" ht="32.8" customHeight="1" s="45">
      <c r="A584" s="65" t="inlineStr">
        <is>
          <t>CON-19</t>
        </is>
      </c>
      <c r="B584" s="66" t="inlineStr">
        <is>
          <t>A hook holds until a candidate of a lower class becomes eligible or the hook's own dependencies change. A slot does not flap between candidates of equal class on unrelated updates. Hold values are ruled (R-34).</t>
        </is>
      </c>
      <c r="C584" s="66" t="inlineStr">
        <is>
          <t>O20 Content Registry &amp; Salience</t>
        </is>
      </c>
      <c r="D584" s="66" t="inlineStr">
        <is>
          <t>content_registry_v1</t>
        </is>
      </c>
      <c r="E584" s="66" t="inlineStr">
        <is>
          <t>content_registry_v1</t>
        </is>
      </c>
      <c r="F584" s="66" t="inlineStr">
        <is>
          <t>PROPOSED</t>
        </is>
      </c>
      <c r="G584" s="66" t="n"/>
      <c r="H584" s="66" t="inlineStr">
        <is>
          <t>O20 Content Registry &amp; Salience</t>
        </is>
      </c>
      <c r="I584" s="66" t="inlineStr">
        <is>
          <t>Content_Registry_Spec_v1.docx</t>
        </is>
      </c>
      <c r="J584" s="66" t="inlineStr">
        <is>
          <t>Added at refresh 20 Sep 2026 (b)</t>
        </is>
      </c>
      <c r="K584" s="66" t="n"/>
    </row>
    <row r="585" ht="43.25" customHeight="1" s="45">
      <c r="A585" s="65" t="inlineStr">
        <is>
          <t>CON-20</t>
        </is>
      </c>
      <c r="B585" s="66" t="inlineStr">
        <is>
          <t>Choosing a hook writes a content receipt carrying the salience trace: every candidate, its class, its eligibility, and the rule version. The surface exposes the trace on demand — “why this first” — so a reader or overseer can see what the slot chose not to lead with.</t>
        </is>
      </c>
      <c r="C585" s="66" t="inlineStr">
        <is>
          <t>O20 Content Registry &amp; Salience</t>
        </is>
      </c>
      <c r="D585" s="66" t="inlineStr">
        <is>
          <t>content_registry_v1</t>
        </is>
      </c>
      <c r="E585" s="66" t="inlineStr">
        <is>
          <t>content_registry_v1</t>
        </is>
      </c>
      <c r="F585" s="66" t="inlineStr">
        <is>
          <t>PROPOSED</t>
        </is>
      </c>
      <c r="G585" s="66" t="n"/>
      <c r="H585" s="66" t="inlineStr">
        <is>
          <t>O20 Content Registry &amp; Salience</t>
        </is>
      </c>
      <c r="I585" s="66" t="inlineStr">
        <is>
          <t>Content_Registry_Spec_v1.docx</t>
        </is>
      </c>
      <c r="J585" s="66" t="inlineStr">
        <is>
          <t>Added at refresh 20 Sep 2026 (b)</t>
        </is>
      </c>
      <c r="K585" s="66" t="n"/>
    </row>
    <row r="586" ht="32.8" customHeight="1" s="45">
      <c r="A586" s="65" t="inlineStr">
        <is>
          <t>CON-21</t>
        </is>
      </c>
      <c r="B586" s="66" t="inlineStr">
        <is>
          <t>A hook is advisory. It directs attention; it never gates an action, and a component MUST NOT treat the hook's class as an input to any decision the platform makes.</t>
        </is>
      </c>
      <c r="C586" s="66" t="inlineStr">
        <is>
          <t>O20 Content Registry &amp; Salience</t>
        </is>
      </c>
      <c r="D586" s="66" t="inlineStr">
        <is>
          <t>content_registry_v1</t>
        </is>
      </c>
      <c r="E586" s="66" t="inlineStr">
        <is>
          <t>content_registry_v1</t>
        </is>
      </c>
      <c r="F586" s="66" t="inlineStr">
        <is>
          <t>PROPOSED</t>
        </is>
      </c>
      <c r="G586" s="66" t="n"/>
      <c r="H586" s="66" t="inlineStr">
        <is>
          <t>O20 Content Registry &amp; Salience</t>
        </is>
      </c>
      <c r="I586" s="66" t="inlineStr">
        <is>
          <t>Content_Registry_Spec_v1.docx</t>
        </is>
      </c>
      <c r="J586" s="66" t="inlineStr">
        <is>
          <t>Added at refresh 20 Sep 2026 (b)</t>
        </is>
      </c>
      <c r="K586" s="66" t="n"/>
    </row>
    <row r="587" ht="74.59999999999999" customHeight="1" s="45">
      <c r="A587" s="65" t="inlineStr">
        <is>
          <t>CON-22</t>
        </is>
      </c>
      <c r="B587" s="66" t="inlineStr">
        <is>
          <t>A chat answer, a recommendation body, or a notification body is a Generated entry on a surface R-32 permits. It passes Solva's classing, the A5.15 gate, and — where it recommends an action — carries A5.16 provenance. Within it, findings are ordered by the same salience classes as §5, applied by the resolver to the anchored findings before the drafting component composes prose around them. The model writes the sentences; it does not choose the order.</t>
        </is>
      </c>
      <c r="C587" s="66" t="inlineStr">
        <is>
          <t>O20 Content Registry &amp; Salience</t>
        </is>
      </c>
      <c r="D587" s="66" t="inlineStr">
        <is>
          <t>content_registry_v1</t>
        </is>
      </c>
      <c r="E587" s="66" t="inlineStr">
        <is>
          <t>content_registry_v1</t>
        </is>
      </c>
      <c r="F587" s="66" t="inlineStr">
        <is>
          <t>PROPOSED</t>
        </is>
      </c>
      <c r="G587" s="66" t="n"/>
      <c r="H587" s="66" t="inlineStr">
        <is>
          <t>O20 Content Registry &amp; Salience</t>
        </is>
      </c>
      <c r="I587" s="66" t="inlineStr">
        <is>
          <t>Content_Registry_Spec_v1.docx</t>
        </is>
      </c>
      <c r="J587" s="66" t="inlineStr">
        <is>
          <t>Added at refresh 20 Sep 2026 (b)</t>
        </is>
      </c>
      <c r="K587" s="66" t="n"/>
    </row>
    <row r="588" ht="43.25" customHeight="1" s="45">
      <c r="A588" s="65" t="inlineStr">
        <is>
          <t>CON-23</t>
        </is>
      </c>
      <c r="B588" s="66" t="inlineStr">
        <is>
          <t>A displayed Generated string is stored as an artefact by hash with: class, anchors, prompt version, model identity and version (A5.7+, V-4), the content receipt. It is retrievable by hash for as long as the retention rule holds (R-35). A reader may see the anchors of any Generated string on demand.</t>
        </is>
      </c>
      <c r="C588" s="66" t="inlineStr">
        <is>
          <t>O20 Content Registry &amp; Salience</t>
        </is>
      </c>
      <c r="D588" s="66" t="inlineStr">
        <is>
          <t>content_registry_v1</t>
        </is>
      </c>
      <c r="E588" s="66" t="inlineStr">
        <is>
          <t>content_registry_v1</t>
        </is>
      </c>
      <c r="F588" s="66" t="inlineStr">
        <is>
          <t>PROPOSED</t>
        </is>
      </c>
      <c r="G588" s="66" t="n"/>
      <c r="H588" s="66" t="inlineStr">
        <is>
          <t>O20 Content Registry &amp; Salience</t>
        </is>
      </c>
      <c r="I588" s="66" t="inlineStr">
        <is>
          <t>Content_Registry_Spec_v1.docx</t>
        </is>
      </c>
      <c r="J588" s="66" t="inlineStr">
        <is>
          <t>Added at refresh 20 Sep 2026 (b)</t>
        </is>
      </c>
      <c r="K588" s="66" t="n"/>
    </row>
    <row r="589" ht="43.25" customHeight="1" s="45">
      <c r="A589" s="65" t="inlineStr">
        <is>
          <t>CON-24</t>
        </is>
      </c>
      <c r="B589" s="66" t="inlineStr">
        <is>
          <t>A Generated string that would state a fact the anchors do not support is refused before display, not softened. Softening — hedging an unsupported claim into plausibility — is the slop this document exists to prevent, and A5.5 already forbids the silent downgrade it amounts to.</t>
        </is>
      </c>
      <c r="C589" s="66" t="inlineStr">
        <is>
          <t>O20 Content Registry &amp; Salience</t>
        </is>
      </c>
      <c r="D589" s="66" t="inlineStr">
        <is>
          <t>content_registry_v1</t>
        </is>
      </c>
      <c r="E589" s="66" t="inlineStr">
        <is>
          <t>content_registry_v1</t>
        </is>
      </c>
      <c r="F589" s="66" t="inlineStr">
        <is>
          <t>PROPOSED</t>
        </is>
      </c>
      <c r="G589" s="66" t="n"/>
      <c r="H589" s="66" t="inlineStr">
        <is>
          <t>O20 Content Registry &amp; Salience</t>
        </is>
      </c>
      <c r="I589" s="66" t="inlineStr">
        <is>
          <t>Content_Registry_Spec_v1.docx</t>
        </is>
      </c>
      <c r="J589" s="66" t="inlineStr">
        <is>
          <t>Added at refresh 20 Sep 2026 (b)</t>
        </is>
      </c>
      <c r="K589" s="66" t="n"/>
    </row>
    <row r="590" ht="43.25" customHeight="1" s="45">
      <c r="A590" s="65" t="inlineStr">
        <is>
          <t>CON-25</t>
        </is>
      </c>
      <c r="B590" s="66" t="inlineStr">
        <is>
          <t>A Templated string is not stored as text. Its content receipt records template version and dependency values by reference; the string is re-derived on demand (CON-12). Storing the text would create a second copy that can disagree with its own inputs.</t>
        </is>
      </c>
      <c r="C590" s="66" t="inlineStr">
        <is>
          <t>O20 Content Registry &amp; Salience</t>
        </is>
      </c>
      <c r="D590" s="66" t="inlineStr">
        <is>
          <t>content_registry_v1</t>
        </is>
      </c>
      <c r="E590" s="66" t="inlineStr">
        <is>
          <t>content_registry_v1</t>
        </is>
      </c>
      <c r="F590" s="66" t="inlineStr">
        <is>
          <t>PROPOSED</t>
        </is>
      </c>
      <c r="G590" s="66" t="n"/>
      <c r="H590" s="66" t="inlineStr">
        <is>
          <t>O20 Content Registry &amp; Salience</t>
        </is>
      </c>
      <c r="I590" s="66" t="inlineStr">
        <is>
          <t>Content_Registry_Spec_v1.docx</t>
        </is>
      </c>
      <c r="J590" s="66" t="inlineStr">
        <is>
          <t>Added at refresh 20 Sep 2026 (b)</t>
        </is>
      </c>
      <c r="K590" s="66" t="n"/>
    </row>
    <row r="591" ht="22.35" customHeight="1" s="45">
      <c r="A591" s="65" t="inlineStr">
        <is>
          <t>CON-26</t>
        </is>
      </c>
      <c r="B591" s="66" t="inlineStr">
        <is>
          <t>A Generated string is stored per CON-23. A Fixed string is stored once, as the contract. A hook choice is stored as its trace (CON-20).</t>
        </is>
      </c>
      <c r="C591" s="66" t="inlineStr">
        <is>
          <t>O20 Content Registry &amp; Salience</t>
        </is>
      </c>
      <c r="D591" s="66" t="inlineStr">
        <is>
          <t>content_registry_v1</t>
        </is>
      </c>
      <c r="E591" s="66" t="inlineStr">
        <is>
          <t>content_registry_v1</t>
        </is>
      </c>
      <c r="F591" s="66" t="inlineStr">
        <is>
          <t>PROPOSED</t>
        </is>
      </c>
      <c r="G591" s="66" t="n"/>
      <c r="H591" s="66" t="inlineStr">
        <is>
          <t>O20 Content Registry &amp; Salience</t>
        </is>
      </c>
      <c r="I591" s="66" t="inlineStr">
        <is>
          <t>Content_Registry_Spec_v1.docx</t>
        </is>
      </c>
      <c r="J591" s="66" t="inlineStr">
        <is>
          <t>Added at refresh 20 Sep 2026 (b)</t>
        </is>
      </c>
      <c r="K591" s="66" t="n"/>
    </row>
    <row r="592" ht="43.25" customHeight="1" s="45">
      <c r="A592" s="65" t="inlineStr">
        <is>
          <t>CON-27</t>
        </is>
      </c>
      <c r="B592" s="66" t="inlineStr">
        <is>
          <t>Erasure reaches Generated artefacts. When a unit's rights are withdrawn, every Generated artefact whose anchors cite it is found by provenance and recalled or re-derived without it, on the mechanism DAP-38 and MEM-9 already define.</t>
        </is>
      </c>
      <c r="C592" s="66" t="inlineStr">
        <is>
          <t>O20 Content Registry &amp; Salience</t>
        </is>
      </c>
      <c r="D592" s="66" t="inlineStr">
        <is>
          <t>content_registry_v1</t>
        </is>
      </c>
      <c r="E592" s="66" t="inlineStr">
        <is>
          <t>content_registry_v1</t>
        </is>
      </c>
      <c r="F592" s="66" t="inlineStr">
        <is>
          <t>PROPOSED</t>
        </is>
      </c>
      <c r="G592" s="66" t="n"/>
      <c r="H592" s="66" t="inlineStr">
        <is>
          <t>O20 Content Registry &amp; Salience</t>
        </is>
      </c>
      <c r="I592" s="66" t="inlineStr">
        <is>
          <t>Content_Registry_Spec_v1.docx</t>
        </is>
      </c>
      <c r="J592" s="66" t="inlineStr">
        <is>
          <t>Added at refresh 20 Sep 2026 (b)</t>
        </is>
      </c>
      <c r="K592" s="66" t="n"/>
    </row>
    <row r="593" ht="22.35" customHeight="1" s="45">
      <c r="A593" s="65" t="inlineStr">
        <is>
          <t>CON-28</t>
        </is>
      </c>
      <c r="B593" s="66" t="inlineStr">
        <is>
          <t>Retention of Generated artefacts follows a ruled default (R-35) and is subject to erasure precedence, on MEM-9's rule.</t>
        </is>
      </c>
      <c r="C593" s="66" t="inlineStr">
        <is>
          <t>O20 Content Registry &amp; Salience</t>
        </is>
      </c>
      <c r="D593" s="66" t="inlineStr">
        <is>
          <t>content_registry_v1</t>
        </is>
      </c>
      <c r="E593" s="66" t="inlineStr">
        <is>
          <t>content_registry_v1</t>
        </is>
      </c>
      <c r="F593" s="66" t="inlineStr">
        <is>
          <t>PROPOSED</t>
        </is>
      </c>
      <c r="G593" s="66" t="n"/>
      <c r="H593" s="66" t="inlineStr">
        <is>
          <t>O20 Content Registry &amp; Salience</t>
        </is>
      </c>
      <c r="I593" s="66" t="inlineStr">
        <is>
          <t>Content_Registry_Spec_v1.docx</t>
        </is>
      </c>
      <c r="J593" s="66" t="inlineStr">
        <is>
          <t>Added at refresh 20 Sep 2026 (b)</t>
        </is>
      </c>
      <c r="K593" s="66" t="n"/>
    </row>
    <row r="594" ht="43.25" customHeight="1" s="45">
      <c r="A594" s="65" t="inlineStr">
        <is>
          <t>CON-29</t>
        </is>
      </c>
      <c r="B594" s="66" t="inlineStr">
        <is>
          <t>A Templated entry re-renders when any dependency changes. Dependency changes are the Ledger's own events — metered events, status transitions, receipts — so a surface is current to the record without a scheduler for any dependency that emits an event.</t>
        </is>
      </c>
      <c r="C594" s="66" t="inlineStr">
        <is>
          <t>O20 Content Registry &amp; Salience</t>
        </is>
      </c>
      <c r="D594" s="66" t="inlineStr">
        <is>
          <t>content_registry_v1</t>
        </is>
      </c>
      <c r="E594" s="66" t="inlineStr">
        <is>
          <t>content_registry_v1</t>
        </is>
      </c>
      <c r="F594" s="66" t="inlineStr">
        <is>
          <t>PROPOSED</t>
        </is>
      </c>
      <c r="G594" s="66" t="n"/>
      <c r="H594" s="66" t="inlineStr">
        <is>
          <t>O20 Content Registry &amp; Salience</t>
        </is>
      </c>
      <c r="I594" s="66" t="inlineStr">
        <is>
          <t>Content_Registry_Spec_v1.docx</t>
        </is>
      </c>
      <c r="J594" s="66" t="inlineStr">
        <is>
          <t>Added at refresh 20 Sep 2026 (b)</t>
        </is>
      </c>
      <c r="K594" s="66" t="n"/>
    </row>
    <row r="595" ht="32.8" customHeight="1" s="45">
      <c r="A595" s="65" t="inlineStr">
        <is>
          <t>CON-30</t>
        </is>
      </c>
      <c r="B595" s="66" t="inlineStr">
        <is>
          <t>A schedule exists only for an entry with a dependency that emits no event. The schedule and its interval are recorded on the entry. A scheduled entry displays its as-of time.</t>
        </is>
      </c>
      <c r="C595" s="66" t="inlineStr">
        <is>
          <t>O20 Content Registry &amp; Salience</t>
        </is>
      </c>
      <c r="D595" s="66" t="inlineStr">
        <is>
          <t>content_registry_v1</t>
        </is>
      </c>
      <c r="E595" s="66" t="inlineStr">
        <is>
          <t>content_registry_v1</t>
        </is>
      </c>
      <c r="F595" s="66" t="inlineStr">
        <is>
          <t>PROPOSED</t>
        </is>
      </c>
      <c r="G595" s="66" t="n"/>
      <c r="H595" s="66" t="inlineStr">
        <is>
          <t>O20 Content Registry &amp; Salience</t>
        </is>
      </c>
      <c r="I595" s="66" t="inlineStr">
        <is>
          <t>Content_Registry_Spec_v1.docx</t>
        </is>
      </c>
      <c r="J595" s="66" t="inlineStr">
        <is>
          <t>Added at refresh 20 Sep 2026 (b)</t>
        </is>
      </c>
      <c r="K595" s="66" t="n"/>
    </row>
    <row r="596" ht="43.25" customHeight="1" s="45">
      <c r="A596" s="65" t="inlineStr">
        <is>
          <t>CON-31</t>
        </is>
      </c>
      <c r="B596" s="66" t="inlineStr">
        <is>
          <t>If a trigger source is unreachable, the last rendered string displays with a visible stale marker and its as-of time. It is never silently held as current — the one degradation this platform permits, marked as the Browse census already is.</t>
        </is>
      </c>
      <c r="C596" s="66" t="inlineStr">
        <is>
          <t>O20 Content Registry &amp; Salience</t>
        </is>
      </c>
      <c r="D596" s="66" t="inlineStr">
        <is>
          <t>content_registry_v1</t>
        </is>
      </c>
      <c r="E596" s="66" t="inlineStr">
        <is>
          <t>content_registry_v1</t>
        </is>
      </c>
      <c r="F596" s="66" t="inlineStr">
        <is>
          <t>PROPOSED</t>
        </is>
      </c>
      <c r="G596" s="66" t="n"/>
      <c r="H596" s="66" t="inlineStr">
        <is>
          <t>O20 Content Registry &amp; Salience</t>
        </is>
      </c>
      <c r="I596" s="66" t="inlineStr">
        <is>
          <t>Content_Registry_Spec_v1.docx</t>
        </is>
      </c>
      <c r="J596" s="66" t="inlineStr">
        <is>
          <t>Added at refresh 20 Sep 2026 (b)</t>
        </is>
      </c>
      <c r="K596" s="66" t="n"/>
    </row>
    <row r="597" ht="273.1" customHeight="1" s="45">
      <c r="A597" s="65" t="inlineStr">
        <is>
          <t>SFP-1</t>
        </is>
      </c>
      <c r="B597" s="66" t="inlineStr">
        <is>
          <t>| Assertion Floor | Subjects: any principal requesting a composed answer. Objects: the claim being composed. Operations: assert, compose, refuse. Rule: no sentence enters a composed answer without a per-sentence anchor to material; an unanchorable sentence is refused, not weakened (Doc 4 A2, A5.5). | | **SFP-2** | Certainty-to-Evidence Binding | Subjects: the Watch's response function (Mkono). Objects: severance authority. Operations: unlock, withhold. Rule: severance unlocks only from the closed six-signal registry; no confidence score, however high, is an eligible input (Doc 3 A5.2). | | **SFP-3** |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7" s="66" t="inlineStr">
        <is>
          <t>O14 Governance Architecture — G-9 closure</t>
        </is>
      </c>
      <c r="D597" s="66" t="inlineStr">
        <is>
          <t>security_function_policies_v1</t>
        </is>
      </c>
      <c r="E597" s="66" t="inlineStr">
        <is>
          <t>security_function_policies_v1</t>
        </is>
      </c>
      <c r="F597" s="66" t="inlineStr">
        <is>
          <t>PROPOSED</t>
        </is>
      </c>
      <c r="G597" s="66" t="n"/>
      <c r="H597" s="66" t="inlineStr">
        <is>
          <t>O14 Governance Architecture</t>
        </is>
      </c>
      <c r="I597" s="66" t="inlineStr">
        <is>
          <t>Security_Function_Policies_v1.docx</t>
        </is>
      </c>
      <c r="J597" s="66" t="inlineStr">
        <is>
          <t>Added at refresh 20 Sep 2026 (c) — surfaced by the audit-standards ID check</t>
        </is>
      </c>
      <c r="K597" s="66" t="n"/>
    </row>
    <row r="598" ht="231.3" customHeight="1" s="45">
      <c r="A598" s="65" t="inlineStr">
        <is>
          <t>SFP-2</t>
        </is>
      </c>
      <c r="B598" s="66" t="inlineStr">
        <is>
          <t>| Certainty-to-Evidence Binding | Subjects: the Watch's response function (Mkono). Objects: severance authority. Operations: unlock, withhold. Rule: severance unlocks only from the closed six-signal registry; no confidence score, however high, is an eligible input (Doc 3 A5.2). | | **SFP-3** |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8" s="66" t="inlineStr">
        <is>
          <t>O14 Governance Architecture — G-9 closure</t>
        </is>
      </c>
      <c r="D598" s="66" t="inlineStr">
        <is>
          <t>security_function_policies_v1</t>
        </is>
      </c>
      <c r="E598" s="66" t="inlineStr">
        <is>
          <t>security_function_policies_v1</t>
        </is>
      </c>
      <c r="F598" s="66" t="inlineStr">
        <is>
          <t>PROPOSED</t>
        </is>
      </c>
      <c r="G598" s="66" t="n"/>
      <c r="H598" s="66" t="inlineStr">
        <is>
          <t>O14 Governance Architecture</t>
        </is>
      </c>
      <c r="I598" s="66" t="inlineStr">
        <is>
          <t>Security_Function_Policies_v1.docx</t>
        </is>
      </c>
      <c r="J598" s="66" t="inlineStr">
        <is>
          <t>Added at refresh 20 Sep 2026 (c) — surfaced by the audit-standards ID check</t>
        </is>
      </c>
      <c r="K598" s="66" t="n"/>
    </row>
    <row r="599" ht="189.55" customHeight="1" s="45">
      <c r="A599" s="65" t="inlineStr">
        <is>
          <t>SFP-3</t>
        </is>
      </c>
      <c r="B599" s="66" t="inlineStr">
        <is>
          <t>| Acceptance Floor | Subjects: any training run. Objects: model output. Operations: accept, refuse. Rule: every stated criterion satisfied or the run is refused in full; no partial acceptance (Promise #22, MOAC). | | **SFP-4** |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599" s="66" t="inlineStr">
        <is>
          <t>O14 Governance Architecture — G-9 closure</t>
        </is>
      </c>
      <c r="D599" s="66" t="inlineStr">
        <is>
          <t>security_function_policies_v1</t>
        </is>
      </c>
      <c r="E599" s="66" t="inlineStr">
        <is>
          <t>security_function_policies_v1</t>
        </is>
      </c>
      <c r="F599" s="66" t="inlineStr">
        <is>
          <t>PROPOSED</t>
        </is>
      </c>
      <c r="G599" s="66" t="n"/>
      <c r="H599" s="66" t="inlineStr">
        <is>
          <t>O14 Governance Architecture</t>
        </is>
      </c>
      <c r="I599" s="66" t="inlineStr">
        <is>
          <t>Security_Function_Policies_v1.docx</t>
        </is>
      </c>
      <c r="J599" s="66" t="inlineStr">
        <is>
          <t>Added at refresh 20 Sep 2026 (c) — surfaced by the audit-standards ID check</t>
        </is>
      </c>
      <c r="K599" s="66" t="n"/>
    </row>
    <row r="600" ht="158.2" customHeight="1" s="45">
      <c r="A600" s="65" t="inlineStr">
        <is>
          <t>SFP-4</t>
        </is>
      </c>
      <c r="B600" s="66" t="inlineStr">
        <is>
          <t>| Custody Floor | Subjects: any data crossing the chokepoint. Objects: the crossing itself. Operations: cross, de-identify, re-identify. Rule: no asset crosses without de-identification appropriate to its custody class (Promise #1, A5.1–A5.3). | | **SFP-5** |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0" s="66" t="inlineStr">
        <is>
          <t>O14 Governance Architecture — G-9 closure</t>
        </is>
      </c>
      <c r="D600" s="66" t="inlineStr">
        <is>
          <t>security_function_policies_v1</t>
        </is>
      </c>
      <c r="E600" s="66" t="inlineStr">
        <is>
          <t>security_function_policies_v1</t>
        </is>
      </c>
      <c r="F600" s="66" t="inlineStr">
        <is>
          <t>PROPOSED</t>
        </is>
      </c>
      <c r="G600" s="66" t="n"/>
      <c r="H600" s="66" t="inlineStr">
        <is>
          <t>O14 Governance Architecture</t>
        </is>
      </c>
      <c r="I600" s="66" t="inlineStr">
        <is>
          <t>Security_Function_Policies_v1.docx</t>
        </is>
      </c>
      <c r="J600" s="66" t="inlineStr">
        <is>
          <t>Added at refresh 20 Sep 2026 (c) — surfaced by the audit-standards ID check</t>
        </is>
      </c>
      <c r="K600" s="66" t="n"/>
    </row>
    <row r="601" ht="126.85" customHeight="1" s="45">
      <c r="A601" s="65" t="inlineStr">
        <is>
          <t>SFP-5</t>
        </is>
      </c>
      <c r="B601" s="66" t="inlineStr">
        <is>
          <t>| Non-Conformance Ceiling | Subjects: any actor whose behavioural signature drifts from its declared conduct. Objects: the actor's trust discount. Operations: reduce, revoke. Rule: loss of conformance alone returns an actor to baseline verification; it is never, by itself, grounds for conviction (Doc 3 A5.7). | | **SFP-6** |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1" s="66" t="inlineStr">
        <is>
          <t>O14 Governance Architecture — G-9 closure</t>
        </is>
      </c>
      <c r="D601" s="66" t="inlineStr">
        <is>
          <t>security_function_policies_v1</t>
        </is>
      </c>
      <c r="E601" s="66" t="inlineStr">
        <is>
          <t>security_function_policies_v1</t>
        </is>
      </c>
      <c r="F601" s="66" t="inlineStr">
        <is>
          <t>PROPOSED</t>
        </is>
      </c>
      <c r="G601" s="66" t="n"/>
      <c r="H601" s="66" t="inlineStr">
        <is>
          <t>O14 Governance Architecture</t>
        </is>
      </c>
      <c r="I601" s="66" t="inlineStr">
        <is>
          <t>Security_Function_Policies_v1.docx</t>
        </is>
      </c>
      <c r="J601" s="66" t="inlineStr">
        <is>
          <t>Added at refresh 20 Sep 2026 (c) — surfaced by the audit-standards ID check</t>
        </is>
      </c>
      <c r="K601" s="66" t="n"/>
    </row>
    <row r="602" ht="85.05" customHeight="1" s="45">
      <c r="A602" s="65" t="inlineStr">
        <is>
          <t>SFP-6</t>
        </is>
      </c>
      <c r="B602" s="66" t="inlineStr">
        <is>
          <t>| Release Budget | Subjects: all external parties, jointly and severally. Objects: the estate's total information release. Operations: release, refuse. Rule: total release across all parties, operations, and time is bounded; exceeding it is a floor violation, not a negotiable ceiling (DAP-35). | | **SFP-7** | Reproduction Ceiling | Subjects: any artefact or output leaving a component boundary. Objects: controlled-unit content. Operations: egress, refuse. Rule: no artefact or output passes carrying reproduction of a controlled unit above the ruled threshold (DAP-31, A5.15). |</t>
        </is>
      </c>
      <c r="C602" s="66" t="inlineStr">
        <is>
          <t>O14 Governance Architecture — G-9 closure</t>
        </is>
      </c>
      <c r="D602" s="66" t="inlineStr">
        <is>
          <t>security_function_policies_v1</t>
        </is>
      </c>
      <c r="E602" s="66" t="inlineStr">
        <is>
          <t>security_function_policies_v1</t>
        </is>
      </c>
      <c r="F602" s="66" t="inlineStr">
        <is>
          <t>PROPOSED</t>
        </is>
      </c>
      <c r="G602" s="66" t="n"/>
      <c r="H602" s="66" t="inlineStr">
        <is>
          <t>O14 Governance Architecture</t>
        </is>
      </c>
      <c r="I602" s="66" t="inlineStr">
        <is>
          <t>Security_Function_Policies_v1.docx</t>
        </is>
      </c>
      <c r="J602" s="66" t="inlineStr">
        <is>
          <t>Added at refresh 20 Sep 2026 (c) — surfaced by the audit-standards ID check</t>
        </is>
      </c>
      <c r="K602" s="66" t="n"/>
    </row>
    <row r="603" ht="43.25" customHeight="1" s="45">
      <c r="A603" s="65" t="inlineStr">
        <is>
          <t>SFP-7</t>
        </is>
      </c>
      <c r="B603" s="66" t="inlineStr">
        <is>
          <t>| Reproduction Ceiling | Subjects: any artefact or output leaving a component boundary. Objects: controlled-unit content. Operations: egress, refuse. Rule: no artefact or output passes carrying reproduction of a controlled unit above the ruled threshold (DAP-31, A5.15). |</t>
        </is>
      </c>
      <c r="C603" s="66" t="inlineStr">
        <is>
          <t>O14 Governance Architecture — G-9 closure</t>
        </is>
      </c>
      <c r="D603" s="66" t="inlineStr">
        <is>
          <t>security_function_policies_v1</t>
        </is>
      </c>
      <c r="E603" s="66" t="inlineStr">
        <is>
          <t>security_function_policies_v1</t>
        </is>
      </c>
      <c r="F603" s="66" t="inlineStr">
        <is>
          <t>PROPOSED</t>
        </is>
      </c>
      <c r="G603" s="66" t="n"/>
      <c r="H603" s="66" t="inlineStr">
        <is>
          <t>O14 Governance Architecture</t>
        </is>
      </c>
      <c r="I603" s="66" t="inlineStr">
        <is>
          <t>Security_Function_Policies_v1.docx</t>
        </is>
      </c>
      <c r="J603" s="66" t="inlineStr">
        <is>
          <t>Added at refresh 20 Sep 2026 (c) — surfaced by the audit-standards ID check</t>
        </is>
      </c>
      <c r="K603" s="66" t="n"/>
    </row>
  </sheetData>
  <autoFilter ref="A1:K60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C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44" min="1" max="1"/>
    <col width="80" customWidth="1" style="44" min="2" max="2"/>
    <col width="12" customWidth="1" style="44" min="3" max="3"/>
  </cols>
  <sheetData>
    <row r="1" ht="15" customHeight="1" s="45">
      <c r="A1" s="48" t="inlineStr">
        <is>
          <t>Objective → Promises</t>
        </is>
      </c>
    </row>
    <row r="3" ht="15" customHeight="1" s="45">
      <c r="A3" s="81" t="inlineStr">
        <is>
          <t>Objective</t>
        </is>
      </c>
      <c r="B3" s="81" t="inlineStr">
        <is>
          <t>Promises / sources</t>
        </is>
      </c>
      <c r="C3" s="81" t="inlineStr">
        <is>
          <t>Rule count</t>
        </is>
      </c>
    </row>
    <row r="4" ht="69.75" customHeight="1" s="45">
      <c r="A4" s="50" t="inlineStr">
        <is>
          <t>O1 Custody &amp; Confidentiality</t>
        </is>
      </c>
      <c r="B4" s="82" t="inlineStr">
        <is>
          <t>#1 — NO LEAKAGE OF CONFIDENTIAL INFORMATION
#2 — THE USER-EDITABLE CONFIDENTIALITY LIST
#3 — INTENT, MEANING &amp; QUESTION OBJECTIVE EXTRACTED BEFORE REDACTION
#4 — THE DUAL-FILE RECORD</t>
        </is>
      </c>
      <c r="C4" s="44" t="n">
        <v>25</v>
      </c>
    </row>
    <row r="5" ht="69.75" customHeight="1" s="45">
      <c r="A5" s="50" t="inlineStr">
        <is>
          <t>O2 Security &amp; Intent</t>
        </is>
      </c>
      <c r="B5" s="82" t="inlineStr">
        <is>
          <t>#26 — UNIVERSAL CONTAINMENT, AND THE ONE EXCEPTION
#6 — THE ADAPTIVE, INTENT-MEASURING SECURITY AGENT
#7 — INTENT MEASURED ACROSS LAYERS (Security Half)
#7 — INTENT MEASURED WITHIN A REASONING SESSION (Reasoning Half)</t>
        </is>
      </c>
      <c r="C5" s="44" t="n">
        <v>25</v>
      </c>
    </row>
    <row r="6" ht="42" customHeight="1" s="45">
      <c r="A6" s="50" t="inlineStr">
        <is>
          <t>O3 Reasoning &amp; Grounding</t>
        </is>
      </c>
      <c r="B6" s="82" t="inlineStr">
        <is>
          <t>#31 — THE SOPHISTICATED REASONING TOOL (SOLVA ITSELF)
#8 — GUARDS AGAINST HALLUCINATION</t>
        </is>
      </c>
      <c r="C6" s="44" t="n">
        <v>12</v>
      </c>
    </row>
    <row r="7" ht="55.5" customHeight="1" s="45">
      <c r="A7" s="50" t="inlineStr">
        <is>
          <t>O4 Direction, Scope &amp; Focus</t>
        </is>
      </c>
      <c r="B7" s="82" t="inlineStr">
        <is>
          <t>#16 — FOCUS MAINTAINED UNDER MASSIVE CONTEXT
#17 — PROGRESSIVE DISCLOSURE
#18 — OBJECTIVE PRESERVATION (Direction Half)</t>
        </is>
      </c>
      <c r="C7" s="44" t="n">
        <v>16</v>
      </c>
    </row>
    <row r="8" ht="55.5" customHeight="1" s="45">
      <c r="A8" s="50" t="inlineStr">
        <is>
          <t>O5 Context Preservation</t>
        </is>
      </c>
      <c r="B8" s="82" t="inlineStr">
        <is>
          <t>#19 — SHRINKAGE — CONTEXT PRESERVATION UNDER MASSIVE ESTATES
#20 — THE SMALL MEMORY SERVICE THE MODEL READS FROM
#21 — THE TRAFFIC CONTROLLER — ON-DEMAND FETCH WITHOUT RE-RUNNING THE ESTATE</t>
        </is>
      </c>
      <c r="C8" s="44" t="n">
        <v>15</v>
      </c>
    </row>
    <row r="9" ht="69.75" customHeight="1" s="45">
      <c r="A9" s="50" t="inlineStr">
        <is>
          <t>O6 Estate Registry</t>
        </is>
      </c>
      <c r="B9" s="82" t="inlineStr">
        <is>
          <t>#12 — CONNECTS TO ALL DATABASE TYPES
#13 — THE CENSUS
#14 — THE COMPREHENSIVE REGISTRY
#15 — READS ANY DATA TYPE, INCLUDING AUDIO</t>
        </is>
      </c>
      <c r="C9" s="44" t="n">
        <v>22</v>
      </c>
    </row>
    <row r="10" ht="69.75" customHeight="1" s="45">
      <c r="A10" s="50" t="inlineStr">
        <is>
          <t>O7 Cost &amp; Compute</t>
        </is>
      </c>
      <c r="B10" s="82" t="inlineStr">
        <is>
          <t>#10 — THE PULL SEAM — COMPUTE WITHOUT MOVING DATA OUT
#11 — COST AT THE POINT OF REFLECTION, BEFORE COMMIT
#9 — LOCAL-FIRST PROCESSING &amp; THE CONSUMPTION LEVERS
#9 — LOCAL-FIRST PROCESSING &amp; THE CONSUMPTION LEVERS (Part B: consumption levers)</t>
        </is>
      </c>
      <c r="C10" s="44" t="n">
        <v>26</v>
      </c>
    </row>
    <row r="11" ht="139.5" customHeight="1" s="45">
      <c r="A11" s="50" t="inlineStr">
        <is>
          <t>O8 Training &amp; Models</t>
        </is>
      </c>
      <c r="B11" s="82" t="inlineStr">
        <is>
          <t>#22 — AUTONOMOUS TRAINING, ANY OUTPUT DIMENSION
#23 — THE OBJECTIVE-SHAPING DIALOGUE (specified first, because it precedes the job)
#24 — THE PRETRAINED-MODEL BASELINE REGISTRY
#25 — RETAINED LEARNING DATA &amp; THE WHITE-PAPER PIPELINE
#25 — White-Paper Pipeline (whitepaper_wizard_spec_v1)
#30 — ALL LLMs, INCLUDING OPEN-WEIGHT, UNDER A SINGLE LICENSE
Doc 17 — The Multidimensional Training Engine (extends #22–#24)
Doc 20 — The Model Capability Register (extends #24, #30)
Streaming Voice Training Capacity — proposed extension to Doc 17 §17.4a/§17.4c, NOT YET MERGED</t>
        </is>
      </c>
      <c r="C11" s="44" t="n">
        <v>86</v>
      </c>
    </row>
    <row r="12" ht="42" customHeight="1" s="45">
      <c r="A12" s="50" t="inlineStr">
        <is>
          <t>O9 Orchestration &amp; Governance</t>
        </is>
      </c>
      <c r="B12" s="82" t="inlineStr">
        <is>
          <t>#27 — RULE BOOKS AND TEMPLATES, WRITTEN AND CHANGED BY CEREMONY
#32 — WORKLOAD ORCHESTRATION — THE PATH OF SUCCESS FOR A JOB</t>
        </is>
      </c>
      <c r="C12" s="44" t="n">
        <v>9</v>
      </c>
    </row>
    <row r="13" ht="55.5" customHeight="1" s="45">
      <c r="A13" s="50" t="inlineStr">
        <is>
          <t>O10 Quality &amp; Evidence</t>
        </is>
      </c>
      <c r="B13" s="82" t="inlineStr">
        <is>
          <t>Doc 19A — Critic Seam, Tier 1 deterministic checks (CANON, ratified 15 Jul 2026)
Doc 19A — Critic Seam, behavioural rules (CANON, ratified 15 Jul 2026)
Doc 19B — Evidence Protocol (PROPOSED, never confirmed adopted)</t>
        </is>
      </c>
      <c r="C13" s="44" t="n">
        <v>17</v>
      </c>
    </row>
    <row r="14" ht="42" customHeight="1" s="45">
      <c r="A14" s="50" t="inlineStr">
        <is>
          <t>O11 Skills &amp; Rendering</t>
        </is>
      </c>
      <c r="B14" s="82" t="inlineStr">
        <is>
          <t>Deck Rendering Engine v1.0
Doc 18 — Callable Skill Files</t>
        </is>
      </c>
      <c r="C14" s="44" t="n">
        <v>22</v>
      </c>
    </row>
    <row r="15" ht="27.75" customHeight="1" s="45">
      <c r="A15" s="50" t="inlineStr">
        <is>
          <t>O12 Rule Governance</t>
        </is>
      </c>
      <c r="B15" s="82" t="inlineStr">
        <is>
          <t>rule_criteria_spec_v1</t>
        </is>
      </c>
      <c r="C15" s="44" t="n">
        <v>11</v>
      </c>
    </row>
    <row r="17" ht="45" customHeight="1" s="45">
      <c r="A17" s="83" t="inlineStr">
        <is>
          <t>Cross-cutting (#5, #29 — Doc 16)</t>
        </is>
      </c>
      <c r="B17" s="82" t="inlineStr">
        <is>
          <t>No promise-level rules of their own — composite theorems over other promises. Doc 16 carries doctrine (§1–§12) and a 20-item ruling log, not rules. Excluded from count by design.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4" min="1" max="1"/>
    <col width="100" customWidth="1" style="44" min="2" max="2"/>
  </cols>
  <sheetData>
    <row r="1" ht="15" customHeight="1" s="45">
      <c r="A1" s="48" t="inlineStr">
        <is>
          <t>System Rules Registry — Legend</t>
        </is>
      </c>
    </row>
    <row r="3" ht="28.35" customHeight="1" s="45">
      <c r="A3" s="50" t="inlineStr">
        <is>
          <t>What this is</t>
        </is>
      </c>
      <c r="B3" s="82" t="inlineStr">
        <is>
          <t>The first population of the Rule Registry required by rule_criteria_spec_v1 ROC-10 — every individually-identified rule in the Akki canon, categorised objective → promise → rule. This is the retrofit OR-1 asked about, executed.</t>
        </is>
      </c>
    </row>
    <row r="5" ht="28.35" customHeight="1" s="45">
      <c r="A5" s="50" t="inlineStr">
        <is>
          <t>Count</t>
        </is>
      </c>
      <c r="B5" s="82" t="inlineStr">
        <is>
          <t>286 rules: 272 from Documents 1–20 and extensions (verified by extraction on 1 Sep 2026) plus ROC-1–11 (rule_criteria_spec_v1). Doc 16 excluded by design — see Objectives sheet.</t>
        </is>
      </c>
    </row>
    <row r="7" ht="28.35" customHeight="1" s="45">
      <c r="A7" s="50" t="inlineStr">
        <is>
          <t>Statement column</t>
        </is>
      </c>
      <c r="B7" s="82" t="inlineStr">
        <is>
          <t>The rule's own heading as written in its source document (Docs 1–15, 17–20). For WPW and DR-R, the first sentence of the requirement. Full text lives in the source document at the cited line.</t>
        </is>
      </c>
    </row>
    <row r="9" ht="28.35" customHeight="1" s="45">
      <c r="A9" s="50" t="inlineStr">
        <is>
          <t>Enforcement Class</t>
        </is>
      </c>
      <c r="B9" s="82" t="inlineStr">
        <is>
          <t>Deliberately blank. The 272 canon rules do not carry an enforcement-class tag today; assigning one per rule (ROC Axis 2) is the Rules Service's first assessment job, not something to infer from keywords here.</t>
        </is>
      </c>
    </row>
    <row r="11" ht="41.75" customHeight="1" s="45">
      <c r="A11" s="50" t="inlineStr">
        <is>
          <t>Status</t>
        </is>
      </c>
      <c r="B11" s="82" t="inlineStr">
        <is>
          <t>Taken from the rule's own [TAG] where present. Docs 19A/19B: 19A rules are CANON (Critic Seam, ratified 15 Jul 2026); 19B (EP-x) are PROPOSED, never confirmed adopted. WPW: DEFAULT, R2 open. DR-R: OWNER-DIRECTED with four items strikeable. ROC: PROPOSED pending ratification.</t>
        </is>
      </c>
    </row>
    <row r="13" ht="28.35" customHeight="1" s="45">
      <c r="A13" s="50" t="inlineStr">
        <is>
          <t>Not included</t>
        </is>
      </c>
      <c r="B13" s="82" t="inlineStr">
        <is>
          <t>Security assurance promises S-1–S-21 — they are promises awaiting rule decomposition, not rules. The Rules Service spec's own RBM-x requirements — a new document, to be registered on ratification.</t>
        </is>
      </c>
    </row>
    <row r="15" ht="15" customHeight="1" s="45">
      <c r="A15" s="50" t="inlineStr">
        <is>
          <t>Source column</t>
        </is>
      </c>
      <c r="B15" s="82" t="inlineStr">
        <is>
          <t>file:line into the extracted canon text, so any row can be checked against its origin.</t>
        </is>
      </c>
    </row>
    <row r="17" ht="68.65000000000001" customHeight="1" s="45">
      <c r="A17" s="52" t="inlineStr">
        <is>
          <t>QA v2 note</t>
        </is>
      </c>
      <c r="B17" s="84" t="inlineStr">
        <is>
          <t>This workbook is Master Requirements Registry v5 (sha256 00072c5829d3d89399cc5ca64661b405ac8a3cd0b43d0081f0d5f0bce109619d) with QA working sheets added on 21 Sep 2026: Audit Summary, Status Map, Check Register, Registry Defects, and columns K–X of QA Verification. Build Status, System Rules Registry, Objectives and the rows above on this sheet are unchanged; where they are stale (the count of 286 above; the total of 589 on Build Status) the discrepancy is logged in Registry Defects, not corrected here, because those are the builder’s statements.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2026-09-04T02:54:01Z</dcterms:created>
  <dcterms:modified xmlns:dcterms="http://purl.org/dc/terms/" xmlns:xsi="http://www.w3.org/2001/XMLSchema-instance" xsi:type="dcterms:W3CDTF">2026-09-21T17:47:02Z</dcterms:modified>
  <cp:revision>0</cp:revision>
</cp:coreProperties>
</file>